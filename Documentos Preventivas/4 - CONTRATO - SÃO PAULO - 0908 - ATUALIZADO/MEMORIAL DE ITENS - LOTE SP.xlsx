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- Área de Trabalho\1 - Preventivas 2025\1.2 - Documentos Preventivas\CONTRATO - SÃO PAULO - 0908\"/>
    </mc:Choice>
  </mc:AlternateContent>
  <xr:revisionPtr revIDLastSave="0" documentId="13_ncr:1_{8AFC7612-5AEC-4993-AD38-D8E397E05E95}" xr6:coauthVersionLast="47" xr6:coauthVersionMax="47" xr10:uidLastSave="{00000000-0000-0000-0000-000000000000}"/>
  <bookViews>
    <workbookView xWindow="-108" yWindow="-108" windowWidth="23256" windowHeight="12456" xr2:uid="{F1DA345B-EEE0-480B-B7A3-826CEB08C4B6}"/>
  </bookViews>
  <sheets>
    <sheet name="Planilha1" sheetId="1" r:id="rId1"/>
    <sheet name="Valore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C529" i="3"/>
  <c r="C528" i="3"/>
  <c r="C527" i="3"/>
  <c r="C526" i="3"/>
  <c r="C525" i="3"/>
  <c r="C524" i="3"/>
  <c r="C523" i="3"/>
  <c r="C522" i="3"/>
  <c r="C521" i="3"/>
  <c r="C520" i="3"/>
  <c r="C519" i="3"/>
  <c r="C518" i="3"/>
  <c r="C517" i="3"/>
  <c r="C516" i="3"/>
  <c r="C515" i="3"/>
  <c r="C514" i="3"/>
  <c r="C513" i="3"/>
  <c r="C512" i="3"/>
  <c r="C511" i="3"/>
  <c r="C510" i="3"/>
  <c r="C509" i="3"/>
  <c r="C508" i="3"/>
  <c r="C507" i="3"/>
  <c r="C506" i="3"/>
  <c r="C505" i="3"/>
  <c r="C504" i="3"/>
  <c r="C503" i="3"/>
  <c r="C502" i="3"/>
  <c r="C501" i="3"/>
  <c r="C500" i="3"/>
  <c r="C499" i="3"/>
  <c r="C498" i="3"/>
  <c r="C497" i="3"/>
  <c r="C496" i="3"/>
  <c r="C495" i="3"/>
  <c r="C494" i="3"/>
  <c r="C493" i="3"/>
  <c r="C492" i="3"/>
  <c r="C491" i="3"/>
  <c r="C490" i="3"/>
  <c r="C489" i="3"/>
  <c r="C488" i="3"/>
  <c r="C487" i="3"/>
  <c r="C486" i="3"/>
  <c r="C485" i="3"/>
  <c r="C484" i="3"/>
  <c r="C483" i="3"/>
  <c r="C482" i="3"/>
  <c r="C481" i="3"/>
  <c r="C480" i="3"/>
  <c r="C479" i="3"/>
  <c r="C477" i="3"/>
  <c r="C476" i="3"/>
  <c r="C475" i="3"/>
  <c r="C474" i="3"/>
  <c r="C473" i="3"/>
  <c r="C472" i="3"/>
  <c r="C471" i="3"/>
  <c r="C470" i="3"/>
  <c r="C469" i="3"/>
  <c r="C468" i="3"/>
  <c r="C467" i="3"/>
  <c r="C466" i="3"/>
  <c r="C465" i="3"/>
  <c r="C464" i="3"/>
  <c r="C463" i="3"/>
  <c r="C462" i="3"/>
  <c r="C461" i="3"/>
  <c r="C460" i="3"/>
  <c r="C459" i="3"/>
  <c r="C458" i="3"/>
  <c r="C457" i="3"/>
  <c r="C456" i="3"/>
  <c r="C455" i="3"/>
  <c r="C454" i="3"/>
  <c r="C453" i="3"/>
  <c r="C452" i="3"/>
  <c r="C451" i="3"/>
  <c r="C450" i="3"/>
  <c r="C449" i="3"/>
  <c r="C448" i="3"/>
  <c r="C447" i="3"/>
  <c r="C446" i="3"/>
  <c r="C445" i="3"/>
  <c r="C444" i="3"/>
  <c r="C437" i="3"/>
  <c r="C436" i="3"/>
  <c r="C435" i="3"/>
  <c r="C434" i="3"/>
  <c r="C433" i="3"/>
  <c r="C432" i="3"/>
  <c r="C431" i="3"/>
  <c r="C430" i="3"/>
  <c r="C429" i="3"/>
  <c r="C428" i="3"/>
  <c r="C427" i="3"/>
  <c r="C426" i="3"/>
  <c r="C424" i="3"/>
  <c r="C423" i="3"/>
  <c r="C422" i="3"/>
  <c r="C421" i="3"/>
  <c r="C420" i="3"/>
  <c r="C419" i="3"/>
  <c r="C418" i="3"/>
  <c r="C417" i="3"/>
  <c r="C416" i="3"/>
  <c r="C415" i="3"/>
  <c r="C414" i="3"/>
  <c r="C413" i="3"/>
  <c r="C412" i="3"/>
  <c r="C411" i="3"/>
  <c r="C410" i="3"/>
  <c r="C409" i="3"/>
  <c r="C408" i="3"/>
  <c r="C407" i="3"/>
  <c r="C406" i="3"/>
  <c r="C405" i="3"/>
  <c r="C404" i="3"/>
  <c r="C403" i="3"/>
  <c r="C402" i="3"/>
  <c r="C401" i="3"/>
  <c r="C400" i="3"/>
  <c r="C399" i="3"/>
  <c r="C398" i="3"/>
  <c r="C396" i="3"/>
  <c r="C395" i="3"/>
  <c r="C394" i="3"/>
  <c r="C393" i="3"/>
  <c r="C392" i="3"/>
  <c r="C391" i="3"/>
  <c r="C390" i="3"/>
  <c r="C389" i="3"/>
  <c r="C388" i="3"/>
  <c r="C387" i="3"/>
  <c r="C386" i="3"/>
  <c r="C385" i="3"/>
  <c r="C384" i="3"/>
  <c r="C383" i="3"/>
  <c r="C382" i="3"/>
  <c r="C381" i="3"/>
  <c r="C380" i="3"/>
  <c r="C379" i="3"/>
  <c r="C378" i="3"/>
  <c r="C377" i="3"/>
  <c r="C376" i="3"/>
  <c r="C375" i="3"/>
  <c r="C374" i="3"/>
  <c r="C372" i="3"/>
  <c r="C371" i="3"/>
  <c r="C370" i="3"/>
  <c r="C369" i="3"/>
  <c r="C368" i="3"/>
  <c r="C367" i="3"/>
  <c r="C366" i="3"/>
  <c r="C365" i="3"/>
  <c r="C364" i="3"/>
  <c r="C363" i="3"/>
  <c r="C362" i="3"/>
  <c r="C361" i="3"/>
  <c r="C360" i="3"/>
  <c r="C359" i="3"/>
  <c r="C358" i="3"/>
  <c r="C357" i="3"/>
  <c r="C356" i="3"/>
  <c r="C355" i="3"/>
  <c r="C354" i="3"/>
  <c r="C353" i="3"/>
  <c r="C352" i="3"/>
  <c r="C351" i="3"/>
  <c r="C350" i="3"/>
  <c r="C349" i="3"/>
  <c r="C348" i="3"/>
  <c r="C347" i="3"/>
  <c r="C346" i="3"/>
  <c r="C345" i="3"/>
  <c r="C344" i="3"/>
  <c r="C343" i="3"/>
  <c r="C342" i="3"/>
  <c r="C341" i="3"/>
  <c r="C340" i="3"/>
  <c r="C339" i="3"/>
  <c r="C338" i="3"/>
  <c r="C337" i="3"/>
  <c r="C336" i="3"/>
  <c r="C335" i="3"/>
  <c r="C334" i="3"/>
  <c r="C333" i="3"/>
  <c r="C332" i="3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39" i="3"/>
  <c r="C238" i="3"/>
  <c r="C237" i="3"/>
  <c r="C236" i="3"/>
  <c r="C235" i="3"/>
  <c r="C234" i="3"/>
  <c r="C233" i="3"/>
  <c r="C232" i="3"/>
  <c r="C231" i="3"/>
  <c r="C230" i="3"/>
  <c r="C229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19" i="3"/>
  <c r="C118" i="3"/>
  <c r="C117" i="3"/>
  <c r="C116" i="3"/>
  <c r="C115" i="3"/>
  <c r="C114" i="3"/>
  <c r="C113" i="3"/>
  <c r="C112" i="3"/>
  <c r="C111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3" i="3"/>
  <c r="C82" i="3"/>
  <c r="C81" i="3"/>
  <c r="C80" i="3"/>
  <c r="C79" i="3"/>
  <c r="C78" i="3"/>
  <c r="C77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59" i="3"/>
  <c r="C58" i="3"/>
  <c r="C57" i="3"/>
  <c r="C55" i="3"/>
  <c r="C54" i="3"/>
  <c r="C53" i="3"/>
  <c r="C52" i="3"/>
  <c r="C49" i="3"/>
  <c r="C48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9" i="3"/>
  <c r="C8" i="3"/>
  <c r="C7" i="3"/>
  <c r="C6" i="3"/>
  <c r="C5" i="3"/>
  <c r="C4" i="3"/>
  <c r="C3" i="3"/>
</calcChain>
</file>

<file path=xl/sharedStrings.xml><?xml version="1.0" encoding="utf-8"?>
<sst xmlns="http://schemas.openxmlformats.org/spreadsheetml/2006/main" count="1504" uniqueCount="1019">
  <si>
    <t>Itens</t>
  </si>
  <si>
    <t>17.6</t>
  </si>
  <si>
    <t>17.1</t>
  </si>
  <si>
    <t>17.5</t>
  </si>
  <si>
    <t>Emassamento de parede ou teto externo com massa acrílica com duas demãos</t>
  </si>
  <si>
    <t>19.5</t>
  </si>
  <si>
    <t>13.12</t>
  </si>
  <si>
    <t>Deslocamento ou remanejamento de mobiliário dentro da agência</t>
  </si>
  <si>
    <t>2.12</t>
  </si>
  <si>
    <t>Retirada de piso tátil com limpeza</t>
  </si>
  <si>
    <t>29.6</t>
  </si>
  <si>
    <t>Piso tátil de borracha - direcional ou alerta (por placa)</t>
  </si>
  <si>
    <t>Espelhos / Placas / Tampas</t>
  </si>
  <si>
    <t>ITEM</t>
  </si>
  <si>
    <t xml:space="preserve">                                          </t>
  </si>
  <si>
    <t>QTDE</t>
  </si>
  <si>
    <t>UN.</t>
  </si>
  <si>
    <t>PRELIMINARES</t>
  </si>
  <si>
    <t>1.1</t>
  </si>
  <si>
    <t>Chamado</t>
  </si>
  <si>
    <t>1.2</t>
  </si>
  <si>
    <t>Deslocamento</t>
  </si>
  <si>
    <t>1.3</t>
  </si>
  <si>
    <t>Revisão de instalações</t>
  </si>
  <si>
    <t>1.4</t>
  </si>
  <si>
    <t>Acompanhamento técnico em Segurança do Trabalho</t>
  </si>
  <si>
    <t>IMPLANTAÇÃO / ADMINISTRAÇÃO</t>
  </si>
  <si>
    <t>2.1</t>
  </si>
  <si>
    <t>Demolição manual de concreto simples</t>
  </si>
  <si>
    <t>2.2</t>
  </si>
  <si>
    <t>Demolição manual de alvenaria de elevação ou elemento vazado, incluindo revestimento</t>
  </si>
  <si>
    <t>2.3</t>
  </si>
  <si>
    <t>Demolição manual de revestimento em massa de parede ou teto ou Dry-Wall</t>
  </si>
  <si>
    <t>2.4</t>
  </si>
  <si>
    <t>Demolição de pisos em geral (ladrilho hidráulico, camada de enchimento, cerâmica, porcelanato, mármore, granito, pedra e madeira) - Manual</t>
  </si>
  <si>
    <t>2.5</t>
  </si>
  <si>
    <t>Demolição de pisos em geral (ladrilho hidráulico, camada de enchimento, cerâmica, porcelanato, mármore, granito, pedra e madeira) - Mecanizado</t>
  </si>
  <si>
    <t>2.6</t>
  </si>
  <si>
    <t>Demolição de pavimentação com pré-moldado de concreto ou intertravado</t>
  </si>
  <si>
    <t>2.7</t>
  </si>
  <si>
    <t>Demolição de piso cimentado sobre lastro de concreto</t>
  </si>
  <si>
    <t>2.8</t>
  </si>
  <si>
    <t>Demolição manual de forro, inclusive sistema de fixação/tarugamento</t>
  </si>
  <si>
    <t>2.9</t>
  </si>
  <si>
    <t>Demolição de contrapiso/argamassa regularizante, isolante ou protetora</t>
  </si>
  <si>
    <t>2.10</t>
  </si>
  <si>
    <t>Demolição de estrutura em madeira para telhado</t>
  </si>
  <si>
    <t>2.11</t>
  </si>
  <si>
    <t>Retirada  de cumeeira, espigão, rufo, calha ou chapim, perfil qualquer</t>
  </si>
  <si>
    <t>2.13</t>
  </si>
  <si>
    <t>Remoção de revestimento de piso de carpete ou manta vinílica</t>
  </si>
  <si>
    <t>2.14</t>
  </si>
  <si>
    <t>Ajuste de Piso Elevado (remoção e recolocação de revestimentos e placas do piso inclusive)</t>
  </si>
  <si>
    <t>2.15</t>
  </si>
  <si>
    <t>Retirada de piso elevado, inclusive estrutura de sustentação</t>
  </si>
  <si>
    <t>2.16</t>
  </si>
  <si>
    <t>Reinstalação de piso elevado proveniente de reaproveitamento, incluso material</t>
  </si>
  <si>
    <t>2.17</t>
  </si>
  <si>
    <t>Retirada ou recolocação de vidro</t>
  </si>
  <si>
    <t>2.18</t>
  </si>
  <si>
    <t>Remoção de entulho com caçamba metálica, inclusive limpeza, transporte, carga, descarga e descarte conforme legislação ambiental - Material de descarte (alvenaria, estruturas metálicas, madeiramento, revestimentos cerâmicos, gesso, dry-wall, entre outros)</t>
  </si>
  <si>
    <t>2.19</t>
  </si>
  <si>
    <t>Remoção / Remanejamento de placa aérea</t>
  </si>
  <si>
    <t>2.20</t>
  </si>
  <si>
    <t>Andaime tubular fachadeiro</t>
  </si>
  <si>
    <t>2.21</t>
  </si>
  <si>
    <t>Andaime torre metálico (1,5 x 1,5 m) com piso metálico</t>
  </si>
  <si>
    <t>2.22</t>
  </si>
  <si>
    <t>Tapume de chapa de madeira compensada, inclusive montagem</t>
  </si>
  <si>
    <t>2.23</t>
  </si>
  <si>
    <t>Remoção de revestimento (piso ou parede) vinílico ou laminado</t>
  </si>
  <si>
    <t>2.24</t>
  </si>
  <si>
    <t>Andaime balancim</t>
  </si>
  <si>
    <t>2.25</t>
  </si>
  <si>
    <t>Remoção de estrutura metálica</t>
  </si>
  <si>
    <t>2.26</t>
  </si>
  <si>
    <t>Remoção de equipamento de ar condicionado</t>
  </si>
  <si>
    <t>2.27</t>
  </si>
  <si>
    <t>Ponto para dreno de Ar Condicionado</t>
  </si>
  <si>
    <t>2.28</t>
  </si>
  <si>
    <t>Fixação de objetos diversos</t>
  </si>
  <si>
    <t>2.29</t>
  </si>
  <si>
    <t>2.30</t>
  </si>
  <si>
    <t>Remoção de Tapume/Chapas metálicas e de madeira, de forma manual</t>
  </si>
  <si>
    <t>2.31</t>
  </si>
  <si>
    <t>Anotação de Responsabilidade Técnica (ART)</t>
  </si>
  <si>
    <t>2.32</t>
  </si>
  <si>
    <t>Remoção manual de forro, sem estrutura</t>
  </si>
  <si>
    <t>2.33</t>
  </si>
  <si>
    <t>Demolição de revestimentos de parede em geral (ladrilho hidráulico, camada de enchimento, cerâmica, porcelanato, mármore, granito, pedra e madeira) - Manual</t>
  </si>
  <si>
    <t>2.34</t>
  </si>
  <si>
    <t>Demolição de revestimentos de parede em geral (ladrilho hidráulico, camada de enchimento, cerâmica, porcelanato, mármore, granito, pedra e madeira) - Mecanizado</t>
  </si>
  <si>
    <t>2.35</t>
  </si>
  <si>
    <t>Remoção de poste ou mastro para bandeira</t>
  </si>
  <si>
    <t>MOVIMENTO DE TERRA</t>
  </si>
  <si>
    <t>FUNDAÇÃO</t>
  </si>
  <si>
    <t>ESTRUTURA</t>
  </si>
  <si>
    <t>5.1</t>
  </si>
  <si>
    <t>Base de concreto para fixação de TAA/TTE</t>
  </si>
  <si>
    <t>5.2</t>
  </si>
  <si>
    <t>Montagem e Desmontagem de escoramento em madeira.</t>
  </si>
  <si>
    <t>5.3</t>
  </si>
  <si>
    <t>Montagem e Desmontagem de escoramento metálico.</t>
  </si>
  <si>
    <t>5.4</t>
  </si>
  <si>
    <t>ALVENARIAS E OUTRAS VEDAÇÕES</t>
  </si>
  <si>
    <t>6.1</t>
  </si>
  <si>
    <t>Alvenaria com tijolo cerâmico furado</t>
  </si>
  <si>
    <t>6.2</t>
  </si>
  <si>
    <t>Parede de gesso em placas duplas acartonado dry wall - inclusive para ambientes úmidos - RU</t>
  </si>
  <si>
    <t>6.3</t>
  </si>
  <si>
    <t>Rasgo e fechamento em alvenaria e piso</t>
  </si>
  <si>
    <t>COBERTURA</t>
  </si>
  <si>
    <t>7.1</t>
  </si>
  <si>
    <t>Cobertura com telha de alumínio envernizada ou pintada, e=0,5 mm</t>
  </si>
  <si>
    <t>7.2</t>
  </si>
  <si>
    <t>Cobertura em telha com isolamento termoacustico em espuma rígida de poliuretano (PU) injetado</t>
  </si>
  <si>
    <t>7.3</t>
  </si>
  <si>
    <t>Cumeeira em chapa metálica</t>
  </si>
  <si>
    <t>7.4</t>
  </si>
  <si>
    <t>Cobertura com telha cerâmica, incluso transporte vertical</t>
  </si>
  <si>
    <t>7.5</t>
  </si>
  <si>
    <t>Cumeeira para telha cerâmica emboçada com argamassa</t>
  </si>
  <si>
    <t>7.6</t>
  </si>
  <si>
    <t>Cumeeira universal para telhado de fibrocimento, e=6mm</t>
  </si>
  <si>
    <t>7.7</t>
  </si>
  <si>
    <t>Cobertura com telha de fibrocimento,  e = 6 mm,</t>
  </si>
  <si>
    <t>7.8</t>
  </si>
  <si>
    <t>Calha de chapa galvanizada nº 24 desenvolvimento 33 cm</t>
  </si>
  <si>
    <t>7.9</t>
  </si>
  <si>
    <t>Rufo de chapa de aço galvanizado com desenvolvimento até 50 cm</t>
  </si>
  <si>
    <t>7.10</t>
  </si>
  <si>
    <t>Chapim de chapa de aço galvanizado nº 24 desenvolvimento 33 cm</t>
  </si>
  <si>
    <t>7.11</t>
  </si>
  <si>
    <t>Cobertura com telha de fibrocimento estrutural, com recobrimento longitudinal</t>
  </si>
  <si>
    <t>7.12</t>
  </si>
  <si>
    <t>Estrutura de madeira para telha cerâmica, fibrocimento ou de concreto</t>
  </si>
  <si>
    <t>7.13</t>
  </si>
  <si>
    <t>7.14</t>
  </si>
  <si>
    <t>Calha de chapa galvanizada</t>
  </si>
  <si>
    <t>7.15</t>
  </si>
  <si>
    <t>Reparo emergencial de telhado e calhas</t>
  </si>
  <si>
    <t>IMPERMEABILIZAÇÃO</t>
  </si>
  <si>
    <t>8.1</t>
  </si>
  <si>
    <t>Proteção mecânica de superfície com argamassa de cimento e areia</t>
  </si>
  <si>
    <t>8.2</t>
  </si>
  <si>
    <t>Impermeabilização com manta asfáltica modificada com polímeros aluminizada</t>
  </si>
  <si>
    <t>8.3</t>
  </si>
  <si>
    <t>Impermeabilização utilizando manta asfáltica polimérica (cobertura, lajes, banheiros, jardins, Reservatórios e similares)</t>
  </si>
  <si>
    <t>8.4</t>
  </si>
  <si>
    <t>8.5</t>
  </si>
  <si>
    <t>Impermeabilização de superfície com impermeabilizante flexível à base acrílica</t>
  </si>
  <si>
    <t>8.6</t>
  </si>
  <si>
    <t>Impermeabilização com argamassa polimérica impermeabilizante</t>
  </si>
  <si>
    <t>8.7</t>
  </si>
  <si>
    <t>Impermeabilização com membrana de poliuretano (PU)</t>
  </si>
  <si>
    <t>TRATAMENTO TÉRMICO E ACÚSTICO</t>
  </si>
  <si>
    <t>PAVIMENTAÇÃO</t>
  </si>
  <si>
    <t>10.1</t>
  </si>
  <si>
    <t>Regularização de base ou contrapiso</t>
  </si>
  <si>
    <t>10.2</t>
  </si>
  <si>
    <t>10.3</t>
  </si>
  <si>
    <t xml:space="preserve">Granito para revestimento (piso ou parede) Cinza Andorinha, assente com argamassa </t>
  </si>
  <si>
    <t>10.4</t>
  </si>
  <si>
    <t>Rodapé em granito Cinza Andorinha, assentado e rejuntado</t>
  </si>
  <si>
    <t>10.5</t>
  </si>
  <si>
    <t>Peitoril ou soleira de granito, assentado e rejuntado</t>
  </si>
  <si>
    <t>10.6</t>
  </si>
  <si>
    <t>Granito branco para revestimento (piso ou parede), assente com argamassa</t>
  </si>
  <si>
    <t>10.7</t>
  </si>
  <si>
    <t>Rodapé em granito branco, assentado e rejuntado</t>
  </si>
  <si>
    <t>10.8</t>
  </si>
  <si>
    <t>Bloco de concreto intertravado</t>
  </si>
  <si>
    <t>10.9</t>
  </si>
  <si>
    <t>Piso em pedra portuguesa, basalto, calcário ou granito sem polimento.</t>
  </si>
  <si>
    <t>10.10</t>
  </si>
  <si>
    <t>Piso mármore branco, assentado e rejuntado</t>
  </si>
  <si>
    <t>10.11</t>
  </si>
  <si>
    <t>Piso em ladrilho hidráulico, assentado com argamassa</t>
  </si>
  <si>
    <t>10.12</t>
  </si>
  <si>
    <t>Piso cimentado com argamassa e com junta plástica para dilatação.</t>
  </si>
  <si>
    <t>10.13</t>
  </si>
  <si>
    <t>Piso cerâmico assentado com argamassa pré-fabricada e rejuntamento</t>
  </si>
  <si>
    <t>10.14</t>
  </si>
  <si>
    <t>Piso em Porcelanato</t>
  </si>
  <si>
    <t>10.15</t>
  </si>
  <si>
    <t>Rejuntamento de revestimento (piso ou parede) com argamassa pré-fabricada</t>
  </si>
  <si>
    <t>10.16</t>
  </si>
  <si>
    <t>Piso vinílico em manta</t>
  </si>
  <si>
    <t>10.17</t>
  </si>
  <si>
    <t>Piso vinílico em placas</t>
  </si>
  <si>
    <t>10.18</t>
  </si>
  <si>
    <t>CARPETE em manta ou placa</t>
  </si>
  <si>
    <t>10.19</t>
  </si>
  <si>
    <t>Rodapé de madeira.</t>
  </si>
  <si>
    <t>10.20</t>
  </si>
  <si>
    <t>Capacho - fornecimento e instalação</t>
  </si>
  <si>
    <t>10.21</t>
  </si>
  <si>
    <t>Arremate metálico delimitador de piso</t>
  </si>
  <si>
    <t>REVESTIMENTOS</t>
  </si>
  <si>
    <t>11.1</t>
  </si>
  <si>
    <t xml:space="preserve">Painéis de alumínio - ACM </t>
  </si>
  <si>
    <t>11.2</t>
  </si>
  <si>
    <t>Chapisco para parede interna ou externa com argamassa de cimento e areia.</t>
  </si>
  <si>
    <t>11.3</t>
  </si>
  <si>
    <t>Emboço ou reboco para parede interna ou externa ou teto.</t>
  </si>
  <si>
    <t>11.4</t>
  </si>
  <si>
    <t>Revestimento cerâmico assentado com argamassa pré-fabricada e rejuntado</t>
  </si>
  <si>
    <t>11.5</t>
  </si>
  <si>
    <t>Revestimento (parede) em Pastilha de vidro, assentada com argamassa colante e rejunte.</t>
  </si>
  <si>
    <t>11.6</t>
  </si>
  <si>
    <t>Laminado melamínico para revestimento (piso ou parede) interno</t>
  </si>
  <si>
    <t>11.7</t>
  </si>
  <si>
    <t>Revestimento de parede com pedra São Tomé filetada (tipo "canjiquinha")</t>
  </si>
  <si>
    <t>11.8</t>
  </si>
  <si>
    <t>Revestimento em mármore branco (parede), assentado e rejuntado</t>
  </si>
  <si>
    <t>DIVISÓRIAS, FORROS E PISOS FALSOS</t>
  </si>
  <si>
    <t>12.1</t>
  </si>
  <si>
    <t>Divisória texturizada cega</t>
  </si>
  <si>
    <t>12.2</t>
  </si>
  <si>
    <t>Divisória texturizada cega/vidro</t>
  </si>
  <si>
    <t>12.3</t>
  </si>
  <si>
    <t>Porta de divisória, Inclui  batente e guarnições.</t>
  </si>
  <si>
    <t>12.4</t>
  </si>
  <si>
    <t>Forro de fibra mineral, incluindo fixação, com estrutura</t>
  </si>
  <si>
    <t>12.5</t>
  </si>
  <si>
    <t>Forro de gesso acartonado, estruturado ou aramado</t>
  </si>
  <si>
    <t>12.6</t>
  </si>
  <si>
    <t>Forro de placa de gesso pre-moldada,  incluindo fixação</t>
  </si>
  <si>
    <t>12.7</t>
  </si>
  <si>
    <t>Junta de dilatação para forro de gesso</t>
  </si>
  <si>
    <t>12.8</t>
  </si>
  <si>
    <t>Piso elevado com estrutura</t>
  </si>
  <si>
    <t>12.9</t>
  </si>
  <si>
    <t>Forro de gesso, incluindo fixação, sem estrutura</t>
  </si>
  <si>
    <t>12.10</t>
  </si>
  <si>
    <t>Forro de fibra mineral, incluindo fixação, sem estrutura</t>
  </si>
  <si>
    <t>12.11</t>
  </si>
  <si>
    <t>Piso elevado sem estrutura</t>
  </si>
  <si>
    <t>12.12</t>
  </si>
  <si>
    <t>Ajuste do forro de fibra mineral</t>
  </si>
  <si>
    <t>CARPINTARIA / MARCENARIA</t>
  </si>
  <si>
    <t>13.1</t>
  </si>
  <si>
    <t>Batente e guarnição para Porta de madeira, até 0,90 m</t>
  </si>
  <si>
    <t>13.2</t>
  </si>
  <si>
    <t>Porta de madeira até 0,80 x 2,10 m, interna/externa, sem ferragens, inclusive retirada da Porta antiga</t>
  </si>
  <si>
    <t>13.3</t>
  </si>
  <si>
    <t>Porta de madeira 0,90 x 2,10 m, interna/externa, sem ferragens,  inclusive retirada da Porta antiga</t>
  </si>
  <si>
    <t>13.4</t>
  </si>
  <si>
    <t>Desmontagem de divisórias (cega, vidro ou tecido)</t>
  </si>
  <si>
    <t>13.5</t>
  </si>
  <si>
    <t>Desmontagem de estação de trabalho ou mesa de reunião</t>
  </si>
  <si>
    <t>13.6</t>
  </si>
  <si>
    <t>Desmontagem de guichê de caixa</t>
  </si>
  <si>
    <t>13.7</t>
  </si>
  <si>
    <t>Ajuste de divisórias</t>
  </si>
  <si>
    <t>13.8</t>
  </si>
  <si>
    <t>Manutenção de guichê</t>
  </si>
  <si>
    <t>13.9</t>
  </si>
  <si>
    <t>Montagem de estação de trabalho ou mesa de reunião</t>
  </si>
  <si>
    <t>13.10</t>
  </si>
  <si>
    <t>Montagem de divisórias (cega, vidro ou tecido)</t>
  </si>
  <si>
    <t>13.11</t>
  </si>
  <si>
    <t>Montagem de estação de guichê de caixa ou mesa guichê</t>
  </si>
  <si>
    <t>13.13</t>
  </si>
  <si>
    <t>Divisória Padrão Guichê  ou Biombo</t>
  </si>
  <si>
    <t>13.14</t>
  </si>
  <si>
    <t>Montagem e fixação de carenagens (ex: remus, estilo, high-tech,  nova ambiência, padrão 98 ou similares)</t>
  </si>
  <si>
    <t>13.15</t>
  </si>
  <si>
    <t>Fixação de prateleira de vidro em carenagens</t>
  </si>
  <si>
    <t>13.16</t>
  </si>
  <si>
    <t>Persiana de enrolar para carenagens</t>
  </si>
  <si>
    <t>13.17</t>
  </si>
  <si>
    <t>Lente de luminária para carenagens</t>
  </si>
  <si>
    <t>13.18</t>
  </si>
  <si>
    <t>Divisória de fechamento ou tampão, conforme padrão existente</t>
  </si>
  <si>
    <t>13.19</t>
  </si>
  <si>
    <t>Porta de madeira em compensado c/laminado, sem ferragens</t>
  </si>
  <si>
    <t>13.20</t>
  </si>
  <si>
    <t>Ajuste e manutenção de portas</t>
  </si>
  <si>
    <t>13.21</t>
  </si>
  <si>
    <t>Manutenção de dobradiça ou fechadura de armários/móveis</t>
  </si>
  <si>
    <t>SERRALHERIA</t>
  </si>
  <si>
    <t>14.1</t>
  </si>
  <si>
    <t>Janela de aço basculante, fixação com argamassa, sem vidros</t>
  </si>
  <si>
    <t>14.2</t>
  </si>
  <si>
    <t>Janela de aço de correr, fixação com argamassa, sem vidro</t>
  </si>
  <si>
    <t>14.3</t>
  </si>
  <si>
    <t>Refixação de corrimão e guarda corpo fixado na parede ou no piso</t>
  </si>
  <si>
    <t>14.4</t>
  </si>
  <si>
    <t>Corrimão tubular em aço galvanizado 1 1/2", instalado, incluindo APLICAÇÃO de fundo anticorrosivo óxido de ferro e PINTURA esmalte</t>
  </si>
  <si>
    <t>14.5</t>
  </si>
  <si>
    <t>Guarda corpo em tubo galvanizado com fundo anticorrosivo e pintura em esmalte sintetico</t>
  </si>
  <si>
    <t>14.6</t>
  </si>
  <si>
    <t>Recuperação de grades, corrimãos e outros elementos metálicos</t>
  </si>
  <si>
    <t>14.7</t>
  </si>
  <si>
    <t>Recuperação de estruturas metálicas de pórticos de acesso, totens, letreiros, medalhões, bandeiras e brises</t>
  </si>
  <si>
    <t>14.8</t>
  </si>
  <si>
    <t>Grade de proteção de ferro, colocação e acabamento</t>
  </si>
  <si>
    <t>14.9</t>
  </si>
  <si>
    <t>Chapa metálica inox, para portas de madeira</t>
  </si>
  <si>
    <t>14.10</t>
  </si>
  <si>
    <t>Prolongador de suporte de TCC para teto</t>
  </si>
  <si>
    <t>14.11</t>
  </si>
  <si>
    <t>Fixação de suporte de TCC em parede ou teto</t>
  </si>
  <si>
    <t>14.12</t>
  </si>
  <si>
    <t>Instalação de alçapão metálico com caixilho</t>
  </si>
  <si>
    <t>14.13</t>
  </si>
  <si>
    <t>Manutenção preventiva em porta de enrolar de aço automática</t>
  </si>
  <si>
    <t>14.14</t>
  </si>
  <si>
    <t>Substituição do Automatizador de portas de enrolar automáticas até 1000 kg</t>
  </si>
  <si>
    <t>14.15</t>
  </si>
  <si>
    <t>Substituição do Automatizador de portas de enrolar automáticas até 500 kg</t>
  </si>
  <si>
    <t>14.16</t>
  </si>
  <si>
    <t>Substituição de chapa testeira de porta de enrolar de aço automática</t>
  </si>
  <si>
    <t>14.17</t>
  </si>
  <si>
    <t>Substituição de Lâminas de aço vazadas (Transvision) até 5 m²</t>
  </si>
  <si>
    <t>14.18</t>
  </si>
  <si>
    <t>Substituição de Lâminas de aço vazadas (Transvision) acima de 5 m² até 15 m²</t>
  </si>
  <si>
    <t>14.19</t>
  </si>
  <si>
    <t>Substituição de Lâminas de aço vazadas (Transvision) superior a 15 m²</t>
  </si>
  <si>
    <t>14.20</t>
  </si>
  <si>
    <t>Substituição de guia telescópica para porta de enrolar de aço automática</t>
  </si>
  <si>
    <t>14.21</t>
  </si>
  <si>
    <t>Substituição da soleira de porta de enrolar de aço automática</t>
  </si>
  <si>
    <t>14.22</t>
  </si>
  <si>
    <t>Substituição do eixo de sustentação de porta de enrolar de aço automática</t>
  </si>
  <si>
    <t>14.23</t>
  </si>
  <si>
    <t>Substituição de central de controle remoto de porta de enrolar de aço automática</t>
  </si>
  <si>
    <t>14.24</t>
  </si>
  <si>
    <t>Substituição da botoeira de acionamento de porta de enrolar de aço automática</t>
  </si>
  <si>
    <t>14.25</t>
  </si>
  <si>
    <t>Substituição do sistema de infravermelho de porta de enrolar de aço automática</t>
  </si>
  <si>
    <t>14.26</t>
  </si>
  <si>
    <t>Substituição de dobradiça de portinhola de porta de enrolar de aço automática</t>
  </si>
  <si>
    <t>14.27</t>
  </si>
  <si>
    <t>Substituição de fechadura de portinhola de porta de enrolar de aço automática</t>
  </si>
  <si>
    <t>14.28</t>
  </si>
  <si>
    <t>Substituição de laminas e estrutura de portinhola de porta de enrolar de aço automática</t>
  </si>
  <si>
    <t>14.29</t>
  </si>
  <si>
    <t>Substituição de Nobreak de automatizador de portas de enrolar automática</t>
  </si>
  <si>
    <t>FERRAGENS</t>
  </si>
  <si>
    <t>15.1</t>
  </si>
  <si>
    <t>Ferragem em aço inox, para Porta de vidro temperado (dobradiças, trinco, contra-fechadura  e fechadura  chaveada completa)</t>
  </si>
  <si>
    <t>15.2</t>
  </si>
  <si>
    <t>Ferragem para Porta de madeira (com 3 dobradiças) - Substituição/instalação</t>
  </si>
  <si>
    <t>15.3</t>
  </si>
  <si>
    <t>Ferragem para Porta de madeira (fechadura completa) - Substituição/instalação</t>
  </si>
  <si>
    <t>15.4</t>
  </si>
  <si>
    <t>Trinco de piso c/espelho</t>
  </si>
  <si>
    <t>15.5</t>
  </si>
  <si>
    <t>Mola aérea hidráulica - Substituição/instalação</t>
  </si>
  <si>
    <t>15.6</t>
  </si>
  <si>
    <t>Mola de Piso hidráulica - (kit completo-pino, espelho, parafusos, mola, etc. com regulagem) - Substituição/instalação</t>
  </si>
  <si>
    <t>15.7</t>
  </si>
  <si>
    <t>15.8</t>
  </si>
  <si>
    <t>Puxador tipo alça em aço escovado para Porta de vidro, duplo (interna e externa)</t>
  </si>
  <si>
    <t>15.9</t>
  </si>
  <si>
    <t>Fechadura tubular para porta em divisória cega</t>
  </si>
  <si>
    <t>15.10</t>
  </si>
  <si>
    <t>Trilho e roldana para Porta retrátil e de correr - substituição</t>
  </si>
  <si>
    <t>15.11</t>
  </si>
  <si>
    <t>Puxador tipo bola</t>
  </si>
  <si>
    <t>15.12</t>
  </si>
  <si>
    <t>Dobradiça com mola (ref. Pagé)</t>
  </si>
  <si>
    <t>15.13</t>
  </si>
  <si>
    <t>Fechadura e contra fechadura para Porta de vidro lamindo/temperado pivotante</t>
  </si>
  <si>
    <t>15.14</t>
  </si>
  <si>
    <t>Fechadura Tipo Bico de Papagaio para Porta de vidro laminado/temperado de correr interna/externa</t>
  </si>
  <si>
    <t>15.15</t>
  </si>
  <si>
    <t>Fechadura de segurança tetra para porta de madeira ou metálica</t>
  </si>
  <si>
    <t>15.16</t>
  </si>
  <si>
    <t>Reparo e ajuste de fechaduras diversas</t>
  </si>
  <si>
    <t>15.17</t>
  </si>
  <si>
    <t>Fechadura tipo Livre/Ocupado</t>
  </si>
  <si>
    <t>VIDRAÇARIA</t>
  </si>
  <si>
    <t>16.1</t>
  </si>
  <si>
    <t>Vidro cristal liso 4 mm colocado em caixilho com massa</t>
  </si>
  <si>
    <t>16.2</t>
  </si>
  <si>
    <t>Vidro cristal liso 6 mm colocado em caixilho com massa</t>
  </si>
  <si>
    <t>16.3</t>
  </si>
  <si>
    <t>Vidro fantasia 4 mm colocado em caixilho com massa</t>
  </si>
  <si>
    <t>16.4</t>
  </si>
  <si>
    <t>Vidro aramado, colocado em caixilho, fixado com massa, espessura 6 mm</t>
  </si>
  <si>
    <t>16.5</t>
  </si>
  <si>
    <t>Vidro temperado incolor 10 mm colocado em caixilho com gaxeta de neoprene</t>
  </si>
  <si>
    <t>16.6</t>
  </si>
  <si>
    <t>Vidro cristal laminado, colocado em caixilho com ou sem baguetes, com gaxeta de neoprene espessuras de 8mm</t>
  </si>
  <si>
    <t>16.7</t>
  </si>
  <si>
    <t>Vidro cristal laminado, colocado em caixilho com ou sem baguetes, com gaxeta de neoprene espessuras de 10mm</t>
  </si>
  <si>
    <t>16.8</t>
  </si>
  <si>
    <t>Vidro jateado 6mm</t>
  </si>
  <si>
    <t>16.9</t>
  </si>
  <si>
    <t>Porta de vidro temperado incolor 10mm, sem ferragens, substituição</t>
  </si>
  <si>
    <t>16.10</t>
  </si>
  <si>
    <t>Conjunto para fixação de vidro temperado (montante/perfil)</t>
  </si>
  <si>
    <t>16.11</t>
  </si>
  <si>
    <t>Conjunto para fixação de vidros comuns (montante/perfil)</t>
  </si>
  <si>
    <t>16.12</t>
  </si>
  <si>
    <t xml:space="preserve">Aplicação de adesivo jateado em vidro temperado </t>
  </si>
  <si>
    <t>16.13</t>
  </si>
  <si>
    <t>Película em impressão digital de vinil auto-adesivo liso ou perfurado</t>
  </si>
  <si>
    <t>16.14</t>
  </si>
  <si>
    <t>Espelho lapidado ou bizotado, inclusive instalação</t>
  </si>
  <si>
    <t>16.15</t>
  </si>
  <si>
    <t>Prateleira de vidro temperado 12mm, serigrafada cor azul para Carenagens</t>
  </si>
  <si>
    <t>16.16</t>
  </si>
  <si>
    <t>Persiana vertical em tecido</t>
  </si>
  <si>
    <t>16.17</t>
  </si>
  <si>
    <t>Persiana rolô em tecido com blackout</t>
  </si>
  <si>
    <t>16.18</t>
  </si>
  <si>
    <t>Manutenção de persianas</t>
  </si>
  <si>
    <t>PINTURA</t>
  </si>
  <si>
    <t>17.2</t>
  </si>
  <si>
    <t xml:space="preserve">Emassamento de parede interna ou teto com massa corrida a base de PVA com duas demãos </t>
  </si>
  <si>
    <t>17.3</t>
  </si>
  <si>
    <t>Pintura texturizada em parede ou teto interna ou externa</t>
  </si>
  <si>
    <t>17.4</t>
  </si>
  <si>
    <t>17.7</t>
  </si>
  <si>
    <t>Pintura em esmalte sintético para madeira com duas demãos, sem emassamento</t>
  </si>
  <si>
    <t>17.8</t>
  </si>
  <si>
    <t xml:space="preserve">Pintura para piso a base de resina acrílica - piso, faixas de demarcação de vagas, PNE, carro forte e similares </t>
  </si>
  <si>
    <t>17.9</t>
  </si>
  <si>
    <t>Pintura Automotiva</t>
  </si>
  <si>
    <t>ENCERAMENTO E LUSTRAÇÃO</t>
  </si>
  <si>
    <t>INST. ELÉTRICAS, TELEC. E  INFORMÁTICA</t>
  </si>
  <si>
    <t>19.1</t>
  </si>
  <si>
    <t>19.2</t>
  </si>
  <si>
    <t>19.3</t>
  </si>
  <si>
    <t>19.4</t>
  </si>
  <si>
    <t>19.6</t>
  </si>
  <si>
    <t>19.7</t>
  </si>
  <si>
    <t>Adaptador 2P+T / 10 A - 20 A (padrão novo / padrão antigo)</t>
  </si>
  <si>
    <t>19.8</t>
  </si>
  <si>
    <t>19.9</t>
  </si>
  <si>
    <t>19.10</t>
  </si>
  <si>
    <t>19.11</t>
  </si>
  <si>
    <t>19.12</t>
  </si>
  <si>
    <t>19.13</t>
  </si>
  <si>
    <t xml:space="preserve">Certificação, identificação e/ou habilitação de ponto lógico existente </t>
  </si>
  <si>
    <t>19.14</t>
  </si>
  <si>
    <t>19.15</t>
  </si>
  <si>
    <t>Ponto para câmera de CFTV novo - Custos Fixos</t>
  </si>
  <si>
    <t>19.16</t>
  </si>
  <si>
    <t>19.17</t>
  </si>
  <si>
    <t>Luminária LED Direcional - Embutir</t>
  </si>
  <si>
    <t>19.18</t>
  </si>
  <si>
    <t>19.19</t>
  </si>
  <si>
    <t>Reator eletrônico, partida rápida, alto fator de potência, 2 x 14W a 2x32W</t>
  </si>
  <si>
    <t>19.20</t>
  </si>
  <si>
    <t>Refletor /projetor de uso externo de 150 até 400W sem lâmpada e sem reator</t>
  </si>
  <si>
    <t>19.21</t>
  </si>
  <si>
    <t>19.22</t>
  </si>
  <si>
    <t>19.23</t>
  </si>
  <si>
    <t xml:space="preserve">Reator Vapor Metálico Interno / Externo até 150W 220V </t>
  </si>
  <si>
    <t>19.24</t>
  </si>
  <si>
    <t xml:space="preserve">Reator Vapor Metálico Interno / Externo 400W 220V </t>
  </si>
  <si>
    <t>19.25</t>
  </si>
  <si>
    <t>Lâmpada fluorescente tubular 14 W T5</t>
  </si>
  <si>
    <t>19.26</t>
  </si>
  <si>
    <t xml:space="preserve">Lâmpada fluorescente compacta integrada 25W </t>
  </si>
  <si>
    <t>19.27</t>
  </si>
  <si>
    <t>Lâmpada fluorescente tubular 16 W T8</t>
  </si>
  <si>
    <t>19.28</t>
  </si>
  <si>
    <t>Lâmpada fluorescente tubular 32W</t>
  </si>
  <si>
    <t>19.29</t>
  </si>
  <si>
    <t>Lâmpada fluorescente tubular T5 28W</t>
  </si>
  <si>
    <t>19.30</t>
  </si>
  <si>
    <t>Lâmpada para refletor/projetor de uso externo potência de 250 W</t>
  </si>
  <si>
    <t>19.31</t>
  </si>
  <si>
    <t xml:space="preserve">Lâmpada de vapor de sodio de 250w /220v </t>
  </si>
  <si>
    <t>19.32</t>
  </si>
  <si>
    <t>Lâmpada halógena par20 de 50w / 127v / 220v</t>
  </si>
  <si>
    <t>19.33</t>
  </si>
  <si>
    <t>Lâmpada Vapor Metálico PAR20 35W / E27 / 220V / 3000K</t>
  </si>
  <si>
    <t>19.34</t>
  </si>
  <si>
    <t>19.35</t>
  </si>
  <si>
    <t xml:space="preserve">Fita de LED </t>
  </si>
  <si>
    <t>19.36</t>
  </si>
  <si>
    <t>19.37</t>
  </si>
  <si>
    <t>19.38</t>
  </si>
  <si>
    <t>Lâmpada fluorescente tubular HO 110W, 220V</t>
  </si>
  <si>
    <t>19.39</t>
  </si>
  <si>
    <t>Lâmpada Vapor metálico 150W, base E27/E40</t>
  </si>
  <si>
    <t>19.40</t>
  </si>
  <si>
    <t>Lâmpada Vapor metálico 400W, base E40</t>
  </si>
  <si>
    <t>19.41</t>
  </si>
  <si>
    <t>Lâmpada vapor metálico 250W base E40</t>
  </si>
  <si>
    <t>19.42</t>
  </si>
  <si>
    <t>Luminária LED Quadrada - Embutir/Sobrepor</t>
  </si>
  <si>
    <t>19.43</t>
  </si>
  <si>
    <t xml:space="preserve">Luminária Led autonoma de iluminação de emergência com 30 Leds </t>
  </si>
  <si>
    <t>19.44</t>
  </si>
  <si>
    <t>Luminária Fluorescente Retangular Completa, de Embutir ou de Sobrepor,  2x25W  a 2x32W</t>
  </si>
  <si>
    <t>19.45</t>
  </si>
  <si>
    <t>Luminária Fluorescente Quadrada Completa, de Embutir ou de Sobrepor,  4x14W a  4x16W</t>
  </si>
  <si>
    <t>19.46</t>
  </si>
  <si>
    <t>Luminária fluorescente retangular completa, de embutir ou de sobrepor,  2x14W a  2x16W</t>
  </si>
  <si>
    <t>19.47</t>
  </si>
  <si>
    <t>19.48</t>
  </si>
  <si>
    <t>Refletor em alumínio, 60 Leds, bivolt, uso externo</t>
  </si>
  <si>
    <t>19.49</t>
  </si>
  <si>
    <t>Sensor de Presença - Regulagem e Ajustes</t>
  </si>
  <si>
    <t>19.50</t>
  </si>
  <si>
    <t>Sensor de presença teto/parede para controle de iluminação, uso geral, com ou sem fotocélula</t>
  </si>
  <si>
    <t>19.51</t>
  </si>
  <si>
    <t>Manutenção / Programação de Quadro de Comando e Automação</t>
  </si>
  <si>
    <t>19.52</t>
  </si>
  <si>
    <t>Disjuntor bipolar até 32A</t>
  </si>
  <si>
    <t>19.53</t>
  </si>
  <si>
    <t>Quadros elétricos - Manutenção</t>
  </si>
  <si>
    <t>19.54</t>
  </si>
  <si>
    <t>Disjuntor termomagnético tripolar 300 a 400 A / 600 V, tipo JXD / ICC - 40 KA</t>
  </si>
  <si>
    <t>19.55</t>
  </si>
  <si>
    <t>Disjuntor termomagnético tripolar até 200A/35KA</t>
  </si>
  <si>
    <t>19.56</t>
  </si>
  <si>
    <t>Disjuntor tripolar até 100A</t>
  </si>
  <si>
    <t>19.57</t>
  </si>
  <si>
    <t>Disjuntor tripolar até 50A</t>
  </si>
  <si>
    <t>19.58</t>
  </si>
  <si>
    <t>Disjuntor bipolar até 50A</t>
  </si>
  <si>
    <t>19.59</t>
  </si>
  <si>
    <t xml:space="preserve">Disjuntor monopolar até 50A </t>
  </si>
  <si>
    <t>19.60</t>
  </si>
  <si>
    <t>Dispositivo de proteção contra surto DPS 20KA/275V</t>
  </si>
  <si>
    <t>19.61</t>
  </si>
  <si>
    <t>Dispositivo de proteção contra surto DPS 45KA/275V</t>
  </si>
  <si>
    <t>19.62</t>
  </si>
  <si>
    <t>Dispositivo de proteção contra surto DPS 90KA/275V</t>
  </si>
  <si>
    <t>19.63</t>
  </si>
  <si>
    <t>Dispositivo diferencial residual DR bipolar 220V/127V - 30ma - 63A</t>
  </si>
  <si>
    <t>19.64</t>
  </si>
  <si>
    <t>Dispositivo diferencial residual DR Tetrapolar (4P) 30ma – 25A</t>
  </si>
  <si>
    <t>19.65</t>
  </si>
  <si>
    <t>Dispositivo diferencial residual DR Tetrapolar (4P) 30ma – 63A</t>
  </si>
  <si>
    <t>19.66</t>
  </si>
  <si>
    <t>19.67</t>
  </si>
  <si>
    <t>Contator de Potencia até 45A</t>
  </si>
  <si>
    <t>19.68</t>
  </si>
  <si>
    <t>19.69</t>
  </si>
  <si>
    <t>Bloco de Contato  Auxiliar 1na + 1nf</t>
  </si>
  <si>
    <t>19.70</t>
  </si>
  <si>
    <t>Bloco de Contato  Auxiliar 2na + 2nf</t>
  </si>
  <si>
    <t>19.71</t>
  </si>
  <si>
    <t>Placa em Policarbonato 3mm para proteção de quadros elétricos</t>
  </si>
  <si>
    <t>19.72</t>
  </si>
  <si>
    <t>19.73</t>
  </si>
  <si>
    <t>19.74</t>
  </si>
  <si>
    <t>19.75</t>
  </si>
  <si>
    <t>19.76</t>
  </si>
  <si>
    <t>19.77</t>
  </si>
  <si>
    <t>Timer digital - Programação ou alteração da programação do timer digital</t>
  </si>
  <si>
    <t>19.78</t>
  </si>
  <si>
    <t>Timer digital - Interruptor horário, 127/220V/16A</t>
  </si>
  <si>
    <t>19.79</t>
  </si>
  <si>
    <t>19.80</t>
  </si>
  <si>
    <t>19.81</t>
  </si>
  <si>
    <t>19.82</t>
  </si>
  <si>
    <t>19.83</t>
  </si>
  <si>
    <t>19.84</t>
  </si>
  <si>
    <t>19.85</t>
  </si>
  <si>
    <t>19.86</t>
  </si>
  <si>
    <t>19.87</t>
  </si>
  <si>
    <t>19.88</t>
  </si>
  <si>
    <t>Fonte de Alimentação estabilizada para câmera CFTV 127/220VAC /12VCC/25A</t>
  </si>
  <si>
    <t>19.89</t>
  </si>
  <si>
    <t>Driver de corrente para lâmpadas ou fitas de led (12 ou 24 vdc - 6a - 127v/220v)</t>
  </si>
  <si>
    <t>19.90</t>
  </si>
  <si>
    <t>Luminária circular LED orientável orbital</t>
  </si>
  <si>
    <t>19.91</t>
  </si>
  <si>
    <t>Patch Panel 24 portas Cat5e c/ guia de cabos 1U</t>
  </si>
  <si>
    <t>19.92</t>
  </si>
  <si>
    <t>Patch Cord flexivel Cat5e / 10m</t>
  </si>
  <si>
    <t>19.93</t>
  </si>
  <si>
    <t>Patch Cord flexivel Cat5e / 5m</t>
  </si>
  <si>
    <t>19.94</t>
  </si>
  <si>
    <t xml:space="preserve">Patch Cord flexivel Cat5e / 2,5m </t>
  </si>
  <si>
    <t>19.95</t>
  </si>
  <si>
    <t>Patch cord flexivel Cat5e / 1,5m</t>
  </si>
  <si>
    <t>19.96</t>
  </si>
  <si>
    <t>19.97</t>
  </si>
  <si>
    <t>19.98</t>
  </si>
  <si>
    <t>Teclado de senhas digital, para controle de acesso</t>
  </si>
  <si>
    <t>19.99</t>
  </si>
  <si>
    <t xml:space="preserve">Caixa quebra vidro de emergência </t>
  </si>
  <si>
    <t>Botão Emulador (botão de saida)</t>
  </si>
  <si>
    <t>Suporte para fixação da fechadura</t>
  </si>
  <si>
    <t>Fonte de alimentação com carregador de bateria e placa ATM para Fechadura Eletromagnética força de tração 150kgf</t>
  </si>
  <si>
    <t>Fechadura Elétrica com fonte de alimentação</t>
  </si>
  <si>
    <t>No-Break e/ou banco de baterias - substuição/relocalização/instalação</t>
  </si>
  <si>
    <t>Aterramento / SPDA - revisão geral</t>
  </si>
  <si>
    <t>Aterramento / SPDA - Haste de aterramento em cobre 3/4"x3m com cabo e conector</t>
  </si>
  <si>
    <t>Encaixotamento e retirada de equipamentos diversos - Desocupação de Imóvel</t>
  </si>
  <si>
    <t>Bomba de água de 1/4 cv</t>
  </si>
  <si>
    <t>Bomba de água de 1/2 cv</t>
  </si>
  <si>
    <t>Bomba de água de 1 cv</t>
  </si>
  <si>
    <t>Quadro de Telefonia (DG) - Manutenção</t>
  </si>
  <si>
    <t>Cabo Telefone CCI 50x10</t>
  </si>
  <si>
    <t>Cabo Telefone CCI 50x20</t>
  </si>
  <si>
    <t>Cabo Telefone CCI 50x30</t>
  </si>
  <si>
    <t>Acompanhamento de implantação de equipamentos</t>
  </si>
  <si>
    <t>Laudo de medição de nível de iluminamento</t>
  </si>
  <si>
    <t>Laudo de medição de resistência de aterramento</t>
  </si>
  <si>
    <t>Remoção de Infraestrutura elétrica e Lógica - Desocupação de Imóvel</t>
  </si>
  <si>
    <t>Remoção de Luminária - Desocupação de Imóvel</t>
  </si>
  <si>
    <t>Relé Fotoelétrico</t>
  </si>
  <si>
    <t>Luminária circular de embutir com foco orientável</t>
  </si>
  <si>
    <t>Adesivo para Fechadura Eletromagnética força de tração 150kgf</t>
  </si>
  <si>
    <t>Bateria 12 V - 7 Ah</t>
  </si>
  <si>
    <t>BATERIA 12V até 70AH</t>
  </si>
  <si>
    <t>Ponto lógico - manutenção - troca de cabo UTP</t>
  </si>
  <si>
    <t>Ponto elétrico - manutenção - troca de cabo elétrico</t>
  </si>
  <si>
    <t>Bloco autônomo emergência com dois faróis 1200 lúmens</t>
  </si>
  <si>
    <t>Bloco autônomo emergência com dois faróis 2200 lúmens</t>
  </si>
  <si>
    <t>Unidade Autônoma para iluminação de emergência fluxo luminoso mínimo de 500 lúmens</t>
  </si>
  <si>
    <t>Suporte para fixação da fechadura eletromagnética para autoatendimento</t>
  </si>
  <si>
    <t>Desinstalação/Instalação de luminária</t>
  </si>
  <si>
    <t>INSTALAÇÕES DE ÁGUA</t>
  </si>
  <si>
    <t>20.1</t>
  </si>
  <si>
    <t>Registro de gaveta bruto com ADAPTADOR SOLDÁVEL para PVC, Ø 15 mm - 1/2"</t>
  </si>
  <si>
    <t>20.2</t>
  </si>
  <si>
    <t>Registro de gaveta bruto com ADAPTADOR SOLDÁVEL para PVC, Ø 20 mm - 3/4"</t>
  </si>
  <si>
    <t>20.3</t>
  </si>
  <si>
    <t>Registro de gaveta bruto com canopla cromada e adaptador para PVC , Ø 25 mm - 1"</t>
  </si>
  <si>
    <t>20.4</t>
  </si>
  <si>
    <t>Registro de gaveta bruto com canopla cromada e adaptador para PVC , Ø 40 mm - 1 1/2"</t>
  </si>
  <si>
    <t>20.5</t>
  </si>
  <si>
    <t>Registro de gaveta bruto com ADAPTADOR para PVC, Ø 25 mm - 1"</t>
  </si>
  <si>
    <t>20.6</t>
  </si>
  <si>
    <t>Registro de gaveta bruto com ADAPTADOR para PVC, Ø 32 mm - 1 1/4"</t>
  </si>
  <si>
    <t>20.7</t>
  </si>
  <si>
    <t>Registro de gaveta bruto com ADAPTADOR para PVC, Ø 40 mm - 1 1/2"</t>
  </si>
  <si>
    <t>20.8</t>
  </si>
  <si>
    <t>Registro de gaveta bruto com ADAPTADOR para PVC, Ø 50 mm - 2"</t>
  </si>
  <si>
    <t>20.9</t>
  </si>
  <si>
    <t>Registro de gaveta bruto com ADAPTADOR para PVC, Ø 65 mm - 2 1/2"</t>
  </si>
  <si>
    <t>20.10</t>
  </si>
  <si>
    <t>Registro de pressão com canopla até Ø 25 mm - 1"</t>
  </si>
  <si>
    <t>20.11</t>
  </si>
  <si>
    <t>Torneira de bóia até 1 1/4"</t>
  </si>
  <si>
    <t>20.12</t>
  </si>
  <si>
    <t>Reservatório  de fibra de vidro - capacidade de 1000 litros</t>
  </si>
  <si>
    <t>20.13</t>
  </si>
  <si>
    <t>Reservatório  de fibra de vidro - capacidade de 2000 litros</t>
  </si>
  <si>
    <t>20.14</t>
  </si>
  <si>
    <t>20.15</t>
  </si>
  <si>
    <t>Desentupimento de rede de água pluvial, hidráulica, ralos, pias, lavatórios, sifão, tanques, bebedouro e válvulas</t>
  </si>
  <si>
    <t>20.16</t>
  </si>
  <si>
    <t>Desentupimento de Instalações de Esgoto, bacia sanitária e mictórios</t>
  </si>
  <si>
    <t>20.17</t>
  </si>
  <si>
    <t>Desentupimento de Instalações de Esgoto em geral com Equipamentos Especiais</t>
  </si>
  <si>
    <t>20.18</t>
  </si>
  <si>
    <t>Válvula de descarga metálica</t>
  </si>
  <si>
    <t>20.19</t>
  </si>
  <si>
    <t>Desentupimento de Dreno de Ar condicionado</t>
  </si>
  <si>
    <t>20.20</t>
  </si>
  <si>
    <t>Ponto de água fria (até 6m)</t>
  </si>
  <si>
    <t>20.21</t>
  </si>
  <si>
    <t>Válvula de retenção  de pé com crivo até Ø 25mm (1")</t>
  </si>
  <si>
    <t>INSTALAÇÕES CONTRA INCÊNDIO</t>
  </si>
  <si>
    <t>21.1</t>
  </si>
  <si>
    <t>Mangueira tipo 2 com união de engate rápido, DN = 1 1/2" (38 mm)</t>
  </si>
  <si>
    <t>21.2</t>
  </si>
  <si>
    <t>Esguicho latão com engate rápido, DN = 2 1/2", requinte fixo</t>
  </si>
  <si>
    <t>21.3</t>
  </si>
  <si>
    <t>Adaptador de engate rápido em latão de 2 1/2" x 1 1/2"</t>
  </si>
  <si>
    <t>21.4</t>
  </si>
  <si>
    <t>Registro globo angular 45°, Ø 65 mm (2 1/2")</t>
  </si>
  <si>
    <t>21.5</t>
  </si>
  <si>
    <t>Chave para conexão de engate rápido tipo STORZ (dupla)</t>
  </si>
  <si>
    <t>21.6</t>
  </si>
  <si>
    <t>Tampa em ferro fundido para HIDRANTE de recalque (40X60cm)</t>
  </si>
  <si>
    <t>21.7</t>
  </si>
  <si>
    <t>Suporte de parede para extintor</t>
  </si>
  <si>
    <t>21.8</t>
  </si>
  <si>
    <t>Suporte de piso para extintor</t>
  </si>
  <si>
    <t>21.9</t>
  </si>
  <si>
    <t>Placa de sinalização PPCI fotoluminescente em PVC, adesivada</t>
  </si>
  <si>
    <t>21.10</t>
  </si>
  <si>
    <t>Detector óptico de fumaça endereçavel</t>
  </si>
  <si>
    <t>21.11</t>
  </si>
  <si>
    <t>Detector termovelocimétrico endereçavel</t>
  </si>
  <si>
    <t>21.12</t>
  </si>
  <si>
    <t>Acionador alarme de incêndio</t>
  </si>
  <si>
    <t>21.13</t>
  </si>
  <si>
    <t>Sinalizador audiovisual endereçavel</t>
  </si>
  <si>
    <t>INSTALAÇÕES SANITÁRIAS, DE ESGOTO E ÁGUAS PLUVIAIS</t>
  </si>
  <si>
    <t>22.1</t>
  </si>
  <si>
    <t>Manutenção em caixas de descarga Montana e  caixa acoplada convencional - Reparo</t>
  </si>
  <si>
    <t>22.2</t>
  </si>
  <si>
    <t>Manutenção em caixas de descarga Montana - Troca de Espelho</t>
  </si>
  <si>
    <t>22.3</t>
  </si>
  <si>
    <t>Manutenção de válvula de descarga - Reparo</t>
  </si>
  <si>
    <t>22.4</t>
  </si>
  <si>
    <t>Manutenção de Torneira - Reparo</t>
  </si>
  <si>
    <t>22.5</t>
  </si>
  <si>
    <t>Manutenção de bacia sanitária</t>
  </si>
  <si>
    <t>22.6</t>
  </si>
  <si>
    <t>Caixa sifonada de PVC, 3 a 5 saídas, com tampa metálica</t>
  </si>
  <si>
    <t>22.7</t>
  </si>
  <si>
    <t>Ponto de esgoto (até 6m)</t>
  </si>
  <si>
    <t>22.8</t>
  </si>
  <si>
    <t>Ralo Semiesférico (tipo abacaxi)</t>
  </si>
  <si>
    <t>22.9</t>
  </si>
  <si>
    <t>Chave de Bóia automática</t>
  </si>
  <si>
    <t>22.10</t>
  </si>
  <si>
    <t xml:space="preserve">Ralo sifonado de PVC rígido </t>
  </si>
  <si>
    <t>22.11</t>
  </si>
  <si>
    <t>VÁLVULA de retenção horizontal ou vertical -2 1/2"</t>
  </si>
  <si>
    <t>INSTALAÇÕES ESPECIAIS</t>
  </si>
  <si>
    <t>INSTALAÇÕES DE GÁS</t>
  </si>
  <si>
    <t>INSTALAÇÕES DE TRANSPORTE VERTICAL</t>
  </si>
  <si>
    <t>INSTALAÇÕES DE AR COND., VENT. E AQUECIMENTO</t>
  </si>
  <si>
    <t>LIXO</t>
  </si>
  <si>
    <t>EQUIPAMENTOS SANITÁRIOS E DE COZINHA</t>
  </si>
  <si>
    <t>28.1</t>
  </si>
  <si>
    <t>Bacia sanitária de louça com caixa acoplada, com tampa e acessórios</t>
  </si>
  <si>
    <t>28.2</t>
  </si>
  <si>
    <t>Bacia de louça sifonada, com tampa e acessórios</t>
  </si>
  <si>
    <t>28.3</t>
  </si>
  <si>
    <t>BARRA de apoio em aço inox até - 90 cm - 1.1/2" - NBR 9050</t>
  </si>
  <si>
    <t>28.4</t>
  </si>
  <si>
    <t>BARRA de apoio de canto, em aço inox - até 80 x 80 cm - 1.1/2" - NBR 9050</t>
  </si>
  <si>
    <t>28.5</t>
  </si>
  <si>
    <t>Refixação de barra de apoio PPNE, conforme NBR 9050</t>
  </si>
  <si>
    <t>28.6</t>
  </si>
  <si>
    <t>Caixa de descarga suspensa embutida (padrão Montana 9000) inclusive instalação e acessórios padronizados</t>
  </si>
  <si>
    <t>28.7</t>
  </si>
  <si>
    <t>Cuba  - Colagem</t>
  </si>
  <si>
    <t>28.8</t>
  </si>
  <si>
    <t>Cuba em louça para embutir</t>
  </si>
  <si>
    <t>28.9</t>
  </si>
  <si>
    <t>Dosador de sabão tipo dispenser - capacidade 1000ml</t>
  </si>
  <si>
    <t>28.10</t>
  </si>
  <si>
    <t>Dispenser para copo descartável</t>
  </si>
  <si>
    <t>28.11</t>
  </si>
  <si>
    <t>Ducha higiênica manual cromada</t>
  </si>
  <si>
    <t>28.12</t>
  </si>
  <si>
    <t>Manutenção ducha higiênica</t>
  </si>
  <si>
    <t>28.13</t>
  </si>
  <si>
    <t>Engate flexível para água</t>
  </si>
  <si>
    <t>28.14</t>
  </si>
  <si>
    <t>Lavatório com coluna suspensa</t>
  </si>
  <si>
    <t>28.15</t>
  </si>
  <si>
    <t>Válvula de escoamento para lavatório ou cuba</t>
  </si>
  <si>
    <t>28.16</t>
  </si>
  <si>
    <t>Lavatório de canto sem coluna, inclusive válvula</t>
  </si>
  <si>
    <t>28.17</t>
  </si>
  <si>
    <t>Mictório de louça individual</t>
  </si>
  <si>
    <t>28.18</t>
  </si>
  <si>
    <t>Dispenser papel higiênico</t>
  </si>
  <si>
    <t>28.19</t>
  </si>
  <si>
    <t>Dispenser para toalha de papel</t>
  </si>
  <si>
    <t>28.20</t>
  </si>
  <si>
    <t>Sifão flexível</t>
  </si>
  <si>
    <t>28.21</t>
  </si>
  <si>
    <t>Sifão metálico para lavatório</t>
  </si>
  <si>
    <t>28.22</t>
  </si>
  <si>
    <t>Válvula de descarga p/ mictório c/ fechamento automático</t>
  </si>
  <si>
    <t>28.23</t>
  </si>
  <si>
    <t>Bacia PPNE, com assento e acessórios</t>
  </si>
  <si>
    <t>28.24</t>
  </si>
  <si>
    <t>Assento poliéster para PPNE</t>
  </si>
  <si>
    <t>28.25</t>
  </si>
  <si>
    <t>Assento Plástico</t>
  </si>
  <si>
    <t>28.26</t>
  </si>
  <si>
    <t>Torneira metálica para tanque</t>
  </si>
  <si>
    <t>28.27</t>
  </si>
  <si>
    <t>Torneira para lavatório de parede, fechamento automático</t>
  </si>
  <si>
    <t>28.28</t>
  </si>
  <si>
    <t>Torneira para lavatório de mesa, fechamento automático</t>
  </si>
  <si>
    <t>28.29</t>
  </si>
  <si>
    <t>Tampo/Bancada em granito</t>
  </si>
  <si>
    <t>28.30</t>
  </si>
  <si>
    <t>Bebedouro - Instalação</t>
  </si>
  <si>
    <t>28.31</t>
  </si>
  <si>
    <t>Fixação de equipamentos sanitários</t>
  </si>
  <si>
    <t>28.32</t>
  </si>
  <si>
    <t>Torneira para banheiro PNE com alavanca para acionamento</t>
  </si>
  <si>
    <t>28.33</t>
  </si>
  <si>
    <t>Torneira metálica para copa ou cozinha</t>
  </si>
  <si>
    <t>28.34</t>
  </si>
  <si>
    <t>Dosador de sabão tipo dispenser  de parede</t>
  </si>
  <si>
    <t>DIVERSOS</t>
  </si>
  <si>
    <t>29.1</t>
  </si>
  <si>
    <t>Sinalização símbolo acessibilidade (adesivos)</t>
  </si>
  <si>
    <t>29.2</t>
  </si>
  <si>
    <t>Adesivos padrão BB (ex: remus, estilo, high-tech,  nova ambiência, padrão 98 ou similares) com/sem mensagens (segurança, horário da agência, SAA, ou similares.)</t>
  </si>
  <si>
    <t>29.3</t>
  </si>
  <si>
    <t>Sinalização visual e tátil no acesso - PLACA 30x18 cm</t>
  </si>
  <si>
    <t>29.4</t>
  </si>
  <si>
    <t>29.5</t>
  </si>
  <si>
    <t>Alarme de emergência sem fio para sanitário de PPNE (botoeira/alarme sonoro e visual)</t>
  </si>
  <si>
    <t>29.7</t>
  </si>
  <si>
    <t>Faixa adesiva de segurança de fachada</t>
  </si>
  <si>
    <t>29.8</t>
  </si>
  <si>
    <t>Grafema em vinil adesivo jateado</t>
  </si>
  <si>
    <t>29.9</t>
  </si>
  <si>
    <t>Placa interna - pictogramas diversos - em acrílico (e=8mm) fixados com pinos metálicos cromados - dim.13x30 cm</t>
  </si>
  <si>
    <t>29.10</t>
  </si>
  <si>
    <t>Placa interna - pictogramas diversos - em acrílico (e=8mm) fixados com pinos metálicos cromados - dim.20x20cm</t>
  </si>
  <si>
    <t>29.11</t>
  </si>
  <si>
    <t>Fita adesiva de piso (amarela / preta / vermelha)</t>
  </si>
  <si>
    <t>29.12</t>
  </si>
  <si>
    <t>Fita antiderrapante para degraus de escada ou rampas</t>
  </si>
  <si>
    <t>29.13</t>
  </si>
  <si>
    <t>Sinalização externa - substituição de película (para medalhão, bandeira, letreiros, pórticos de acesso, tótens e similares).</t>
  </si>
  <si>
    <t>29.14</t>
  </si>
  <si>
    <t>Sinalização externa - substituição de policarbonato e película, inclusive montagem da marca e instalação (para medalhão, bandeira, letreiros, pórticos de acesso e similares)</t>
  </si>
  <si>
    <t>29.15</t>
  </si>
  <si>
    <t>Sinalização externa - substituição de policarbonato e película, inclusive montagem da marca e instalação (para TOTENS)</t>
  </si>
  <si>
    <t>29.16</t>
  </si>
  <si>
    <t>Caixa de passagem de Massas Metálicas-CPMM, em policarbonato.</t>
  </si>
  <si>
    <t>29.17</t>
  </si>
  <si>
    <t>Desfixação de terminais de TAA/TTE</t>
  </si>
  <si>
    <t>29.18</t>
  </si>
  <si>
    <t>Fixação de terminais de TAA/TTE</t>
  </si>
  <si>
    <t>29.19</t>
  </si>
  <si>
    <t>Sinalização externa - retirada de letreiros, totem, bandeira, medalhão, pórtico de acesso.</t>
  </si>
  <si>
    <t>29.20</t>
  </si>
  <si>
    <t>Sinalização interna  - retirada de toda a caracterização interna própria</t>
  </si>
  <si>
    <t>29.21</t>
  </si>
  <si>
    <t>Fornecimento e instalação de divisória de privacidade de TAA em policarbonato para carenagem</t>
  </si>
  <si>
    <t>29.22</t>
  </si>
  <si>
    <t>Ajuste de biombo, divisórias, carenagens e mobiliário em geral</t>
  </si>
  <si>
    <t>29.23</t>
  </si>
  <si>
    <t>Fornecimento e instalação de biombo de privacidade em policarbonato</t>
  </si>
  <si>
    <t>29.24</t>
  </si>
  <si>
    <t>Remoção de adesivos e limpeza</t>
  </si>
  <si>
    <t>29.25</t>
  </si>
  <si>
    <t>Reparo de carenagens - Padrões BB</t>
  </si>
  <si>
    <t>29.26</t>
  </si>
  <si>
    <t>Recolagem de piso tátil de borracha - direcional ou alerta (por placa)</t>
  </si>
  <si>
    <t>29.27</t>
  </si>
  <si>
    <t>Sinalização tátil para corrimão - Plaqueta em braile</t>
  </si>
  <si>
    <t>29.28</t>
  </si>
  <si>
    <t>Sinalização tátil para corrimão - Anel de borracha</t>
  </si>
  <si>
    <t>29.29</t>
  </si>
  <si>
    <t>Instalação de kit de ar condicionado</t>
  </si>
  <si>
    <t>29.30</t>
  </si>
  <si>
    <t>Piso tátil de concreto - direcional ou alerta (por placa)</t>
  </si>
  <si>
    <t>29.31</t>
  </si>
  <si>
    <t>Caminhão Munck</t>
  </si>
  <si>
    <t>29.32</t>
  </si>
  <si>
    <t>Sinalização Externa - Bandeira</t>
  </si>
  <si>
    <t>29.33</t>
  </si>
  <si>
    <t>Sinalização Externa - Medalhão com logotipo BB</t>
  </si>
  <si>
    <t>29.34</t>
  </si>
  <si>
    <t>Sinalização Externa - Letreiro (módulo padrão básico de 4,10 m)</t>
  </si>
  <si>
    <t>29.35</t>
  </si>
  <si>
    <t>Sinalização Externa - Letreiro (módulo padrão básico de 4,10 m com redução de até 2/3)</t>
  </si>
  <si>
    <t>29.36</t>
  </si>
  <si>
    <t>Sinalização Externa - Letreiro (módulo padrão estendido de 5,80 m)</t>
  </si>
  <si>
    <t>29.37</t>
  </si>
  <si>
    <t>Sinalização Externa - Letreiro (módulo padrão estendido de 7,50 m)</t>
  </si>
  <si>
    <t>29.38</t>
  </si>
  <si>
    <t>Sinalização Externa - Letreiro (módulo padrão básico com bandeira de 7,75 m)</t>
  </si>
  <si>
    <t>29.39</t>
  </si>
  <si>
    <t>Sinalização Externa - Letreiro (módulo padrão estendido com bandeira de 10,30 m)</t>
  </si>
  <si>
    <t>29.40</t>
  </si>
  <si>
    <t>Sinalização Externa - Totem externo 4,10 m</t>
  </si>
  <si>
    <t>29.41</t>
  </si>
  <si>
    <t>Sinalização Externa - Totem externo 7,50 m</t>
  </si>
  <si>
    <t>29.42</t>
  </si>
  <si>
    <t>Sinalização Externa - Totem externo 12,00 m</t>
  </si>
  <si>
    <t>29.43</t>
  </si>
  <si>
    <t>Vedações em geral (janelas, portas, pias e similares)</t>
  </si>
  <si>
    <t>29.44</t>
  </si>
  <si>
    <t>Piso tátil de Inox - direcional (pinos) ou alerta (faixas)</t>
  </si>
  <si>
    <t>29.45</t>
  </si>
  <si>
    <t>Piso tátil de PVC - direcional (pinos) ou alerta (faixas)</t>
  </si>
  <si>
    <t>29.46</t>
  </si>
  <si>
    <t>Sinalização visual e tátil no acesso - PLACA 12x18 cm</t>
  </si>
  <si>
    <t>29.47</t>
  </si>
  <si>
    <t>Sinalização visual e tátil no acesso - PLACA 40x18 cm</t>
  </si>
  <si>
    <t>29.48</t>
  </si>
  <si>
    <t>Sinalização visual e tátil no acesso - PLACA 44x18 cm</t>
  </si>
  <si>
    <t>29.49</t>
  </si>
  <si>
    <t>Proteção/Ocultação Sinalização Externa - Letreiros, totem, bandeira, medalhão, pórtico de acesso.</t>
  </si>
  <si>
    <t>1.5</t>
  </si>
  <si>
    <t>1.6</t>
  </si>
  <si>
    <t>Deslocamento Fluvial</t>
  </si>
  <si>
    <t>1.7</t>
  </si>
  <si>
    <t>Remoção e reinstalação de telhas de cobertura</t>
  </si>
  <si>
    <t>2.36</t>
  </si>
  <si>
    <t>Tela para Andaime</t>
  </si>
  <si>
    <t>Concreto fck = 15 MPa, controle tipo "B", e = 10 cm, e armado com tela de aço CA-60</t>
  </si>
  <si>
    <t>Impermeabilização de calha ou lajes descobertas com emulsão asfáltica com elastômeros, 3 demãos, com tela de poliéster</t>
  </si>
  <si>
    <t>Regularização de piso para piso vinílico ou tátil em borracha</t>
  </si>
  <si>
    <t>10.22</t>
  </si>
  <si>
    <t>Regularização de piso em bloco de concreto intertravado</t>
  </si>
  <si>
    <t>10.23</t>
  </si>
  <si>
    <t>Regularização de piso carpete</t>
  </si>
  <si>
    <t>11.9</t>
  </si>
  <si>
    <t>Revestimento em Pastilha Cerâmica, assentada com argamassa colante e rejunte.</t>
  </si>
  <si>
    <t>12.13</t>
  </si>
  <si>
    <t>Forro de PVC, incluindo fixação, sem estrutura</t>
  </si>
  <si>
    <t>12.14</t>
  </si>
  <si>
    <t>Forro de gesso (RU), incluindo fixação, sem estrutura</t>
  </si>
  <si>
    <t>13.22</t>
  </si>
  <si>
    <t>Desmontagem de carenagens (ex: remus, estilo, high-tech,  nova ambiência, padrão 98 ou similares)</t>
  </si>
  <si>
    <t>Mola hidráulica de Piso ou Aérea - Manutenção (ajuste e regulagem)</t>
  </si>
  <si>
    <t>Pintura em esmalte sintético standard em estrutura metálica com duas demãos</t>
  </si>
  <si>
    <t>Pintura em látex acrílica standard fosca sem emassamento, 3 demãos, com aplicação de selador para exterior</t>
  </si>
  <si>
    <t xml:space="preserve">Pintura em látex acrílica premium fosca em paredes internas ou externas, exceto muros, com três demãos, sem emassamento, com aplicação de selador para alvenaria exterior.  </t>
  </si>
  <si>
    <t>17.10</t>
  </si>
  <si>
    <t>Pintura em látex acrílica econômica fosca, em muros, com duas demãos, sem emassamento, com aplicação de selador para alvenaria exterior</t>
  </si>
  <si>
    <t>17.11</t>
  </si>
  <si>
    <t xml:space="preserve">Pintura em látex acrílica premium acetinada em paredes internas ou externas, exceto muros, com três demãos, sem emassamento, com aplicação de selador para alvenaria exterior.  </t>
  </si>
  <si>
    <t>Ponto elétrico duplo - Custos Fixos</t>
  </si>
  <si>
    <t xml:space="preserve">Infraestrutura para instalações elétricas, lógicas ou de telefonia, até 1". </t>
  </si>
  <si>
    <t>Ponto elétrico simples - Custos fixos</t>
  </si>
  <si>
    <t>Infraestrutura para instalações elétricas, lógicas ou de telefonia, 1,25" até 2"</t>
  </si>
  <si>
    <t>Infraestrutura para instalações elétricas, lógicas ou de telefonia com eletrocalhas de alumínio</t>
  </si>
  <si>
    <t>Ponto lógico duplo - Custos Fixos</t>
  </si>
  <si>
    <t>Ponto lógico/alarme  - Custos Fixos</t>
  </si>
  <si>
    <t>Contator Bipolar de Potencia até 50A</t>
  </si>
  <si>
    <t>Desinstalação/Instalação de suporte de câmera de CFTV</t>
  </si>
  <si>
    <t>Desinstalação/Instalação de equipamentos de WIFI e Access Point</t>
  </si>
  <si>
    <t>Lâmpada LED 14W T5</t>
  </si>
  <si>
    <t>Fonte de alimentação para Sinalização LED</t>
  </si>
  <si>
    <t>Placa de LED para Sinalização (letreiro, totem, bandeira, medalhão, pórtico, painel, etc.)</t>
  </si>
  <si>
    <t>Lâmpada LED Bulbo ou PAR20</t>
  </si>
  <si>
    <t>Lâmpada LED tubular bivolt 9/10W</t>
  </si>
  <si>
    <t>Lâmpada LED tubular bivolt 18/20W</t>
  </si>
  <si>
    <t>Luminária circular completa de sobrepor ou embutir, para duas lâmpadas fluorescentes compactas integradas ou fluorescentes 4 pinos de 26W</t>
  </si>
  <si>
    <t>Timer digital - Interruptor horário, 127/220V/16A - 2 Canais</t>
  </si>
  <si>
    <t>Luminária LED circular ou quadrada</t>
  </si>
  <si>
    <t>Luminária tipo tartaruga para uso interno ou externo</t>
  </si>
  <si>
    <t>Refletor LED em alumínio, 150W/200W, bivolt, uso externo</t>
  </si>
  <si>
    <t>Circuito Elétrico MonoFásico ou Bifásico até 25A</t>
  </si>
  <si>
    <t>Circuito Elétrico MonoFásico ou Bifásico até 50A</t>
  </si>
  <si>
    <t>Manutenção do Sistema de Controle de Acesso</t>
  </si>
  <si>
    <t>Circuito Elétrico Trifásico até 50A</t>
  </si>
  <si>
    <t xml:space="preserve">Patch Cord flexivel Cat6e / 2,5m </t>
  </si>
  <si>
    <t>Instalação/Susbtituição de cabo coaxial</t>
  </si>
  <si>
    <t>Manutenção em Bomba de água de 1/4 cv a 5cv</t>
  </si>
  <si>
    <t>Correção de vazamentos hidráulicos, inclusive detecção de vazamento</t>
  </si>
  <si>
    <t>20.22</t>
  </si>
  <si>
    <t>Registro regulador de Vazão</t>
  </si>
  <si>
    <t>20.23</t>
  </si>
  <si>
    <t>Correção de vazamentos hidráulicos em tubulação metálica, inclusive detecção de vazamento.</t>
  </si>
  <si>
    <t>29.50</t>
  </si>
  <si>
    <t>Caminhão com Cesto Aereo Isolado</t>
  </si>
  <si>
    <t>29.51</t>
  </si>
  <si>
    <t>Hospedagem de equipe técnica - Serviços prolongados</t>
  </si>
  <si>
    <t>Laudo técnico fotográfico - Elementos de Sinalização - Padrão BB</t>
  </si>
  <si>
    <t>3.1</t>
  </si>
  <si>
    <t>Escavação Manual em Solo</t>
  </si>
  <si>
    <t>3.2</t>
  </si>
  <si>
    <t>Reaterro/Aterro Manual de Solo</t>
  </si>
  <si>
    <t>Fixação/Refixação de telha e Cumeeira</t>
  </si>
  <si>
    <t>10.24</t>
  </si>
  <si>
    <t>Aplicação de Solução Antiderrapante em Pisos Frios, Inclusive mão de obra especializada</t>
  </si>
  <si>
    <t>14.30</t>
  </si>
  <si>
    <t>Corrimão tubular em aço inox 1 1/2"</t>
  </si>
  <si>
    <t>15.18</t>
  </si>
  <si>
    <t>Dobradiça em aço inox, para Porta de vidro temperado (dobradiça inferior ou superior completa)</t>
  </si>
  <si>
    <t>16.19</t>
  </si>
  <si>
    <t>Remoção/reinstalação de persianas com ou sem reaproveitamento</t>
  </si>
  <si>
    <t>Contator de Potencia até 25A</t>
  </si>
  <si>
    <t>Contator de Potencia até 38A</t>
  </si>
  <si>
    <t>Cabo de cobre flexivel anti-chama 0,6/1kv de 10 a 16mm2</t>
  </si>
  <si>
    <t>Cabo de cobre flexivel anti-chama 0,6/1kv de 25 a 35mm2</t>
  </si>
  <si>
    <t>Cabo de cobre flexivel anti-chama 0,6/1kv de 50 a 70mm2</t>
  </si>
  <si>
    <t>Cabo de cobre flexível anti-chama 0,6/1kv de 95 a 150mm2</t>
  </si>
  <si>
    <t>Cabo de cobre flexível anti-chama 0,6/1kv de 185 a 240mm2</t>
  </si>
  <si>
    <t>Kit ATM Completo - Fechadura Eletromagnética de 150kgf</t>
  </si>
  <si>
    <t>Luminária LED retangular de embutir ou sobrepor</t>
  </si>
  <si>
    <t>21.14</t>
  </si>
  <si>
    <t>Recarga de Extintor de Incêndio Portátil Com Carga de Água Pressurizada de 10L</t>
  </si>
  <si>
    <t>21.15</t>
  </si>
  <si>
    <t>Recarga de Extintor de Incêndio Portátil Com Carga de Gás Carbônico (CO2) de 4KG</t>
  </si>
  <si>
    <t>21.16</t>
  </si>
  <si>
    <t>Recarga de Extintor de Incêndio Portátil Com Carga de Gás Carbônico (CO2) de 6KG</t>
  </si>
  <si>
    <t>21.17</t>
  </si>
  <si>
    <t>Recarga de Extintor de Incêndio Portátil Com Carga de Pó Químico Seco (PQS) de 4KG, Classe ABC</t>
  </si>
  <si>
    <t>21.18</t>
  </si>
  <si>
    <t>Recarga de Extintor de Incêndio Portátil Com Carga de Pó Químico Seco (PQS) de 6KG, Classe ABC</t>
  </si>
  <si>
    <t>21.19</t>
  </si>
  <si>
    <t>Recarga de Extintor de Incêndio Portátil Com Carga de Pó Químico Seco (PQS) de 8KG, Classe ABC</t>
  </si>
  <si>
    <t>21.20</t>
  </si>
  <si>
    <t>Recarga de Extintor de Incêndio Portátil Com Carga de Pó Químico Seco (PQS) de 12KG, Classe ABC</t>
  </si>
  <si>
    <t>21.21</t>
  </si>
  <si>
    <t>Recarga de Extintor de Incêndio Portátil Com Carga de Pó Químico Seco (PQS) de 4KG, Classe BC</t>
  </si>
  <si>
    <t>21.22</t>
  </si>
  <si>
    <t>Recarga de Extintor de Incêndio Portátil Com Carga de Pó Químico Seco (PQS) de 6KG, Classe BC</t>
  </si>
  <si>
    <t>21.23</t>
  </si>
  <si>
    <t>Recarga de Extintor de Incêndio Portátil Com Carga de Pó Químico Seco (PQS) de 8KG, Classe BC</t>
  </si>
  <si>
    <t>21.24</t>
  </si>
  <si>
    <t>Recarga de Extintor de Incêndio Portátil Com Carga de Pó Químico Seco (PQS) de 12KG, Classe BC</t>
  </si>
  <si>
    <t>21.25</t>
  </si>
  <si>
    <t>Recarga de Extintor de Incêndio Sobre Rodas com Carga de Pó Químico Seco (PQS) de 20KG</t>
  </si>
  <si>
    <t>21.26</t>
  </si>
  <si>
    <t>Recarga de Extintor de Incêndio Sobre Rodas com Carga de Pó Químico Seco (PQS) de 50KG</t>
  </si>
  <si>
    <t>21.27</t>
  </si>
  <si>
    <t>Recarga de Extintor de Incêndio Sobre Rodas Com Carga de Água - 75L</t>
  </si>
  <si>
    <t>22.12</t>
  </si>
  <si>
    <t>Comando de descarga duplo, completo</t>
  </si>
  <si>
    <t xml:space="preserve">Fita de piso fotoluminescente - autoadesivo (referência: Fita Antiderrapante Fosforescente Neon Safety-Walk 3M) - largura: 50mm </t>
  </si>
  <si>
    <t>Manutenção Preventiva de Elementos de Sinalização LED - Padrão BB</t>
  </si>
  <si>
    <t xml:space="preserve">un </t>
  </si>
  <si>
    <t>km</t>
  </si>
  <si>
    <t>Km</t>
  </si>
  <si>
    <t>UN</t>
  </si>
  <si>
    <t>m³</t>
  </si>
  <si>
    <t>m²</t>
  </si>
  <si>
    <t>m</t>
  </si>
  <si>
    <t>m²/mês</t>
  </si>
  <si>
    <t>m/mês</t>
  </si>
  <si>
    <t>mês</t>
  </si>
  <si>
    <t>un</t>
  </si>
  <si>
    <t>cj</t>
  </si>
  <si>
    <t xml:space="preserve">UN </t>
  </si>
  <si>
    <t>H</t>
  </si>
  <si>
    <t>M</t>
  </si>
  <si>
    <t>CJ</t>
  </si>
  <si>
    <t>M²</t>
  </si>
  <si>
    <t>h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</si>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</sst>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indexed="31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DEBF7"/>
        <bgColor rgb="FFCCCCFF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31">
    <xf numFmtId="0" fontId="0" fillId="0" borderId="0" xfId="0"/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left" vertical="center" wrapText="1"/>
    </xf>
    <xf numFmtId="0" fontId="2" fillId="4" borderId="6" xfId="0" applyFont="1" applyFill="1" applyBorder="1" applyAlignment="1">
      <alignment horizontal="center" vertical="center"/>
    </xf>
    <xf numFmtId="2" fontId="2" fillId="4" borderId="6" xfId="0" applyNumberFormat="1" applyFont="1" applyFill="1" applyBorder="1" applyAlignment="1">
      <alignment horizontal="left" vertical="center" wrapText="1"/>
    </xf>
    <xf numFmtId="1" fontId="2" fillId="4" borderId="6" xfId="0" applyNumberFormat="1" applyFont="1" applyFill="1" applyBorder="1" applyAlignment="1">
      <alignment horizontal="center" vertical="center" wrapText="1"/>
    </xf>
    <xf numFmtId="3" fontId="3" fillId="5" borderId="1" xfId="0" applyNumberFormat="1" applyFont="1" applyFill="1" applyBorder="1" applyAlignment="1">
      <alignment horizontal="center" vertical="center"/>
    </xf>
    <xf numFmtId="2" fontId="3" fillId="6" borderId="1" xfId="0" applyNumberFormat="1" applyFont="1" applyFill="1" applyBorder="1" applyAlignment="1">
      <alignment horizontal="justify" vertical="center" wrapText="1"/>
    </xf>
    <xf numFmtId="1" fontId="3" fillId="6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left" vertical="center" wrapText="1"/>
    </xf>
    <xf numFmtId="49" fontId="3" fillId="5" borderId="1" xfId="0" applyNumberFormat="1" applyFont="1" applyFill="1" applyBorder="1" applyAlignment="1">
      <alignment horizontal="center" vertical="center"/>
    </xf>
    <xf numFmtId="2" fontId="3" fillId="0" borderId="1" xfId="0" applyNumberFormat="1" applyFont="1" applyBorder="1" applyAlignment="1">
      <alignment horizontal="justify" vertical="center" wrapText="1"/>
    </xf>
    <xf numFmtId="0" fontId="2" fillId="4" borderId="1" xfId="1" applyFont="1" applyFill="1" applyBorder="1" applyAlignment="1">
      <alignment horizontal="center" vertical="center"/>
    </xf>
    <xf numFmtId="2" fontId="2" fillId="4" borderId="1" xfId="1" applyNumberFormat="1" applyFont="1" applyFill="1" applyBorder="1" applyAlignment="1">
      <alignment horizontal="left" vertical="center" wrapText="1"/>
    </xf>
    <xf numFmtId="49" fontId="3" fillId="5" borderId="1" xfId="1" applyNumberFormat="1" applyFont="1" applyFill="1" applyBorder="1" applyAlignment="1">
      <alignment horizontal="center" vertical="center"/>
    </xf>
    <xf numFmtId="2" fontId="2" fillId="4" borderId="1" xfId="1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49" fontId="4" fillId="3" borderId="4" xfId="0" applyNumberFormat="1" applyFont="1" applyFill="1" applyBorder="1" applyAlignment="1">
      <alignment horizontal="left" vertical="center"/>
    </xf>
    <xf numFmtId="2" fontId="4" fillId="3" borderId="4" xfId="0" applyNumberFormat="1" applyFont="1" applyFill="1" applyBorder="1" applyAlignment="1">
      <alignment horizontal="left" vertical="center"/>
    </xf>
    <xf numFmtId="1" fontId="4" fillId="3" borderId="5" xfId="0" applyNumberFormat="1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center" vertical="center" wrapText="1"/>
    </xf>
    <xf numFmtId="2" fontId="6" fillId="7" borderId="7" xfId="0" applyNumberFormat="1" applyFont="1" applyFill="1" applyBorder="1" applyAlignment="1">
      <alignment horizontal="center" vertical="center"/>
    </xf>
    <xf numFmtId="2" fontId="7" fillId="8" borderId="6" xfId="0" applyNumberFormat="1" applyFont="1" applyFill="1" applyBorder="1" applyAlignment="1">
      <alignment horizontal="center" vertical="center" wrapText="1"/>
    </xf>
    <xf numFmtId="4" fontId="8" fillId="9" borderId="1" xfId="0" applyNumberFormat="1" applyFont="1" applyFill="1" applyBorder="1" applyAlignment="1">
      <alignment horizontal="center" vertical="center" wrapText="1"/>
    </xf>
    <xf numFmtId="4" fontId="8" fillId="8" borderId="1" xfId="0" applyNumberFormat="1" applyFont="1" applyFill="1" applyBorder="1" applyAlignment="1">
      <alignment horizontal="center" vertical="center" wrapText="1"/>
    </xf>
    <xf numFmtId="2" fontId="0" fillId="0" borderId="1" xfId="0" quotePrefix="1" applyNumberFormat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2">
    <cellStyle name="Normal" xfId="0" builtinId="0"/>
    <cellStyle name="Normal 2" xfId="1" xr:uid="{CF9D84D2-FB66-4410-9723-6A4CAFB3DE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847AD-7CEC-4F6E-B3A6-CC35E8DAC3DA}">
  <dimension ref="A1:D16"/>
  <sheetViews>
    <sheetView tabSelected="1" zoomScale="115" zoomScaleNormal="115" workbookViewId="0">
      <selection sqref="A1:D4"/>
    </sheetView>
  </sheetViews>
  <sheetFormatPr defaultColWidth="8.77734375" defaultRowHeight="48" customHeight="1" x14ac:dyDescent="0.3"/>
  <cols>
    <col min="1" max="1" width="9.6640625" customWidth="1"/>
    <col min="2" max="2" width="56.109375" customWidth="1"/>
    <col min="3" max="4" width="12.6640625" customWidth="1"/>
  </cols>
  <sheetData>
    <row r="1" spans="1:4" ht="14.4" x14ac:dyDescent="0.3">
      <c r="A1" s="29" t="s">
        <v>0</v>
      </c>
      <c r="B1" s="30"/>
      <c r="C1" s="30"/>
      <c r="D1" s="30"/>
    </row>
    <row r="2" spans="1:4" ht="49.5" hidden="1" customHeight="1" x14ac:dyDescent="0.3">
      <c r="A2" s="19"/>
      <c r="B2" s="2" t="e">
        <f>VLOOKUP(A2,Valores!$A$1:$D$529,2,0)</f>
        <v>#N/A</v>
      </c>
      <c r="C2" s="28">
        <v>1</v>
      </c>
      <c r="D2" s="1" t="e">
        <f>VLOOKUP(A2,Valores!$A$1:$D$529,4,0)</f>
        <v>#N/A</v>
      </c>
    </row>
    <row r="3" spans="1:4" ht="49.95" customHeight="1" x14ac:dyDescent="0.3">
      <c r="A3" s="18" t="s">
        <v>405</v>
      </c>
      <c r="B3" s="2" t="str">
        <f>VLOOKUP(A3,Valores!$A$1:$D$529,2,0)</f>
        <v>Persiana vertical em tecido</v>
      </c>
      <c r="C3" s="1">
        <v>1.4</v>
      </c>
      <c r="D3" s="1" t="str">
        <f>VLOOKUP(A3,Valores!$A$1:$D$529,4,0)</f>
        <v>m²</v>
      </c>
    </row>
    <row r="4" spans="1:4" ht="48" customHeight="1" x14ac:dyDescent="0.3">
      <c r="A4" s="19" t="s">
        <v>59</v>
      </c>
      <c r="B4" s="2" t="str">
        <f>VLOOKUP(A4,Valores!$A$1:$D$529,2,0)</f>
        <v>Remoção de entulho com caçamba metálica, inclusive limpeza, transporte, carga, descarga e descarte conforme legislação ambiental - Material de descarte (alvenaria, estruturas metálicas, madeiramento, revestimentos cerâmicos, gesso, dry-wall, entre outros)</v>
      </c>
      <c r="C4" s="1">
        <v>0.14000000000000001</v>
      </c>
      <c r="D4" s="1" t="str">
        <f>VLOOKUP(A4,Valores!$A$1:$D$529,4,0)</f>
        <v>m³</v>
      </c>
    </row>
    <row r="5" spans="1:4" ht="48" customHeight="1" x14ac:dyDescent="0.3">
      <c r="A5" s="19"/>
      <c r="B5" s="2" t="e">
        <f>VLOOKUP(A5,Valores!$A$1:$D$529,2,0)</f>
        <v>#N/A</v>
      </c>
      <c r="C5" s="1"/>
      <c r="D5" s="1" t="e">
        <f>VLOOKUP(A5,Valores!$A$1:$D$529,4,0)</f>
        <v>#N/A</v>
      </c>
    </row>
    <row r="6" spans="1:4" ht="48" customHeight="1" x14ac:dyDescent="0.3">
      <c r="A6" s="19"/>
      <c r="B6" s="2" t="e">
        <f>VLOOKUP(A6,Valores!$A$1:$D$529,2,0)</f>
        <v>#N/A</v>
      </c>
      <c r="C6" s="1"/>
      <c r="D6" s="1" t="e">
        <f>VLOOKUP(A6,Valores!$A$1:$D$529,4,0)</f>
        <v>#N/A</v>
      </c>
    </row>
    <row r="7" spans="1:4" ht="48" customHeight="1" x14ac:dyDescent="0.3">
      <c r="A7" s="18"/>
      <c r="B7" s="2" t="e">
        <f>VLOOKUP(A7,Valores!$A$1:$D$529,2,0)</f>
        <v>#N/A</v>
      </c>
      <c r="C7" s="1"/>
      <c r="D7" s="1" t="e">
        <f>VLOOKUP(A7,Valores!$A$1:$D$529,4,0)</f>
        <v>#N/A</v>
      </c>
    </row>
    <row r="8" spans="1:4" ht="48" customHeight="1" x14ac:dyDescent="0.3">
      <c r="A8" s="18"/>
      <c r="B8" s="2" t="e">
        <f>VLOOKUP(A8,Valores!$A$1:$D$529,2,0)</f>
        <v>#N/A</v>
      </c>
      <c r="C8" s="1"/>
      <c r="D8" s="1" t="e">
        <f>VLOOKUP(A8,Valores!$A$1:$D$529,4,0)</f>
        <v>#N/A</v>
      </c>
    </row>
    <row r="9" spans="1:4" ht="48" customHeight="1" x14ac:dyDescent="0.3">
      <c r="A9" s="18"/>
      <c r="B9" s="2" t="e">
        <f>VLOOKUP(A9,Valores!$A$1:$D$529,2,0)</f>
        <v>#N/A</v>
      </c>
      <c r="C9" s="1">
        <v>1</v>
      </c>
      <c r="D9" s="1" t="e">
        <f>VLOOKUP(A9,Valores!$A$1:$D$529,4,0)</f>
        <v>#N/A</v>
      </c>
    </row>
    <row r="10" spans="1:4" ht="48" customHeight="1" x14ac:dyDescent="0.3">
      <c r="A10" s="18" t="s">
        <v>822</v>
      </c>
      <c r="B10" s="2" t="str">
        <f>VLOOKUP(A10,Valores!$A$1:$D$529,2,0)</f>
        <v>Ajuste de biombo, divisórias, carenagens e mobiliário em geral</v>
      </c>
      <c r="C10" s="1">
        <v>6</v>
      </c>
      <c r="D10" s="1" t="str">
        <f>VLOOKUP(A10,Valores!$A$1:$D$529,4,0)</f>
        <v xml:space="preserve">un </v>
      </c>
    </row>
    <row r="11" spans="1:4" ht="48" customHeight="1" x14ac:dyDescent="0.3">
      <c r="A11" s="18" t="s">
        <v>164</v>
      </c>
      <c r="B11" s="2" t="str">
        <f>VLOOKUP(A11,Valores!$A$1:$D$529,2,0)</f>
        <v>Peitoril ou soleira de granito, assentado e rejuntado</v>
      </c>
      <c r="C11" s="1"/>
      <c r="D11" s="1" t="str">
        <f>VLOOKUP(A11,Valores!$A$1:$D$529,4,0)</f>
        <v>m</v>
      </c>
    </row>
    <row r="12" spans="1:4" ht="48" customHeight="1" x14ac:dyDescent="0.3">
      <c r="A12" s="18"/>
      <c r="B12" s="2" t="e">
        <f>VLOOKUP(A12,Valores!$A$1:$D$529,2,0)</f>
        <v>#N/A</v>
      </c>
      <c r="C12" s="1"/>
      <c r="D12" s="1" t="e">
        <f>VLOOKUP(A12,Valores!$A$1:$D$529,4,0)</f>
        <v>#N/A</v>
      </c>
    </row>
    <row r="13" spans="1:4" ht="48" customHeight="1" x14ac:dyDescent="0.3">
      <c r="A13" s="18"/>
      <c r="B13" s="2" t="e">
        <f>VLOOKUP(A13,Valores!$A$1:$D$529,2,0)</f>
        <v>#N/A</v>
      </c>
      <c r="C13" s="1"/>
      <c r="D13" s="1" t="e">
        <f>VLOOKUP(A13,Valores!$A$1:$D$529,4,0)</f>
        <v>#N/A</v>
      </c>
    </row>
    <row r="14" spans="1:4" ht="48" customHeight="1" x14ac:dyDescent="0.3">
      <c r="A14" s="18"/>
      <c r="B14" s="2" t="e">
        <f>VLOOKUP(A14,Valores!$A$1:$D$529,2,0)</f>
        <v>#N/A</v>
      </c>
      <c r="C14" s="1"/>
      <c r="D14" s="1" t="e">
        <f>VLOOKUP(A14,Valores!$A$1:$D$529,4,0)</f>
        <v>#N/A</v>
      </c>
    </row>
    <row r="15" spans="1:4" ht="48" customHeight="1" x14ac:dyDescent="0.3">
      <c r="A15" s="18"/>
      <c r="B15" s="2" t="e">
        <f>VLOOKUP(A15,Valores!$A$1:$D$529,2,0)</f>
        <v>#N/A</v>
      </c>
      <c r="C15" s="1"/>
      <c r="D15" s="1" t="e">
        <f>VLOOKUP(A15,Valores!$A$1:$D$529,4,0)</f>
        <v>#N/A</v>
      </c>
    </row>
    <row r="16" spans="1:4" ht="48" customHeight="1" x14ac:dyDescent="0.3">
      <c r="D16" s="1" t="s">
        <v>1018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2AE08-12DC-4915-9539-053F42F630B7}">
  <dimension ref="A1:D529"/>
  <sheetViews>
    <sheetView topLeftCell="A189" zoomScale="70" zoomScaleNormal="70" workbookViewId="0">
      <selection activeCell="B195" sqref="B195"/>
    </sheetView>
  </sheetViews>
  <sheetFormatPr defaultRowHeight="14.4" x14ac:dyDescent="0.3"/>
  <cols>
    <col min="1" max="1" width="9.21875" customWidth="1"/>
    <col min="2" max="2" width="63.5546875" bestFit="1" customWidth="1"/>
  </cols>
  <sheetData>
    <row r="1" spans="1:4" ht="15" thickBot="1" x14ac:dyDescent="0.35">
      <c r="A1" s="20" t="s">
        <v>13</v>
      </c>
      <c r="B1" s="21" t="s">
        <v>14</v>
      </c>
      <c r="C1" s="22" t="s">
        <v>15</v>
      </c>
      <c r="D1" s="24" t="s">
        <v>16</v>
      </c>
    </row>
    <row r="2" spans="1:4" ht="24.75" customHeight="1" x14ac:dyDescent="0.3">
      <c r="A2" s="4">
        <v>1</v>
      </c>
      <c r="B2" s="5" t="s">
        <v>17</v>
      </c>
      <c r="C2" s="6"/>
      <c r="D2" s="25"/>
    </row>
    <row r="3" spans="1:4" ht="24.75" customHeight="1" x14ac:dyDescent="0.3">
      <c r="A3" s="7" t="s">
        <v>18</v>
      </c>
      <c r="B3" s="8" t="s">
        <v>19</v>
      </c>
      <c r="C3" s="9">
        <f t="shared" ref="C3:C9" si="0">V3</f>
        <v>0</v>
      </c>
      <c r="D3" s="26" t="s">
        <v>1000</v>
      </c>
    </row>
    <row r="4" spans="1:4" ht="24.75" customHeight="1" x14ac:dyDescent="0.3">
      <c r="A4" s="7" t="s">
        <v>20</v>
      </c>
      <c r="B4" s="8" t="s">
        <v>21</v>
      </c>
      <c r="C4" s="9">
        <f t="shared" si="0"/>
        <v>0</v>
      </c>
      <c r="D4" s="26" t="s">
        <v>1001</v>
      </c>
    </row>
    <row r="5" spans="1:4" ht="24.75" customHeight="1" x14ac:dyDescent="0.3">
      <c r="A5" s="7" t="s">
        <v>22</v>
      </c>
      <c r="B5" s="8" t="s">
        <v>23</v>
      </c>
      <c r="C5" s="9">
        <f t="shared" si="0"/>
        <v>0</v>
      </c>
      <c r="D5" s="26" t="s">
        <v>1000</v>
      </c>
    </row>
    <row r="6" spans="1:4" ht="24.75" customHeight="1" x14ac:dyDescent="0.3">
      <c r="A6" s="7" t="s">
        <v>24</v>
      </c>
      <c r="B6" s="8" t="s">
        <v>25</v>
      </c>
      <c r="C6" s="9">
        <f t="shared" si="0"/>
        <v>0</v>
      </c>
      <c r="D6" s="26" t="s">
        <v>1000</v>
      </c>
    </row>
    <row r="7" spans="1:4" ht="24.75" customHeight="1" x14ac:dyDescent="0.3">
      <c r="A7" s="7" t="s">
        <v>878</v>
      </c>
      <c r="B7" s="8" t="s">
        <v>944</v>
      </c>
      <c r="C7" s="9">
        <f t="shared" si="0"/>
        <v>0</v>
      </c>
      <c r="D7" s="26" t="s">
        <v>1000</v>
      </c>
    </row>
    <row r="8" spans="1:4" ht="24.75" customHeight="1" x14ac:dyDescent="0.3">
      <c r="A8" s="7" t="s">
        <v>879</v>
      </c>
      <c r="B8" s="8" t="s">
        <v>880</v>
      </c>
      <c r="C8" s="9">
        <f t="shared" si="0"/>
        <v>0</v>
      </c>
      <c r="D8" s="26" t="s">
        <v>1002</v>
      </c>
    </row>
    <row r="9" spans="1:4" ht="24.75" customHeight="1" x14ac:dyDescent="0.3">
      <c r="A9" s="7" t="s">
        <v>881</v>
      </c>
      <c r="B9" s="8" t="s">
        <v>945</v>
      </c>
      <c r="C9" s="9">
        <f t="shared" si="0"/>
        <v>0</v>
      </c>
      <c r="D9" s="26" t="s">
        <v>1003</v>
      </c>
    </row>
    <row r="10" spans="1:4" ht="24.75" customHeight="1" x14ac:dyDescent="0.3">
      <c r="A10" s="10">
        <v>2</v>
      </c>
      <c r="B10" s="11" t="s">
        <v>26</v>
      </c>
      <c r="C10" s="23"/>
      <c r="D10" s="27"/>
    </row>
    <row r="11" spans="1:4" ht="24.75" customHeight="1" x14ac:dyDescent="0.3">
      <c r="A11" s="7" t="s">
        <v>27</v>
      </c>
      <c r="B11" s="8" t="s">
        <v>28</v>
      </c>
      <c r="C11" s="9">
        <f t="shared" ref="C11:C46" si="1">V11</f>
        <v>0</v>
      </c>
      <c r="D11" s="26" t="s">
        <v>1004</v>
      </c>
    </row>
    <row r="12" spans="1:4" ht="24.75" customHeight="1" x14ac:dyDescent="0.3">
      <c r="A12" s="7" t="s">
        <v>29</v>
      </c>
      <c r="B12" s="8" t="s">
        <v>30</v>
      </c>
      <c r="C12" s="9">
        <f t="shared" si="1"/>
        <v>0</v>
      </c>
      <c r="D12" s="26" t="s">
        <v>1004</v>
      </c>
    </row>
    <row r="13" spans="1:4" ht="24.75" customHeight="1" x14ac:dyDescent="0.3">
      <c r="A13" s="7" t="s">
        <v>31</v>
      </c>
      <c r="B13" s="8" t="s">
        <v>32</v>
      </c>
      <c r="C13" s="9">
        <f t="shared" si="1"/>
        <v>0</v>
      </c>
      <c r="D13" s="26" t="s">
        <v>1004</v>
      </c>
    </row>
    <row r="14" spans="1:4" ht="24.75" customHeight="1" x14ac:dyDescent="0.3">
      <c r="A14" s="7" t="s">
        <v>33</v>
      </c>
      <c r="B14" s="8" t="s">
        <v>34</v>
      </c>
      <c r="C14" s="9">
        <f t="shared" si="1"/>
        <v>0</v>
      </c>
      <c r="D14" s="26" t="s">
        <v>1005</v>
      </c>
    </row>
    <row r="15" spans="1:4" ht="24.75" customHeight="1" x14ac:dyDescent="0.3">
      <c r="A15" s="7" t="s">
        <v>35</v>
      </c>
      <c r="B15" s="8" t="s">
        <v>36</v>
      </c>
      <c r="C15" s="9">
        <f t="shared" si="1"/>
        <v>0</v>
      </c>
      <c r="D15" s="26" t="s">
        <v>1005</v>
      </c>
    </row>
    <row r="16" spans="1:4" ht="24.75" customHeight="1" x14ac:dyDescent="0.3">
      <c r="A16" s="7" t="s">
        <v>37</v>
      </c>
      <c r="B16" s="8" t="s">
        <v>38</v>
      </c>
      <c r="C16" s="9">
        <f t="shared" si="1"/>
        <v>0</v>
      </c>
      <c r="D16" s="26" t="s">
        <v>1005</v>
      </c>
    </row>
    <row r="17" spans="1:4" ht="24.75" customHeight="1" x14ac:dyDescent="0.3">
      <c r="A17" s="7" t="s">
        <v>39</v>
      </c>
      <c r="B17" s="8" t="s">
        <v>40</v>
      </c>
      <c r="C17" s="9">
        <f t="shared" si="1"/>
        <v>0</v>
      </c>
      <c r="D17" s="26" t="s">
        <v>1005</v>
      </c>
    </row>
    <row r="18" spans="1:4" ht="24.75" customHeight="1" x14ac:dyDescent="0.3">
      <c r="A18" s="7" t="s">
        <v>41</v>
      </c>
      <c r="B18" s="8" t="s">
        <v>42</v>
      </c>
      <c r="C18" s="9">
        <f t="shared" si="1"/>
        <v>0</v>
      </c>
      <c r="D18" s="26" t="s">
        <v>1005</v>
      </c>
    </row>
    <row r="19" spans="1:4" ht="24.75" customHeight="1" x14ac:dyDescent="0.3">
      <c r="A19" s="7" t="s">
        <v>43</v>
      </c>
      <c r="B19" s="8" t="s">
        <v>44</v>
      </c>
      <c r="C19" s="9">
        <f t="shared" si="1"/>
        <v>0</v>
      </c>
      <c r="D19" s="26" t="s">
        <v>1005</v>
      </c>
    </row>
    <row r="20" spans="1:4" ht="24.75" customHeight="1" x14ac:dyDescent="0.3">
      <c r="A20" s="7" t="s">
        <v>45</v>
      </c>
      <c r="B20" s="8" t="s">
        <v>46</v>
      </c>
      <c r="C20" s="9">
        <f t="shared" si="1"/>
        <v>0</v>
      </c>
      <c r="D20" s="26" t="s">
        <v>1005</v>
      </c>
    </row>
    <row r="21" spans="1:4" ht="24.75" customHeight="1" x14ac:dyDescent="0.3">
      <c r="A21" s="7" t="s">
        <v>47</v>
      </c>
      <c r="B21" s="8" t="s">
        <v>48</v>
      </c>
      <c r="C21" s="9">
        <f t="shared" si="1"/>
        <v>0</v>
      </c>
      <c r="D21" s="26" t="s">
        <v>1006</v>
      </c>
    </row>
    <row r="22" spans="1:4" ht="24.75" customHeight="1" x14ac:dyDescent="0.3">
      <c r="A22" s="7" t="s">
        <v>8</v>
      </c>
      <c r="B22" s="8" t="s">
        <v>9</v>
      </c>
      <c r="C22" s="9">
        <f t="shared" si="1"/>
        <v>0</v>
      </c>
      <c r="D22" s="26" t="s">
        <v>1005</v>
      </c>
    </row>
    <row r="23" spans="1:4" ht="24.75" customHeight="1" x14ac:dyDescent="0.3">
      <c r="A23" s="7" t="s">
        <v>49</v>
      </c>
      <c r="B23" s="8" t="s">
        <v>50</v>
      </c>
      <c r="C23" s="9">
        <f t="shared" si="1"/>
        <v>0</v>
      </c>
      <c r="D23" s="26" t="s">
        <v>1005</v>
      </c>
    </row>
    <row r="24" spans="1:4" ht="24.75" customHeight="1" x14ac:dyDescent="0.3">
      <c r="A24" s="7" t="s">
        <v>51</v>
      </c>
      <c r="B24" s="8" t="s">
        <v>52</v>
      </c>
      <c r="C24" s="9">
        <f t="shared" si="1"/>
        <v>0</v>
      </c>
      <c r="D24" s="26" t="s">
        <v>1005</v>
      </c>
    </row>
    <row r="25" spans="1:4" ht="24.75" customHeight="1" x14ac:dyDescent="0.3">
      <c r="A25" s="7" t="s">
        <v>53</v>
      </c>
      <c r="B25" s="8" t="s">
        <v>54</v>
      </c>
      <c r="C25" s="9">
        <f t="shared" si="1"/>
        <v>0</v>
      </c>
      <c r="D25" s="26" t="s">
        <v>1005</v>
      </c>
    </row>
    <row r="26" spans="1:4" ht="24.75" customHeight="1" x14ac:dyDescent="0.3">
      <c r="A26" s="7" t="s">
        <v>55</v>
      </c>
      <c r="B26" s="8" t="s">
        <v>56</v>
      </c>
      <c r="C26" s="9">
        <f t="shared" si="1"/>
        <v>0</v>
      </c>
      <c r="D26" s="26" t="s">
        <v>1005</v>
      </c>
    </row>
    <row r="27" spans="1:4" ht="24.75" customHeight="1" x14ac:dyDescent="0.3">
      <c r="A27" s="7" t="s">
        <v>57</v>
      </c>
      <c r="B27" s="8" t="s">
        <v>58</v>
      </c>
      <c r="C27" s="9">
        <f t="shared" si="1"/>
        <v>0</v>
      </c>
      <c r="D27" s="26" t="s">
        <v>1005</v>
      </c>
    </row>
    <row r="28" spans="1:4" ht="24.75" customHeight="1" x14ac:dyDescent="0.3">
      <c r="A28" s="7" t="s">
        <v>59</v>
      </c>
      <c r="B28" s="8" t="s">
        <v>60</v>
      </c>
      <c r="C28" s="9">
        <f t="shared" si="1"/>
        <v>0</v>
      </c>
      <c r="D28" s="26" t="s">
        <v>1004</v>
      </c>
    </row>
    <row r="29" spans="1:4" ht="24.75" customHeight="1" x14ac:dyDescent="0.3">
      <c r="A29" s="7" t="s">
        <v>61</v>
      </c>
      <c r="B29" s="8" t="s">
        <v>62</v>
      </c>
      <c r="C29" s="9">
        <f t="shared" si="1"/>
        <v>0</v>
      </c>
      <c r="D29" s="26" t="s">
        <v>1000</v>
      </c>
    </row>
    <row r="30" spans="1:4" ht="24.75" customHeight="1" x14ac:dyDescent="0.3">
      <c r="A30" s="7" t="s">
        <v>63</v>
      </c>
      <c r="B30" s="8" t="s">
        <v>64</v>
      </c>
      <c r="C30" s="9">
        <f t="shared" si="1"/>
        <v>0</v>
      </c>
      <c r="D30" s="26" t="s">
        <v>1007</v>
      </c>
    </row>
    <row r="31" spans="1:4" ht="24.75" customHeight="1" x14ac:dyDescent="0.3">
      <c r="A31" s="7" t="s">
        <v>65</v>
      </c>
      <c r="B31" s="8" t="s">
        <v>66</v>
      </c>
      <c r="C31" s="9">
        <f t="shared" si="1"/>
        <v>0</v>
      </c>
      <c r="D31" s="26" t="s">
        <v>1008</v>
      </c>
    </row>
    <row r="32" spans="1:4" ht="24.75" customHeight="1" x14ac:dyDescent="0.3">
      <c r="A32" s="7" t="s">
        <v>67</v>
      </c>
      <c r="B32" s="8" t="s">
        <v>68</v>
      </c>
      <c r="C32" s="9">
        <f t="shared" si="1"/>
        <v>0</v>
      </c>
      <c r="D32" s="26" t="s">
        <v>1005</v>
      </c>
    </row>
    <row r="33" spans="1:4" ht="24.75" customHeight="1" x14ac:dyDescent="0.3">
      <c r="A33" s="7" t="s">
        <v>69</v>
      </c>
      <c r="B33" s="8" t="s">
        <v>70</v>
      </c>
      <c r="C33" s="9">
        <f t="shared" si="1"/>
        <v>0</v>
      </c>
      <c r="D33" s="26" t="s">
        <v>1005</v>
      </c>
    </row>
    <row r="34" spans="1:4" ht="24.75" customHeight="1" x14ac:dyDescent="0.3">
      <c r="A34" s="7" t="s">
        <v>71</v>
      </c>
      <c r="B34" s="8" t="s">
        <v>72</v>
      </c>
      <c r="C34" s="9">
        <f t="shared" si="1"/>
        <v>0</v>
      </c>
      <c r="D34" s="26" t="s">
        <v>1009</v>
      </c>
    </row>
    <row r="35" spans="1:4" ht="24.75" customHeight="1" x14ac:dyDescent="0.3">
      <c r="A35" s="7" t="s">
        <v>73</v>
      </c>
      <c r="B35" s="8" t="s">
        <v>74</v>
      </c>
      <c r="C35" s="9">
        <f t="shared" si="1"/>
        <v>0</v>
      </c>
      <c r="D35" s="26" t="s">
        <v>1005</v>
      </c>
    </row>
    <row r="36" spans="1:4" ht="24.75" customHeight="1" x14ac:dyDescent="0.3">
      <c r="A36" s="7" t="s">
        <v>75</v>
      </c>
      <c r="B36" s="8" t="s">
        <v>76</v>
      </c>
      <c r="C36" s="9">
        <f t="shared" si="1"/>
        <v>0</v>
      </c>
      <c r="D36" s="26" t="s">
        <v>1010</v>
      </c>
    </row>
    <row r="37" spans="1:4" ht="24.75" customHeight="1" x14ac:dyDescent="0.3">
      <c r="A37" s="7" t="s">
        <v>77</v>
      </c>
      <c r="B37" s="8" t="s">
        <v>78</v>
      </c>
      <c r="C37" s="9">
        <f t="shared" si="1"/>
        <v>0</v>
      </c>
      <c r="D37" s="26" t="s">
        <v>1006</v>
      </c>
    </row>
    <row r="38" spans="1:4" ht="24.75" customHeight="1" x14ac:dyDescent="0.3">
      <c r="A38" s="7" t="s">
        <v>79</v>
      </c>
      <c r="B38" s="8" t="s">
        <v>80</v>
      </c>
      <c r="C38" s="9">
        <f t="shared" si="1"/>
        <v>0</v>
      </c>
      <c r="D38" s="26" t="s">
        <v>1000</v>
      </c>
    </row>
    <row r="39" spans="1:4" ht="24.75" customHeight="1" x14ac:dyDescent="0.3">
      <c r="A39" s="7" t="s">
        <v>81</v>
      </c>
      <c r="B39" s="8" t="s">
        <v>882</v>
      </c>
      <c r="C39" s="9">
        <f t="shared" si="1"/>
        <v>0</v>
      </c>
      <c r="D39" s="26" t="s">
        <v>1005</v>
      </c>
    </row>
    <row r="40" spans="1:4" ht="24.75" customHeight="1" x14ac:dyDescent="0.3">
      <c r="A40" s="7" t="s">
        <v>82</v>
      </c>
      <c r="B40" s="8" t="s">
        <v>83</v>
      </c>
      <c r="C40" s="9">
        <f t="shared" si="1"/>
        <v>0</v>
      </c>
      <c r="D40" s="26" t="s">
        <v>1005</v>
      </c>
    </row>
    <row r="41" spans="1:4" ht="24.75" customHeight="1" x14ac:dyDescent="0.3">
      <c r="A41" s="7" t="s">
        <v>84</v>
      </c>
      <c r="B41" s="8" t="s">
        <v>85</v>
      </c>
      <c r="C41" s="9">
        <f t="shared" si="1"/>
        <v>0</v>
      </c>
      <c r="D41" s="26" t="s">
        <v>1000</v>
      </c>
    </row>
    <row r="42" spans="1:4" ht="24.75" customHeight="1" x14ac:dyDescent="0.3">
      <c r="A42" s="7" t="s">
        <v>86</v>
      </c>
      <c r="B42" s="8" t="s">
        <v>87</v>
      </c>
      <c r="C42" s="9">
        <f t="shared" si="1"/>
        <v>0</v>
      </c>
      <c r="D42" s="26" t="s">
        <v>1005</v>
      </c>
    </row>
    <row r="43" spans="1:4" ht="24.75" customHeight="1" x14ac:dyDescent="0.3">
      <c r="A43" s="7" t="s">
        <v>88</v>
      </c>
      <c r="B43" s="8" t="s">
        <v>89</v>
      </c>
      <c r="C43" s="9">
        <f t="shared" si="1"/>
        <v>0</v>
      </c>
      <c r="D43" s="26" t="s">
        <v>1005</v>
      </c>
    </row>
    <row r="44" spans="1:4" ht="24.75" customHeight="1" x14ac:dyDescent="0.3">
      <c r="A44" s="7" t="s">
        <v>90</v>
      </c>
      <c r="B44" s="8" t="s">
        <v>91</v>
      </c>
      <c r="C44" s="9">
        <f t="shared" si="1"/>
        <v>0</v>
      </c>
      <c r="D44" s="26" t="s">
        <v>1005</v>
      </c>
    </row>
    <row r="45" spans="1:4" ht="24.75" customHeight="1" x14ac:dyDescent="0.3">
      <c r="A45" s="7" t="s">
        <v>92</v>
      </c>
      <c r="B45" s="8" t="s">
        <v>93</v>
      </c>
      <c r="C45" s="9">
        <f t="shared" si="1"/>
        <v>0</v>
      </c>
      <c r="D45" s="26" t="s">
        <v>1000</v>
      </c>
    </row>
    <row r="46" spans="1:4" ht="24.75" customHeight="1" x14ac:dyDescent="0.3">
      <c r="A46" s="7" t="s">
        <v>883</v>
      </c>
      <c r="B46" s="8" t="s">
        <v>884</v>
      </c>
      <c r="C46" s="9">
        <f t="shared" si="1"/>
        <v>0</v>
      </c>
      <c r="D46" s="26" t="s">
        <v>1005</v>
      </c>
    </row>
    <row r="47" spans="1:4" ht="24.75" customHeight="1" x14ac:dyDescent="0.3">
      <c r="A47" s="10">
        <v>3</v>
      </c>
      <c r="B47" s="11" t="s">
        <v>94</v>
      </c>
      <c r="C47" s="23"/>
      <c r="D47" s="27"/>
    </row>
    <row r="48" spans="1:4" ht="24.75" customHeight="1" x14ac:dyDescent="0.3">
      <c r="A48" s="7" t="s">
        <v>946</v>
      </c>
      <c r="B48" s="8" t="s">
        <v>947</v>
      </c>
      <c r="C48" s="9">
        <f t="shared" ref="C48:C49" si="2">V48</f>
        <v>0</v>
      </c>
      <c r="D48" s="26" t="s">
        <v>1004</v>
      </c>
    </row>
    <row r="49" spans="1:4" ht="24.75" customHeight="1" x14ac:dyDescent="0.3">
      <c r="A49" s="7" t="s">
        <v>948</v>
      </c>
      <c r="B49" s="8" t="s">
        <v>949</v>
      </c>
      <c r="C49" s="9">
        <f t="shared" si="2"/>
        <v>0</v>
      </c>
      <c r="D49" s="26" t="s">
        <v>1004</v>
      </c>
    </row>
    <row r="50" spans="1:4" ht="24.75" customHeight="1" x14ac:dyDescent="0.3">
      <c r="A50" s="10">
        <v>4</v>
      </c>
      <c r="B50" s="11" t="s">
        <v>95</v>
      </c>
      <c r="C50" s="23"/>
      <c r="D50" s="27"/>
    </row>
    <row r="51" spans="1:4" ht="24.75" customHeight="1" x14ac:dyDescent="0.3">
      <c r="A51" s="10">
        <v>5</v>
      </c>
      <c r="B51" s="11" t="s">
        <v>96</v>
      </c>
      <c r="C51" s="23"/>
      <c r="D51" s="27"/>
    </row>
    <row r="52" spans="1:4" ht="24.75" customHeight="1" x14ac:dyDescent="0.3">
      <c r="A52" s="12" t="s">
        <v>97</v>
      </c>
      <c r="B52" s="8" t="s">
        <v>98</v>
      </c>
      <c r="C52" s="9">
        <f t="shared" ref="C52:C55" si="3">V52</f>
        <v>0</v>
      </c>
      <c r="D52" s="26" t="s">
        <v>1004</v>
      </c>
    </row>
    <row r="53" spans="1:4" ht="24.75" customHeight="1" x14ac:dyDescent="0.3">
      <c r="A53" s="12" t="s">
        <v>99</v>
      </c>
      <c r="B53" s="8" t="s">
        <v>100</v>
      </c>
      <c r="C53" s="9">
        <f t="shared" si="3"/>
        <v>0</v>
      </c>
      <c r="D53" s="26" t="s">
        <v>1005</v>
      </c>
    </row>
    <row r="54" spans="1:4" ht="24.75" customHeight="1" x14ac:dyDescent="0.3">
      <c r="A54" s="12" t="s">
        <v>101</v>
      </c>
      <c r="B54" s="8" t="s">
        <v>102</v>
      </c>
      <c r="C54" s="9">
        <f t="shared" si="3"/>
        <v>0</v>
      </c>
      <c r="D54" s="26" t="s">
        <v>1005</v>
      </c>
    </row>
    <row r="55" spans="1:4" ht="24.75" customHeight="1" x14ac:dyDescent="0.3">
      <c r="A55" s="12" t="s">
        <v>103</v>
      </c>
      <c r="B55" s="8" t="s">
        <v>885</v>
      </c>
      <c r="C55" s="9">
        <f t="shared" si="3"/>
        <v>0</v>
      </c>
      <c r="D55" s="26" t="s">
        <v>1005</v>
      </c>
    </row>
    <row r="56" spans="1:4" ht="24.75" customHeight="1" x14ac:dyDescent="0.3">
      <c r="A56" s="10">
        <v>6</v>
      </c>
      <c r="B56" s="11" t="s">
        <v>104</v>
      </c>
      <c r="C56" s="23"/>
      <c r="D56" s="27"/>
    </row>
    <row r="57" spans="1:4" ht="24.75" customHeight="1" x14ac:dyDescent="0.3">
      <c r="A57" s="12" t="s">
        <v>105</v>
      </c>
      <c r="B57" s="8" t="s">
        <v>106</v>
      </c>
      <c r="C57" s="9">
        <f t="shared" ref="C57:C59" si="4">V57</f>
        <v>0</v>
      </c>
      <c r="D57" s="26" t="s">
        <v>1005</v>
      </c>
    </row>
    <row r="58" spans="1:4" ht="24.75" customHeight="1" x14ac:dyDescent="0.3">
      <c r="A58" s="12" t="s">
        <v>107</v>
      </c>
      <c r="B58" s="8" t="s">
        <v>108</v>
      </c>
      <c r="C58" s="9">
        <f t="shared" si="4"/>
        <v>0</v>
      </c>
      <c r="D58" s="26" t="s">
        <v>1005</v>
      </c>
    </row>
    <row r="59" spans="1:4" ht="24.75" customHeight="1" x14ac:dyDescent="0.3">
      <c r="A59" s="12" t="s">
        <v>109</v>
      </c>
      <c r="B59" s="8" t="s">
        <v>110</v>
      </c>
      <c r="C59" s="9">
        <f t="shared" si="4"/>
        <v>0</v>
      </c>
      <c r="D59" s="26" t="s">
        <v>1006</v>
      </c>
    </row>
    <row r="60" spans="1:4" ht="24.75" customHeight="1" x14ac:dyDescent="0.3">
      <c r="A60" s="10">
        <v>7</v>
      </c>
      <c r="B60" s="11" t="s">
        <v>111</v>
      </c>
      <c r="C60" s="23"/>
      <c r="D60" s="27"/>
    </row>
    <row r="61" spans="1:4" ht="24.75" customHeight="1" x14ac:dyDescent="0.3">
      <c r="A61" s="12" t="s">
        <v>112</v>
      </c>
      <c r="B61" s="8" t="s">
        <v>113</v>
      </c>
      <c r="C61" s="9">
        <f t="shared" ref="C61:C75" si="5">V61</f>
        <v>0</v>
      </c>
      <c r="D61" s="26" t="s">
        <v>1005</v>
      </c>
    </row>
    <row r="62" spans="1:4" ht="24.75" customHeight="1" x14ac:dyDescent="0.3">
      <c r="A62" s="12" t="s">
        <v>114</v>
      </c>
      <c r="B62" s="8" t="s">
        <v>115</v>
      </c>
      <c r="C62" s="9">
        <f t="shared" si="5"/>
        <v>0</v>
      </c>
      <c r="D62" s="26" t="s">
        <v>1005</v>
      </c>
    </row>
    <row r="63" spans="1:4" ht="24.75" customHeight="1" x14ac:dyDescent="0.3">
      <c r="A63" s="12" t="s">
        <v>116</v>
      </c>
      <c r="B63" s="8" t="s">
        <v>117</v>
      </c>
      <c r="C63" s="9">
        <f t="shared" si="5"/>
        <v>0</v>
      </c>
      <c r="D63" s="26" t="s">
        <v>1006</v>
      </c>
    </row>
    <row r="64" spans="1:4" ht="24.75" customHeight="1" x14ac:dyDescent="0.3">
      <c r="A64" s="12" t="s">
        <v>118</v>
      </c>
      <c r="B64" s="8" t="s">
        <v>119</v>
      </c>
      <c r="C64" s="9">
        <f t="shared" si="5"/>
        <v>0</v>
      </c>
      <c r="D64" s="26" t="s">
        <v>1005</v>
      </c>
    </row>
    <row r="65" spans="1:4" ht="24.75" customHeight="1" x14ac:dyDescent="0.3">
      <c r="A65" s="12" t="s">
        <v>120</v>
      </c>
      <c r="B65" s="8" t="s">
        <v>121</v>
      </c>
      <c r="C65" s="9">
        <f t="shared" si="5"/>
        <v>0</v>
      </c>
      <c r="D65" s="26" t="s">
        <v>1006</v>
      </c>
    </row>
    <row r="66" spans="1:4" ht="24.75" customHeight="1" x14ac:dyDescent="0.3">
      <c r="A66" s="12" t="s">
        <v>122</v>
      </c>
      <c r="B66" s="8" t="s">
        <v>123</v>
      </c>
      <c r="C66" s="9">
        <f t="shared" si="5"/>
        <v>0</v>
      </c>
      <c r="D66" s="26" t="s">
        <v>1006</v>
      </c>
    </row>
    <row r="67" spans="1:4" ht="24.75" customHeight="1" x14ac:dyDescent="0.3">
      <c r="A67" s="12" t="s">
        <v>124</v>
      </c>
      <c r="B67" s="8" t="s">
        <v>125</v>
      </c>
      <c r="C67" s="9">
        <f t="shared" si="5"/>
        <v>0</v>
      </c>
      <c r="D67" s="26" t="s">
        <v>1005</v>
      </c>
    </row>
    <row r="68" spans="1:4" ht="24.75" customHeight="1" x14ac:dyDescent="0.3">
      <c r="A68" s="12" t="s">
        <v>126</v>
      </c>
      <c r="B68" s="8" t="s">
        <v>127</v>
      </c>
      <c r="C68" s="9">
        <f t="shared" si="5"/>
        <v>0</v>
      </c>
      <c r="D68" s="26" t="s">
        <v>1006</v>
      </c>
    </row>
    <row r="69" spans="1:4" ht="24.75" customHeight="1" x14ac:dyDescent="0.3">
      <c r="A69" s="12" t="s">
        <v>128</v>
      </c>
      <c r="B69" s="8" t="s">
        <v>129</v>
      </c>
      <c r="C69" s="9">
        <f t="shared" si="5"/>
        <v>0</v>
      </c>
      <c r="D69" s="26" t="s">
        <v>1006</v>
      </c>
    </row>
    <row r="70" spans="1:4" ht="24.75" customHeight="1" x14ac:dyDescent="0.3">
      <c r="A70" s="12" t="s">
        <v>130</v>
      </c>
      <c r="B70" s="8" t="s">
        <v>131</v>
      </c>
      <c r="C70" s="9">
        <f t="shared" si="5"/>
        <v>0</v>
      </c>
      <c r="D70" s="26" t="s">
        <v>1006</v>
      </c>
    </row>
    <row r="71" spans="1:4" ht="24.75" customHeight="1" x14ac:dyDescent="0.3">
      <c r="A71" s="12" t="s">
        <v>132</v>
      </c>
      <c r="B71" s="8" t="s">
        <v>133</v>
      </c>
      <c r="C71" s="9">
        <f t="shared" si="5"/>
        <v>0</v>
      </c>
      <c r="D71" s="26" t="s">
        <v>1005</v>
      </c>
    </row>
    <row r="72" spans="1:4" ht="24.75" customHeight="1" x14ac:dyDescent="0.3">
      <c r="A72" s="12" t="s">
        <v>134</v>
      </c>
      <c r="B72" s="8" t="s">
        <v>135</v>
      </c>
      <c r="C72" s="9">
        <f t="shared" si="5"/>
        <v>0</v>
      </c>
      <c r="D72" s="26" t="s">
        <v>1005</v>
      </c>
    </row>
    <row r="73" spans="1:4" ht="24.75" customHeight="1" x14ac:dyDescent="0.3">
      <c r="A73" s="12" t="s">
        <v>136</v>
      </c>
      <c r="B73" s="8" t="s">
        <v>950</v>
      </c>
      <c r="C73" s="9">
        <f t="shared" si="5"/>
        <v>0</v>
      </c>
      <c r="D73" s="26" t="s">
        <v>1005</v>
      </c>
    </row>
    <row r="74" spans="1:4" ht="24.75" customHeight="1" x14ac:dyDescent="0.3">
      <c r="A74" s="12" t="s">
        <v>137</v>
      </c>
      <c r="B74" s="8" t="s">
        <v>138</v>
      </c>
      <c r="C74" s="9">
        <f t="shared" si="5"/>
        <v>0</v>
      </c>
      <c r="D74" s="26" t="s">
        <v>1005</v>
      </c>
    </row>
    <row r="75" spans="1:4" ht="24.75" customHeight="1" x14ac:dyDescent="0.3">
      <c r="A75" s="12" t="s">
        <v>139</v>
      </c>
      <c r="B75" s="8" t="s">
        <v>140</v>
      </c>
      <c r="C75" s="9">
        <f t="shared" si="5"/>
        <v>0</v>
      </c>
      <c r="D75" s="26" t="s">
        <v>1000</v>
      </c>
    </row>
    <row r="76" spans="1:4" ht="24.75" customHeight="1" x14ac:dyDescent="0.3">
      <c r="A76" s="10">
        <v>8</v>
      </c>
      <c r="B76" s="11" t="s">
        <v>141</v>
      </c>
      <c r="C76" s="23"/>
      <c r="D76" s="27"/>
    </row>
    <row r="77" spans="1:4" ht="24.75" customHeight="1" x14ac:dyDescent="0.3">
      <c r="A77" s="12" t="s">
        <v>142</v>
      </c>
      <c r="B77" s="8" t="s">
        <v>143</v>
      </c>
      <c r="C77" s="9">
        <f t="shared" ref="C77:C83" si="6">V77</f>
        <v>0</v>
      </c>
      <c r="D77" s="26" t="s">
        <v>1005</v>
      </c>
    </row>
    <row r="78" spans="1:4" ht="24.75" customHeight="1" x14ac:dyDescent="0.3">
      <c r="A78" s="12" t="s">
        <v>144</v>
      </c>
      <c r="B78" s="8" t="s">
        <v>145</v>
      </c>
      <c r="C78" s="9">
        <f t="shared" si="6"/>
        <v>0</v>
      </c>
      <c r="D78" s="26" t="s">
        <v>1005</v>
      </c>
    </row>
    <row r="79" spans="1:4" ht="24.75" customHeight="1" x14ac:dyDescent="0.3">
      <c r="A79" s="12" t="s">
        <v>146</v>
      </c>
      <c r="B79" s="8" t="s">
        <v>147</v>
      </c>
      <c r="C79" s="9">
        <f t="shared" si="6"/>
        <v>0</v>
      </c>
      <c r="D79" s="26" t="s">
        <v>1005</v>
      </c>
    </row>
    <row r="80" spans="1:4" ht="24.75" customHeight="1" x14ac:dyDescent="0.3">
      <c r="A80" s="12" t="s">
        <v>148</v>
      </c>
      <c r="B80" s="8" t="s">
        <v>886</v>
      </c>
      <c r="C80" s="9">
        <f t="shared" si="6"/>
        <v>0</v>
      </c>
      <c r="D80" s="26" t="s">
        <v>1005</v>
      </c>
    </row>
    <row r="81" spans="1:4" ht="24.75" customHeight="1" x14ac:dyDescent="0.3">
      <c r="A81" s="12" t="s">
        <v>149</v>
      </c>
      <c r="B81" s="8" t="s">
        <v>150</v>
      </c>
      <c r="C81" s="9">
        <f t="shared" si="6"/>
        <v>0</v>
      </c>
      <c r="D81" s="26" t="s">
        <v>1005</v>
      </c>
    </row>
    <row r="82" spans="1:4" ht="24.75" customHeight="1" x14ac:dyDescent="0.3">
      <c r="A82" s="12" t="s">
        <v>151</v>
      </c>
      <c r="B82" s="8" t="s">
        <v>152</v>
      </c>
      <c r="C82" s="9">
        <f t="shared" si="6"/>
        <v>0</v>
      </c>
      <c r="D82" s="26" t="s">
        <v>1005</v>
      </c>
    </row>
    <row r="83" spans="1:4" ht="24.75" customHeight="1" x14ac:dyDescent="0.3">
      <c r="A83" s="12" t="s">
        <v>153</v>
      </c>
      <c r="B83" s="8" t="s">
        <v>154</v>
      </c>
      <c r="C83" s="9">
        <f t="shared" si="6"/>
        <v>0</v>
      </c>
      <c r="D83" s="26" t="s">
        <v>1005</v>
      </c>
    </row>
    <row r="84" spans="1:4" ht="24.75" customHeight="1" x14ac:dyDescent="0.3">
      <c r="A84" s="10">
        <v>9</v>
      </c>
      <c r="B84" s="11" t="s">
        <v>155</v>
      </c>
      <c r="C84" s="23"/>
      <c r="D84" s="27"/>
    </row>
    <row r="85" spans="1:4" ht="24.75" customHeight="1" x14ac:dyDescent="0.3">
      <c r="A85" s="10">
        <v>10</v>
      </c>
      <c r="B85" s="11" t="s">
        <v>156</v>
      </c>
      <c r="C85" s="23"/>
      <c r="D85" s="27"/>
    </row>
    <row r="86" spans="1:4" ht="24.75" customHeight="1" x14ac:dyDescent="0.3">
      <c r="A86" s="12" t="s">
        <v>157</v>
      </c>
      <c r="B86" s="8" t="s">
        <v>158</v>
      </c>
      <c r="C86" s="9">
        <f t="shared" ref="C86:C109" si="7">V86</f>
        <v>0</v>
      </c>
      <c r="D86" s="26" t="s">
        <v>1005</v>
      </c>
    </row>
    <row r="87" spans="1:4" ht="24.75" customHeight="1" x14ac:dyDescent="0.3">
      <c r="A87" s="12" t="s">
        <v>159</v>
      </c>
      <c r="B87" s="8" t="s">
        <v>887</v>
      </c>
      <c r="C87" s="9">
        <f t="shared" si="7"/>
        <v>0</v>
      </c>
      <c r="D87" s="26" t="s">
        <v>1005</v>
      </c>
    </row>
    <row r="88" spans="1:4" ht="24.75" customHeight="1" x14ac:dyDescent="0.3">
      <c r="A88" s="12" t="s">
        <v>160</v>
      </c>
      <c r="B88" s="8" t="s">
        <v>161</v>
      </c>
      <c r="C88" s="9">
        <f t="shared" si="7"/>
        <v>0</v>
      </c>
      <c r="D88" s="26" t="s">
        <v>1005</v>
      </c>
    </row>
    <row r="89" spans="1:4" ht="24.75" customHeight="1" x14ac:dyDescent="0.3">
      <c r="A89" s="12" t="s">
        <v>162</v>
      </c>
      <c r="B89" s="8" t="s">
        <v>163</v>
      </c>
      <c r="C89" s="9">
        <f t="shared" si="7"/>
        <v>0</v>
      </c>
      <c r="D89" s="26" t="s">
        <v>1006</v>
      </c>
    </row>
    <row r="90" spans="1:4" ht="24.75" customHeight="1" x14ac:dyDescent="0.3">
      <c r="A90" s="12" t="s">
        <v>164</v>
      </c>
      <c r="B90" s="8" t="s">
        <v>165</v>
      </c>
      <c r="C90" s="9">
        <f t="shared" si="7"/>
        <v>0</v>
      </c>
      <c r="D90" s="26" t="s">
        <v>1006</v>
      </c>
    </row>
    <row r="91" spans="1:4" ht="24.75" customHeight="1" x14ac:dyDescent="0.3">
      <c r="A91" s="12" t="s">
        <v>166</v>
      </c>
      <c r="B91" s="8" t="s">
        <v>167</v>
      </c>
      <c r="C91" s="9">
        <f t="shared" si="7"/>
        <v>0</v>
      </c>
      <c r="D91" s="26" t="s">
        <v>1005</v>
      </c>
    </row>
    <row r="92" spans="1:4" ht="24.75" customHeight="1" x14ac:dyDescent="0.3">
      <c r="A92" s="12" t="s">
        <v>168</v>
      </c>
      <c r="B92" s="8" t="s">
        <v>169</v>
      </c>
      <c r="C92" s="9">
        <f t="shared" si="7"/>
        <v>0</v>
      </c>
      <c r="D92" s="26" t="s">
        <v>1006</v>
      </c>
    </row>
    <row r="93" spans="1:4" ht="24.75" customHeight="1" x14ac:dyDescent="0.3">
      <c r="A93" s="12" t="s">
        <v>170</v>
      </c>
      <c r="B93" s="8" t="s">
        <v>171</v>
      </c>
      <c r="C93" s="9">
        <f t="shared" si="7"/>
        <v>0</v>
      </c>
      <c r="D93" s="26" t="s">
        <v>1005</v>
      </c>
    </row>
    <row r="94" spans="1:4" ht="24.75" customHeight="1" x14ac:dyDescent="0.3">
      <c r="A94" s="12" t="s">
        <v>172</v>
      </c>
      <c r="B94" s="8" t="s">
        <v>173</v>
      </c>
      <c r="C94" s="9">
        <f t="shared" si="7"/>
        <v>0</v>
      </c>
      <c r="D94" s="26" t="s">
        <v>1005</v>
      </c>
    </row>
    <row r="95" spans="1:4" ht="24.75" customHeight="1" x14ac:dyDescent="0.3">
      <c r="A95" s="12" t="s">
        <v>174</v>
      </c>
      <c r="B95" s="8" t="s">
        <v>175</v>
      </c>
      <c r="C95" s="9">
        <f t="shared" si="7"/>
        <v>0</v>
      </c>
      <c r="D95" s="26" t="s">
        <v>1005</v>
      </c>
    </row>
    <row r="96" spans="1:4" ht="24.75" customHeight="1" x14ac:dyDescent="0.3">
      <c r="A96" s="12" t="s">
        <v>176</v>
      </c>
      <c r="B96" s="8" t="s">
        <v>177</v>
      </c>
      <c r="C96" s="9">
        <f t="shared" si="7"/>
        <v>0</v>
      </c>
      <c r="D96" s="26" t="s">
        <v>1005</v>
      </c>
    </row>
    <row r="97" spans="1:4" ht="24.75" customHeight="1" x14ac:dyDescent="0.3">
      <c r="A97" s="12" t="s">
        <v>178</v>
      </c>
      <c r="B97" s="8" t="s">
        <v>179</v>
      </c>
      <c r="C97" s="9">
        <f t="shared" si="7"/>
        <v>0</v>
      </c>
      <c r="D97" s="26" t="s">
        <v>1005</v>
      </c>
    </row>
    <row r="98" spans="1:4" ht="24.75" customHeight="1" x14ac:dyDescent="0.3">
      <c r="A98" s="12" t="s">
        <v>180</v>
      </c>
      <c r="B98" s="13" t="s">
        <v>181</v>
      </c>
      <c r="C98" s="9">
        <f t="shared" si="7"/>
        <v>0</v>
      </c>
      <c r="D98" s="26" t="s">
        <v>1005</v>
      </c>
    </row>
    <row r="99" spans="1:4" ht="24.75" customHeight="1" x14ac:dyDescent="0.3">
      <c r="A99" s="12" t="s">
        <v>182</v>
      </c>
      <c r="B99" s="8" t="s">
        <v>183</v>
      </c>
      <c r="C99" s="9">
        <f t="shared" si="7"/>
        <v>0</v>
      </c>
      <c r="D99" s="26" t="s">
        <v>1005</v>
      </c>
    </row>
    <row r="100" spans="1:4" ht="24.75" customHeight="1" x14ac:dyDescent="0.3">
      <c r="A100" s="12" t="s">
        <v>184</v>
      </c>
      <c r="B100" s="8" t="s">
        <v>185</v>
      </c>
      <c r="C100" s="9">
        <f t="shared" si="7"/>
        <v>0</v>
      </c>
      <c r="D100" s="26" t="s">
        <v>1005</v>
      </c>
    </row>
    <row r="101" spans="1:4" ht="24.75" customHeight="1" x14ac:dyDescent="0.3">
      <c r="A101" s="12" t="s">
        <v>186</v>
      </c>
      <c r="B101" s="8" t="s">
        <v>187</v>
      </c>
      <c r="C101" s="9">
        <f t="shared" si="7"/>
        <v>0</v>
      </c>
      <c r="D101" s="26" t="s">
        <v>1005</v>
      </c>
    </row>
    <row r="102" spans="1:4" ht="24.75" customHeight="1" x14ac:dyDescent="0.3">
      <c r="A102" s="12" t="s">
        <v>188</v>
      </c>
      <c r="B102" s="8" t="s">
        <v>189</v>
      </c>
      <c r="C102" s="9">
        <f t="shared" si="7"/>
        <v>0</v>
      </c>
      <c r="D102" s="26" t="s">
        <v>1005</v>
      </c>
    </row>
    <row r="103" spans="1:4" ht="24.75" customHeight="1" x14ac:dyDescent="0.3">
      <c r="A103" s="12" t="s">
        <v>190</v>
      </c>
      <c r="B103" s="8" t="s">
        <v>191</v>
      </c>
      <c r="C103" s="9">
        <f t="shared" si="7"/>
        <v>0</v>
      </c>
      <c r="D103" s="26" t="s">
        <v>1005</v>
      </c>
    </row>
    <row r="104" spans="1:4" ht="24.75" customHeight="1" x14ac:dyDescent="0.3">
      <c r="A104" s="12" t="s">
        <v>192</v>
      </c>
      <c r="B104" s="8" t="s">
        <v>193</v>
      </c>
      <c r="C104" s="9">
        <f t="shared" si="7"/>
        <v>0</v>
      </c>
      <c r="D104" s="26" t="s">
        <v>1006</v>
      </c>
    </row>
    <row r="105" spans="1:4" ht="24.75" customHeight="1" x14ac:dyDescent="0.3">
      <c r="A105" s="12" t="s">
        <v>194</v>
      </c>
      <c r="B105" s="8" t="s">
        <v>195</v>
      </c>
      <c r="C105" s="9">
        <f t="shared" si="7"/>
        <v>0</v>
      </c>
      <c r="D105" s="26" t="s">
        <v>1005</v>
      </c>
    </row>
    <row r="106" spans="1:4" ht="24.75" customHeight="1" x14ac:dyDescent="0.3">
      <c r="A106" s="12" t="s">
        <v>196</v>
      </c>
      <c r="B106" s="8" t="s">
        <v>197</v>
      </c>
      <c r="C106" s="9">
        <f t="shared" si="7"/>
        <v>0</v>
      </c>
      <c r="D106" s="26" t="s">
        <v>1006</v>
      </c>
    </row>
    <row r="107" spans="1:4" ht="24.75" customHeight="1" x14ac:dyDescent="0.3">
      <c r="A107" s="12" t="s">
        <v>888</v>
      </c>
      <c r="B107" s="8" t="s">
        <v>889</v>
      </c>
      <c r="C107" s="9">
        <f t="shared" si="7"/>
        <v>0</v>
      </c>
      <c r="D107" s="26" t="s">
        <v>1005</v>
      </c>
    </row>
    <row r="108" spans="1:4" ht="24.75" customHeight="1" x14ac:dyDescent="0.3">
      <c r="A108" s="12" t="s">
        <v>890</v>
      </c>
      <c r="B108" s="8" t="s">
        <v>891</v>
      </c>
      <c r="C108" s="9">
        <f t="shared" si="7"/>
        <v>0</v>
      </c>
      <c r="D108" s="26" t="s">
        <v>1005</v>
      </c>
    </row>
    <row r="109" spans="1:4" ht="24.75" customHeight="1" x14ac:dyDescent="0.3">
      <c r="A109" s="12" t="s">
        <v>951</v>
      </c>
      <c r="B109" s="8" t="s">
        <v>952</v>
      </c>
      <c r="C109" s="9">
        <f t="shared" si="7"/>
        <v>0</v>
      </c>
      <c r="D109" s="26" t="s">
        <v>1005</v>
      </c>
    </row>
    <row r="110" spans="1:4" ht="24.75" customHeight="1" x14ac:dyDescent="0.3">
      <c r="A110" s="10">
        <v>11</v>
      </c>
      <c r="B110" s="11" t="s">
        <v>198</v>
      </c>
      <c r="C110" s="23"/>
      <c r="D110" s="27"/>
    </row>
    <row r="111" spans="1:4" ht="24.75" customHeight="1" x14ac:dyDescent="0.3">
      <c r="A111" s="12" t="s">
        <v>199</v>
      </c>
      <c r="B111" s="8" t="s">
        <v>200</v>
      </c>
      <c r="C111" s="9">
        <f t="shared" ref="C111:C119" si="8">V111</f>
        <v>0</v>
      </c>
      <c r="D111" s="26" t="s">
        <v>1005</v>
      </c>
    </row>
    <row r="112" spans="1:4" ht="24.75" customHeight="1" x14ac:dyDescent="0.3">
      <c r="A112" s="12" t="s">
        <v>201</v>
      </c>
      <c r="B112" s="8" t="s">
        <v>202</v>
      </c>
      <c r="C112" s="9">
        <f t="shared" si="8"/>
        <v>0</v>
      </c>
      <c r="D112" s="26" t="s">
        <v>1005</v>
      </c>
    </row>
    <row r="113" spans="1:4" ht="24.75" customHeight="1" x14ac:dyDescent="0.3">
      <c r="A113" s="12" t="s">
        <v>203</v>
      </c>
      <c r="B113" s="8" t="s">
        <v>204</v>
      </c>
      <c r="C113" s="9">
        <f t="shared" si="8"/>
        <v>0</v>
      </c>
      <c r="D113" s="26" t="s">
        <v>1005</v>
      </c>
    </row>
    <row r="114" spans="1:4" ht="24.75" customHeight="1" x14ac:dyDescent="0.3">
      <c r="A114" s="12" t="s">
        <v>205</v>
      </c>
      <c r="B114" s="8" t="s">
        <v>206</v>
      </c>
      <c r="C114" s="9">
        <f t="shared" si="8"/>
        <v>0</v>
      </c>
      <c r="D114" s="26" t="s">
        <v>1005</v>
      </c>
    </row>
    <row r="115" spans="1:4" ht="24.75" customHeight="1" x14ac:dyDescent="0.3">
      <c r="A115" s="12" t="s">
        <v>207</v>
      </c>
      <c r="B115" s="8" t="s">
        <v>208</v>
      </c>
      <c r="C115" s="9">
        <f t="shared" si="8"/>
        <v>0</v>
      </c>
      <c r="D115" s="26" t="s">
        <v>1005</v>
      </c>
    </row>
    <row r="116" spans="1:4" ht="24.75" customHeight="1" x14ac:dyDescent="0.3">
      <c r="A116" s="12" t="s">
        <v>209</v>
      </c>
      <c r="B116" s="8" t="s">
        <v>210</v>
      </c>
      <c r="C116" s="9">
        <f t="shared" si="8"/>
        <v>0</v>
      </c>
      <c r="D116" s="26" t="s">
        <v>1005</v>
      </c>
    </row>
    <row r="117" spans="1:4" ht="24.75" customHeight="1" x14ac:dyDescent="0.3">
      <c r="A117" s="12" t="s">
        <v>211</v>
      </c>
      <c r="B117" s="8" t="s">
        <v>212</v>
      </c>
      <c r="C117" s="9">
        <f t="shared" si="8"/>
        <v>0</v>
      </c>
      <c r="D117" s="26" t="s">
        <v>1005</v>
      </c>
    </row>
    <row r="118" spans="1:4" ht="24.75" customHeight="1" x14ac:dyDescent="0.3">
      <c r="A118" s="12" t="s">
        <v>213</v>
      </c>
      <c r="B118" s="8" t="s">
        <v>214</v>
      </c>
      <c r="C118" s="9">
        <f t="shared" si="8"/>
        <v>0</v>
      </c>
      <c r="D118" s="26" t="s">
        <v>1005</v>
      </c>
    </row>
    <row r="119" spans="1:4" ht="24.75" customHeight="1" x14ac:dyDescent="0.3">
      <c r="A119" s="12" t="s">
        <v>892</v>
      </c>
      <c r="B119" s="8" t="s">
        <v>893</v>
      </c>
      <c r="C119" s="9">
        <f t="shared" si="8"/>
        <v>0</v>
      </c>
      <c r="D119" s="26" t="s">
        <v>1005</v>
      </c>
    </row>
    <row r="120" spans="1:4" ht="24.75" customHeight="1" x14ac:dyDescent="0.3">
      <c r="A120" s="10">
        <v>12</v>
      </c>
      <c r="B120" s="11" t="s">
        <v>215</v>
      </c>
      <c r="C120" s="23"/>
      <c r="D120" s="27"/>
    </row>
    <row r="121" spans="1:4" ht="24.75" customHeight="1" x14ac:dyDescent="0.3">
      <c r="A121" s="12" t="s">
        <v>216</v>
      </c>
      <c r="B121" s="8" t="s">
        <v>217</v>
      </c>
      <c r="C121" s="9">
        <f t="shared" ref="C121:C134" si="9">V121</f>
        <v>0</v>
      </c>
      <c r="D121" s="26" t="s">
        <v>1005</v>
      </c>
    </row>
    <row r="122" spans="1:4" ht="24.75" customHeight="1" x14ac:dyDescent="0.3">
      <c r="A122" s="12" t="s">
        <v>218</v>
      </c>
      <c r="B122" s="8" t="s">
        <v>219</v>
      </c>
      <c r="C122" s="9">
        <f t="shared" si="9"/>
        <v>0</v>
      </c>
      <c r="D122" s="26" t="s">
        <v>1005</v>
      </c>
    </row>
    <row r="123" spans="1:4" ht="24.75" customHeight="1" x14ac:dyDescent="0.3">
      <c r="A123" s="12" t="s">
        <v>220</v>
      </c>
      <c r="B123" s="8" t="s">
        <v>221</v>
      </c>
      <c r="C123" s="9">
        <f t="shared" si="9"/>
        <v>0</v>
      </c>
      <c r="D123" s="26" t="s">
        <v>1010</v>
      </c>
    </row>
    <row r="124" spans="1:4" ht="24.75" customHeight="1" x14ac:dyDescent="0.3">
      <c r="A124" s="12" t="s">
        <v>222</v>
      </c>
      <c r="B124" s="8" t="s">
        <v>223</v>
      </c>
      <c r="C124" s="9">
        <f t="shared" si="9"/>
        <v>0</v>
      </c>
      <c r="D124" s="26" t="s">
        <v>1005</v>
      </c>
    </row>
    <row r="125" spans="1:4" ht="24.75" customHeight="1" x14ac:dyDescent="0.3">
      <c r="A125" s="12" t="s">
        <v>224</v>
      </c>
      <c r="B125" s="8" t="s">
        <v>225</v>
      </c>
      <c r="C125" s="9">
        <f t="shared" si="9"/>
        <v>0</v>
      </c>
      <c r="D125" s="26" t="s">
        <v>1005</v>
      </c>
    </row>
    <row r="126" spans="1:4" ht="24.75" customHeight="1" x14ac:dyDescent="0.3">
      <c r="A126" s="12" t="s">
        <v>226</v>
      </c>
      <c r="B126" s="8" t="s">
        <v>227</v>
      </c>
      <c r="C126" s="9">
        <f t="shared" si="9"/>
        <v>0</v>
      </c>
      <c r="D126" s="26" t="s">
        <v>1005</v>
      </c>
    </row>
    <row r="127" spans="1:4" ht="24.75" customHeight="1" x14ac:dyDescent="0.3">
      <c r="A127" s="12" t="s">
        <v>228</v>
      </c>
      <c r="B127" s="8" t="s">
        <v>229</v>
      </c>
      <c r="C127" s="9">
        <f t="shared" si="9"/>
        <v>0</v>
      </c>
      <c r="D127" s="26" t="s">
        <v>1006</v>
      </c>
    </row>
    <row r="128" spans="1:4" ht="24.75" customHeight="1" x14ac:dyDescent="0.3">
      <c r="A128" s="12" t="s">
        <v>230</v>
      </c>
      <c r="B128" s="8" t="s">
        <v>231</v>
      </c>
      <c r="C128" s="9">
        <f t="shared" si="9"/>
        <v>0</v>
      </c>
      <c r="D128" s="26" t="s">
        <v>1005</v>
      </c>
    </row>
    <row r="129" spans="1:4" ht="24.75" customHeight="1" x14ac:dyDescent="0.3">
      <c r="A129" s="12" t="s">
        <v>232</v>
      </c>
      <c r="B129" s="8" t="s">
        <v>233</v>
      </c>
      <c r="C129" s="9">
        <f t="shared" si="9"/>
        <v>0</v>
      </c>
      <c r="D129" s="26" t="s">
        <v>1005</v>
      </c>
    </row>
    <row r="130" spans="1:4" ht="24.75" customHeight="1" x14ac:dyDescent="0.3">
      <c r="A130" s="12" t="s">
        <v>234</v>
      </c>
      <c r="B130" s="8" t="s">
        <v>235</v>
      </c>
      <c r="C130" s="9">
        <f t="shared" si="9"/>
        <v>0</v>
      </c>
      <c r="D130" s="26" t="s">
        <v>1005</v>
      </c>
    </row>
    <row r="131" spans="1:4" ht="24.75" customHeight="1" x14ac:dyDescent="0.3">
      <c r="A131" s="12" t="s">
        <v>236</v>
      </c>
      <c r="B131" s="8" t="s">
        <v>237</v>
      </c>
      <c r="C131" s="9">
        <f t="shared" si="9"/>
        <v>0</v>
      </c>
      <c r="D131" s="26" t="s">
        <v>1005</v>
      </c>
    </row>
    <row r="132" spans="1:4" ht="24.75" customHeight="1" x14ac:dyDescent="0.3">
      <c r="A132" s="12" t="s">
        <v>238</v>
      </c>
      <c r="B132" s="8" t="s">
        <v>239</v>
      </c>
      <c r="C132" s="9">
        <f t="shared" si="9"/>
        <v>0</v>
      </c>
      <c r="D132" s="26" t="s">
        <v>1005</v>
      </c>
    </row>
    <row r="133" spans="1:4" ht="24.75" customHeight="1" x14ac:dyDescent="0.3">
      <c r="A133" s="12" t="s">
        <v>894</v>
      </c>
      <c r="B133" s="8" t="s">
        <v>895</v>
      </c>
      <c r="C133" s="9">
        <f t="shared" si="9"/>
        <v>0</v>
      </c>
      <c r="D133" s="26" t="s">
        <v>1005</v>
      </c>
    </row>
    <row r="134" spans="1:4" ht="24.75" customHeight="1" x14ac:dyDescent="0.3">
      <c r="A134" s="12" t="s">
        <v>896</v>
      </c>
      <c r="B134" s="8" t="s">
        <v>897</v>
      </c>
      <c r="C134" s="9">
        <f t="shared" si="9"/>
        <v>0</v>
      </c>
      <c r="D134" s="26" t="s">
        <v>1005</v>
      </c>
    </row>
    <row r="135" spans="1:4" ht="24.75" customHeight="1" x14ac:dyDescent="0.3">
      <c r="A135" s="10">
        <v>13</v>
      </c>
      <c r="B135" s="11" t="s">
        <v>240</v>
      </c>
      <c r="C135" s="23"/>
      <c r="D135" s="27"/>
    </row>
    <row r="136" spans="1:4" ht="24.75" customHeight="1" x14ac:dyDescent="0.3">
      <c r="A136" s="12" t="s">
        <v>241</v>
      </c>
      <c r="B136" s="8" t="s">
        <v>242</v>
      </c>
      <c r="C136" s="9">
        <f t="shared" ref="C136:C157" si="10">V136</f>
        <v>0</v>
      </c>
      <c r="D136" s="26" t="s">
        <v>1010</v>
      </c>
    </row>
    <row r="137" spans="1:4" ht="24.75" customHeight="1" x14ac:dyDescent="0.3">
      <c r="A137" s="12" t="s">
        <v>243</v>
      </c>
      <c r="B137" s="8" t="s">
        <v>244</v>
      </c>
      <c r="C137" s="9">
        <f t="shared" si="10"/>
        <v>0</v>
      </c>
      <c r="D137" s="26" t="s">
        <v>1010</v>
      </c>
    </row>
    <row r="138" spans="1:4" ht="24.75" customHeight="1" x14ac:dyDescent="0.3">
      <c r="A138" s="12" t="s">
        <v>245</v>
      </c>
      <c r="B138" s="8" t="s">
        <v>246</v>
      </c>
      <c r="C138" s="9">
        <f t="shared" si="10"/>
        <v>0</v>
      </c>
      <c r="D138" s="26" t="s">
        <v>1010</v>
      </c>
    </row>
    <row r="139" spans="1:4" ht="24.75" customHeight="1" x14ac:dyDescent="0.3">
      <c r="A139" s="12" t="s">
        <v>247</v>
      </c>
      <c r="B139" s="13" t="s">
        <v>248</v>
      </c>
      <c r="C139" s="9">
        <f t="shared" si="10"/>
        <v>0</v>
      </c>
      <c r="D139" s="26" t="s">
        <v>1005</v>
      </c>
    </row>
    <row r="140" spans="1:4" ht="24.75" customHeight="1" x14ac:dyDescent="0.3">
      <c r="A140" s="12" t="s">
        <v>249</v>
      </c>
      <c r="B140" s="8" t="s">
        <v>250</v>
      </c>
      <c r="C140" s="9">
        <f t="shared" si="10"/>
        <v>0</v>
      </c>
      <c r="D140" s="26" t="s">
        <v>1010</v>
      </c>
    </row>
    <row r="141" spans="1:4" ht="24.75" customHeight="1" x14ac:dyDescent="0.3">
      <c r="A141" s="12" t="s">
        <v>251</v>
      </c>
      <c r="B141" s="8" t="s">
        <v>252</v>
      </c>
      <c r="C141" s="9">
        <f t="shared" si="10"/>
        <v>0</v>
      </c>
      <c r="D141" s="26" t="s">
        <v>1010</v>
      </c>
    </row>
    <row r="142" spans="1:4" ht="24.75" customHeight="1" x14ac:dyDescent="0.3">
      <c r="A142" s="12" t="s">
        <v>253</v>
      </c>
      <c r="B142" s="8" t="s">
        <v>254</v>
      </c>
      <c r="C142" s="9">
        <f t="shared" si="10"/>
        <v>0</v>
      </c>
      <c r="D142" s="26" t="s">
        <v>1005</v>
      </c>
    </row>
    <row r="143" spans="1:4" ht="24.75" customHeight="1" x14ac:dyDescent="0.3">
      <c r="A143" s="12" t="s">
        <v>255</v>
      </c>
      <c r="B143" s="8" t="s">
        <v>256</v>
      </c>
      <c r="C143" s="9">
        <f t="shared" si="10"/>
        <v>0</v>
      </c>
      <c r="D143" s="26" t="s">
        <v>1000</v>
      </c>
    </row>
    <row r="144" spans="1:4" ht="24.75" customHeight="1" x14ac:dyDescent="0.3">
      <c r="A144" s="12" t="s">
        <v>257</v>
      </c>
      <c r="B144" s="13" t="s">
        <v>258</v>
      </c>
      <c r="C144" s="9">
        <f t="shared" si="10"/>
        <v>0</v>
      </c>
      <c r="D144" s="26" t="s">
        <v>1010</v>
      </c>
    </row>
    <row r="145" spans="1:4" ht="24.75" customHeight="1" x14ac:dyDescent="0.3">
      <c r="A145" s="12" t="s">
        <v>259</v>
      </c>
      <c r="B145" s="13" t="s">
        <v>260</v>
      </c>
      <c r="C145" s="9">
        <f t="shared" si="10"/>
        <v>0</v>
      </c>
      <c r="D145" s="26" t="s">
        <v>1005</v>
      </c>
    </row>
    <row r="146" spans="1:4" ht="24.75" customHeight="1" x14ac:dyDescent="0.3">
      <c r="A146" s="12" t="s">
        <v>261</v>
      </c>
      <c r="B146" s="8" t="s">
        <v>262</v>
      </c>
      <c r="C146" s="9">
        <f t="shared" si="10"/>
        <v>0</v>
      </c>
      <c r="D146" s="26" t="s">
        <v>1010</v>
      </c>
    </row>
    <row r="147" spans="1:4" ht="24.75" customHeight="1" x14ac:dyDescent="0.3">
      <c r="A147" s="12" t="s">
        <v>6</v>
      </c>
      <c r="B147" s="8" t="s">
        <v>7</v>
      </c>
      <c r="C147" s="9">
        <f t="shared" si="10"/>
        <v>0</v>
      </c>
      <c r="D147" s="26" t="s">
        <v>1010</v>
      </c>
    </row>
    <row r="148" spans="1:4" ht="24.75" customHeight="1" x14ac:dyDescent="0.3">
      <c r="A148" s="12" t="s">
        <v>263</v>
      </c>
      <c r="B148" s="8" t="s">
        <v>264</v>
      </c>
      <c r="C148" s="9">
        <f t="shared" si="10"/>
        <v>0</v>
      </c>
      <c r="D148" s="26" t="s">
        <v>1005</v>
      </c>
    </row>
    <row r="149" spans="1:4" ht="24.75" customHeight="1" x14ac:dyDescent="0.3">
      <c r="A149" s="12" t="s">
        <v>265</v>
      </c>
      <c r="B149" s="8" t="s">
        <v>266</v>
      </c>
      <c r="C149" s="9">
        <f t="shared" si="10"/>
        <v>0</v>
      </c>
      <c r="D149" s="26" t="s">
        <v>1010</v>
      </c>
    </row>
    <row r="150" spans="1:4" ht="24.75" customHeight="1" x14ac:dyDescent="0.3">
      <c r="A150" s="12" t="s">
        <v>267</v>
      </c>
      <c r="B150" s="8" t="s">
        <v>268</v>
      </c>
      <c r="C150" s="9">
        <f t="shared" si="10"/>
        <v>0</v>
      </c>
      <c r="D150" s="26" t="s">
        <v>1010</v>
      </c>
    </row>
    <row r="151" spans="1:4" ht="24.75" customHeight="1" x14ac:dyDescent="0.3">
      <c r="A151" s="12" t="s">
        <v>269</v>
      </c>
      <c r="B151" s="8" t="s">
        <v>270</v>
      </c>
      <c r="C151" s="9">
        <f t="shared" si="10"/>
        <v>0</v>
      </c>
      <c r="D151" s="26" t="s">
        <v>1005</v>
      </c>
    </row>
    <row r="152" spans="1:4" ht="24.75" customHeight="1" x14ac:dyDescent="0.3">
      <c r="A152" s="12" t="s">
        <v>271</v>
      </c>
      <c r="B152" s="8" t="s">
        <v>272</v>
      </c>
      <c r="C152" s="9">
        <f t="shared" si="10"/>
        <v>0</v>
      </c>
      <c r="D152" s="26" t="s">
        <v>1010</v>
      </c>
    </row>
    <row r="153" spans="1:4" ht="24.75" customHeight="1" x14ac:dyDescent="0.3">
      <c r="A153" s="12" t="s">
        <v>273</v>
      </c>
      <c r="B153" s="8" t="s">
        <v>274</v>
      </c>
      <c r="C153" s="9">
        <f t="shared" si="10"/>
        <v>0</v>
      </c>
      <c r="D153" s="26" t="s">
        <v>1005</v>
      </c>
    </row>
    <row r="154" spans="1:4" ht="24.75" customHeight="1" x14ac:dyDescent="0.3">
      <c r="A154" s="12" t="s">
        <v>275</v>
      </c>
      <c r="B154" s="8" t="s">
        <v>276</v>
      </c>
      <c r="C154" s="9">
        <f t="shared" si="10"/>
        <v>0</v>
      </c>
      <c r="D154" s="26" t="s">
        <v>1005</v>
      </c>
    </row>
    <row r="155" spans="1:4" ht="24.75" customHeight="1" x14ac:dyDescent="0.3">
      <c r="A155" s="12" t="s">
        <v>277</v>
      </c>
      <c r="B155" s="8" t="s">
        <v>278</v>
      </c>
      <c r="C155" s="9">
        <f t="shared" si="10"/>
        <v>0</v>
      </c>
      <c r="D155" s="26" t="s">
        <v>1000</v>
      </c>
    </row>
    <row r="156" spans="1:4" ht="24.75" customHeight="1" x14ac:dyDescent="0.3">
      <c r="A156" s="12" t="s">
        <v>279</v>
      </c>
      <c r="B156" s="8" t="s">
        <v>280</v>
      </c>
      <c r="C156" s="9">
        <f t="shared" si="10"/>
        <v>0</v>
      </c>
      <c r="D156" s="26" t="s">
        <v>1000</v>
      </c>
    </row>
    <row r="157" spans="1:4" ht="24.75" customHeight="1" x14ac:dyDescent="0.3">
      <c r="A157" s="12" t="s">
        <v>898</v>
      </c>
      <c r="B157" s="8" t="s">
        <v>899</v>
      </c>
      <c r="C157" s="9">
        <f t="shared" si="10"/>
        <v>0</v>
      </c>
      <c r="D157" s="26" t="s">
        <v>1010</v>
      </c>
    </row>
    <row r="158" spans="1:4" ht="24.75" customHeight="1" x14ac:dyDescent="0.3">
      <c r="A158" s="10">
        <v>14</v>
      </c>
      <c r="B158" s="11" t="s">
        <v>281</v>
      </c>
      <c r="C158" s="23"/>
      <c r="D158" s="27"/>
    </row>
    <row r="159" spans="1:4" ht="24.75" customHeight="1" x14ac:dyDescent="0.3">
      <c r="A159" s="12" t="s">
        <v>282</v>
      </c>
      <c r="B159" s="8" t="s">
        <v>283</v>
      </c>
      <c r="C159" s="9">
        <f t="shared" ref="C159:C188" si="11">V159</f>
        <v>0</v>
      </c>
      <c r="D159" s="26" t="s">
        <v>1005</v>
      </c>
    </row>
    <row r="160" spans="1:4" ht="24.75" customHeight="1" x14ac:dyDescent="0.3">
      <c r="A160" s="12" t="s">
        <v>284</v>
      </c>
      <c r="B160" s="8" t="s">
        <v>285</v>
      </c>
      <c r="C160" s="9">
        <f t="shared" si="11"/>
        <v>0</v>
      </c>
      <c r="D160" s="26" t="s">
        <v>1005</v>
      </c>
    </row>
    <row r="161" spans="1:4" ht="24.75" customHeight="1" x14ac:dyDescent="0.3">
      <c r="A161" s="12" t="s">
        <v>286</v>
      </c>
      <c r="B161" s="8" t="s">
        <v>287</v>
      </c>
      <c r="C161" s="9">
        <f t="shared" si="11"/>
        <v>0</v>
      </c>
      <c r="D161" s="26" t="s">
        <v>1006</v>
      </c>
    </row>
    <row r="162" spans="1:4" ht="24.75" customHeight="1" x14ac:dyDescent="0.3">
      <c r="A162" s="12" t="s">
        <v>288</v>
      </c>
      <c r="B162" s="8" t="s">
        <v>289</v>
      </c>
      <c r="C162" s="9">
        <f t="shared" si="11"/>
        <v>0</v>
      </c>
      <c r="D162" s="26" t="s">
        <v>1006</v>
      </c>
    </row>
    <row r="163" spans="1:4" ht="24.75" customHeight="1" x14ac:dyDescent="0.3">
      <c r="A163" s="12" t="s">
        <v>290</v>
      </c>
      <c r="B163" s="8" t="s">
        <v>291</v>
      </c>
      <c r="C163" s="9">
        <f t="shared" si="11"/>
        <v>0</v>
      </c>
      <c r="D163" s="26" t="s">
        <v>1006</v>
      </c>
    </row>
    <row r="164" spans="1:4" ht="24.75" customHeight="1" x14ac:dyDescent="0.3">
      <c r="A164" s="12" t="s">
        <v>292</v>
      </c>
      <c r="B164" s="8" t="s">
        <v>293</v>
      </c>
      <c r="C164" s="9">
        <f t="shared" si="11"/>
        <v>0</v>
      </c>
      <c r="D164" s="26" t="s">
        <v>1005</v>
      </c>
    </row>
    <row r="165" spans="1:4" ht="24.75" customHeight="1" x14ac:dyDescent="0.3">
      <c r="A165" s="12" t="s">
        <v>294</v>
      </c>
      <c r="B165" s="8" t="s">
        <v>295</v>
      </c>
      <c r="C165" s="9">
        <f t="shared" si="11"/>
        <v>0</v>
      </c>
      <c r="D165" s="26" t="s">
        <v>1005</v>
      </c>
    </row>
    <row r="166" spans="1:4" ht="24.75" customHeight="1" x14ac:dyDescent="0.3">
      <c r="A166" s="12" t="s">
        <v>296</v>
      </c>
      <c r="B166" s="8" t="s">
        <v>297</v>
      </c>
      <c r="C166" s="9">
        <f t="shared" si="11"/>
        <v>0</v>
      </c>
      <c r="D166" s="26" t="s">
        <v>1005</v>
      </c>
    </row>
    <row r="167" spans="1:4" ht="24.75" customHeight="1" x14ac:dyDescent="0.3">
      <c r="A167" s="12" t="s">
        <v>298</v>
      </c>
      <c r="B167" s="8" t="s">
        <v>299</v>
      </c>
      <c r="C167" s="9">
        <f t="shared" si="11"/>
        <v>0</v>
      </c>
      <c r="D167" s="26" t="s">
        <v>1010</v>
      </c>
    </row>
    <row r="168" spans="1:4" ht="24.75" customHeight="1" x14ac:dyDescent="0.3">
      <c r="A168" s="12" t="s">
        <v>300</v>
      </c>
      <c r="B168" s="8" t="s">
        <v>301</v>
      </c>
      <c r="C168" s="9">
        <f t="shared" si="11"/>
        <v>0</v>
      </c>
      <c r="D168" s="26" t="s">
        <v>1010</v>
      </c>
    </row>
    <row r="169" spans="1:4" ht="24.75" customHeight="1" x14ac:dyDescent="0.3">
      <c r="A169" s="12" t="s">
        <v>302</v>
      </c>
      <c r="B169" s="8" t="s">
        <v>303</v>
      </c>
      <c r="C169" s="9">
        <f t="shared" si="11"/>
        <v>0</v>
      </c>
      <c r="D169" s="26" t="s">
        <v>1010</v>
      </c>
    </row>
    <row r="170" spans="1:4" ht="24.75" customHeight="1" x14ac:dyDescent="0.3">
      <c r="A170" s="12" t="s">
        <v>304</v>
      </c>
      <c r="B170" s="8" t="s">
        <v>305</v>
      </c>
      <c r="C170" s="9">
        <f t="shared" si="11"/>
        <v>0</v>
      </c>
      <c r="D170" s="26" t="s">
        <v>1005</v>
      </c>
    </row>
    <row r="171" spans="1:4" ht="24.75" customHeight="1" x14ac:dyDescent="0.3">
      <c r="A171" s="12" t="s">
        <v>306</v>
      </c>
      <c r="B171" s="8" t="s">
        <v>307</v>
      </c>
      <c r="C171" s="9">
        <f t="shared" si="11"/>
        <v>0</v>
      </c>
      <c r="D171" s="26" t="s">
        <v>1010</v>
      </c>
    </row>
    <row r="172" spans="1:4" ht="24.75" customHeight="1" x14ac:dyDescent="0.3">
      <c r="A172" s="12" t="s">
        <v>308</v>
      </c>
      <c r="B172" s="8" t="s">
        <v>309</v>
      </c>
      <c r="C172" s="9">
        <f t="shared" si="11"/>
        <v>0</v>
      </c>
      <c r="D172" s="26" t="s">
        <v>1010</v>
      </c>
    </row>
    <row r="173" spans="1:4" ht="24.75" customHeight="1" x14ac:dyDescent="0.3">
      <c r="A173" s="12" t="s">
        <v>310</v>
      </c>
      <c r="B173" s="8" t="s">
        <v>311</v>
      </c>
      <c r="C173" s="9">
        <f t="shared" si="11"/>
        <v>0</v>
      </c>
      <c r="D173" s="26" t="s">
        <v>1010</v>
      </c>
    </row>
    <row r="174" spans="1:4" ht="24.75" customHeight="1" x14ac:dyDescent="0.3">
      <c r="A174" s="12" t="s">
        <v>312</v>
      </c>
      <c r="B174" s="8" t="s">
        <v>313</v>
      </c>
      <c r="C174" s="9">
        <f t="shared" si="11"/>
        <v>0</v>
      </c>
      <c r="D174" s="26" t="s">
        <v>1010</v>
      </c>
    </row>
    <row r="175" spans="1:4" ht="24.75" customHeight="1" x14ac:dyDescent="0.3">
      <c r="A175" s="12" t="s">
        <v>314</v>
      </c>
      <c r="B175" s="8" t="s">
        <v>315</v>
      </c>
      <c r="C175" s="9">
        <f t="shared" si="11"/>
        <v>0</v>
      </c>
      <c r="D175" s="26" t="s">
        <v>1005</v>
      </c>
    </row>
    <row r="176" spans="1:4" ht="24.75" customHeight="1" x14ac:dyDescent="0.3">
      <c r="A176" s="12" t="s">
        <v>316</v>
      </c>
      <c r="B176" s="8" t="s">
        <v>317</v>
      </c>
      <c r="C176" s="9">
        <f t="shared" si="11"/>
        <v>0</v>
      </c>
      <c r="D176" s="26" t="s">
        <v>1005</v>
      </c>
    </row>
    <row r="177" spans="1:4" ht="24.75" customHeight="1" x14ac:dyDescent="0.3">
      <c r="A177" s="12" t="s">
        <v>318</v>
      </c>
      <c r="B177" s="8" t="s">
        <v>319</v>
      </c>
      <c r="C177" s="9">
        <f t="shared" si="11"/>
        <v>0</v>
      </c>
      <c r="D177" s="26" t="s">
        <v>1005</v>
      </c>
    </row>
    <row r="178" spans="1:4" ht="24.75" customHeight="1" x14ac:dyDescent="0.3">
      <c r="A178" s="12" t="s">
        <v>320</v>
      </c>
      <c r="B178" s="8" t="s">
        <v>321</v>
      </c>
      <c r="C178" s="9">
        <f t="shared" si="11"/>
        <v>0</v>
      </c>
      <c r="D178" s="26" t="s">
        <v>1006</v>
      </c>
    </row>
    <row r="179" spans="1:4" ht="24.75" customHeight="1" x14ac:dyDescent="0.3">
      <c r="A179" s="12" t="s">
        <v>322</v>
      </c>
      <c r="B179" s="8" t="s">
        <v>323</v>
      </c>
      <c r="C179" s="9">
        <f t="shared" si="11"/>
        <v>0</v>
      </c>
      <c r="D179" s="26" t="s">
        <v>1006</v>
      </c>
    </row>
    <row r="180" spans="1:4" ht="24.75" customHeight="1" x14ac:dyDescent="0.3">
      <c r="A180" s="12" t="s">
        <v>324</v>
      </c>
      <c r="B180" s="8" t="s">
        <v>325</v>
      </c>
      <c r="C180" s="9">
        <f t="shared" si="11"/>
        <v>0</v>
      </c>
      <c r="D180" s="26" t="s">
        <v>1006</v>
      </c>
    </row>
    <row r="181" spans="1:4" ht="24.75" customHeight="1" x14ac:dyDescent="0.3">
      <c r="A181" s="12" t="s">
        <v>326</v>
      </c>
      <c r="B181" s="8" t="s">
        <v>327</v>
      </c>
      <c r="C181" s="9">
        <f t="shared" si="11"/>
        <v>0</v>
      </c>
      <c r="D181" s="26" t="s">
        <v>1010</v>
      </c>
    </row>
    <row r="182" spans="1:4" ht="24.75" customHeight="1" x14ac:dyDescent="0.3">
      <c r="A182" s="12" t="s">
        <v>328</v>
      </c>
      <c r="B182" s="8" t="s">
        <v>329</v>
      </c>
      <c r="C182" s="9">
        <f t="shared" si="11"/>
        <v>0</v>
      </c>
      <c r="D182" s="26" t="s">
        <v>1010</v>
      </c>
    </row>
    <row r="183" spans="1:4" ht="24.75" customHeight="1" x14ac:dyDescent="0.3">
      <c r="A183" s="12" t="s">
        <v>330</v>
      </c>
      <c r="B183" s="8" t="s">
        <v>331</v>
      </c>
      <c r="C183" s="9">
        <f t="shared" si="11"/>
        <v>0</v>
      </c>
      <c r="D183" s="26" t="s">
        <v>1010</v>
      </c>
    </row>
    <row r="184" spans="1:4" ht="24.75" customHeight="1" x14ac:dyDescent="0.3">
      <c r="A184" s="12" t="s">
        <v>332</v>
      </c>
      <c r="B184" s="8" t="s">
        <v>333</v>
      </c>
      <c r="C184" s="9">
        <f t="shared" si="11"/>
        <v>0</v>
      </c>
      <c r="D184" s="26" t="s">
        <v>1010</v>
      </c>
    </row>
    <row r="185" spans="1:4" ht="24.75" customHeight="1" x14ac:dyDescent="0.3">
      <c r="A185" s="12" t="s">
        <v>334</v>
      </c>
      <c r="B185" s="8" t="s">
        <v>335</v>
      </c>
      <c r="C185" s="9">
        <f t="shared" si="11"/>
        <v>0</v>
      </c>
      <c r="D185" s="26" t="s">
        <v>1010</v>
      </c>
    </row>
    <row r="186" spans="1:4" ht="24.75" customHeight="1" x14ac:dyDescent="0.3">
      <c r="A186" s="12" t="s">
        <v>336</v>
      </c>
      <c r="B186" s="8" t="s">
        <v>337</v>
      </c>
      <c r="C186" s="9">
        <f t="shared" si="11"/>
        <v>0</v>
      </c>
      <c r="D186" s="26" t="s">
        <v>1005</v>
      </c>
    </row>
    <row r="187" spans="1:4" ht="24.75" customHeight="1" x14ac:dyDescent="0.3">
      <c r="A187" s="12" t="s">
        <v>338</v>
      </c>
      <c r="B187" s="8" t="s">
        <v>339</v>
      </c>
      <c r="C187" s="9">
        <f t="shared" si="11"/>
        <v>0</v>
      </c>
      <c r="D187" s="26" t="s">
        <v>1010</v>
      </c>
    </row>
    <row r="188" spans="1:4" ht="24.75" customHeight="1" x14ac:dyDescent="0.3">
      <c r="A188" s="12" t="s">
        <v>953</v>
      </c>
      <c r="B188" s="8" t="s">
        <v>954</v>
      </c>
      <c r="C188" s="9">
        <f t="shared" si="11"/>
        <v>0</v>
      </c>
      <c r="D188" s="26" t="s">
        <v>1006</v>
      </c>
    </row>
    <row r="189" spans="1:4" ht="24.75" customHeight="1" x14ac:dyDescent="0.3">
      <c r="A189" s="10">
        <v>15</v>
      </c>
      <c r="B189" s="11" t="s">
        <v>340</v>
      </c>
      <c r="C189" s="23"/>
      <c r="D189" s="27"/>
    </row>
    <row r="190" spans="1:4" ht="24.75" customHeight="1" x14ac:dyDescent="0.3">
      <c r="A190" s="12" t="s">
        <v>341</v>
      </c>
      <c r="B190" s="8" t="s">
        <v>342</v>
      </c>
      <c r="C190" s="9">
        <f t="shared" ref="C190:C207" si="12">V190</f>
        <v>0</v>
      </c>
      <c r="D190" s="26" t="s">
        <v>1011</v>
      </c>
    </row>
    <row r="191" spans="1:4" ht="24.75" customHeight="1" x14ac:dyDescent="0.3">
      <c r="A191" s="12" t="s">
        <v>343</v>
      </c>
      <c r="B191" s="8" t="s">
        <v>344</v>
      </c>
      <c r="C191" s="9">
        <f t="shared" si="12"/>
        <v>0</v>
      </c>
      <c r="D191" s="26" t="s">
        <v>1011</v>
      </c>
    </row>
    <row r="192" spans="1:4" ht="24.75" customHeight="1" x14ac:dyDescent="0.3">
      <c r="A192" s="12" t="s">
        <v>345</v>
      </c>
      <c r="B192" s="8" t="s">
        <v>346</v>
      </c>
      <c r="C192" s="9">
        <f t="shared" si="12"/>
        <v>0</v>
      </c>
      <c r="D192" s="26" t="s">
        <v>1011</v>
      </c>
    </row>
    <row r="193" spans="1:4" ht="24.75" customHeight="1" x14ac:dyDescent="0.3">
      <c r="A193" s="12" t="s">
        <v>347</v>
      </c>
      <c r="B193" s="8" t="s">
        <v>348</v>
      </c>
      <c r="C193" s="9">
        <f t="shared" si="12"/>
        <v>0</v>
      </c>
      <c r="D193" s="26" t="s">
        <v>1010</v>
      </c>
    </row>
    <row r="194" spans="1:4" ht="24.75" customHeight="1" x14ac:dyDescent="0.3">
      <c r="A194" s="12" t="s">
        <v>349</v>
      </c>
      <c r="B194" s="8" t="s">
        <v>350</v>
      </c>
      <c r="C194" s="9">
        <f t="shared" si="12"/>
        <v>0</v>
      </c>
      <c r="D194" s="26" t="s">
        <v>1010</v>
      </c>
    </row>
    <row r="195" spans="1:4" ht="24.75" customHeight="1" x14ac:dyDescent="0.3">
      <c r="A195" s="12" t="s">
        <v>351</v>
      </c>
      <c r="B195" s="8" t="s">
        <v>352</v>
      </c>
      <c r="C195" s="9">
        <f t="shared" si="12"/>
        <v>0</v>
      </c>
      <c r="D195" s="26" t="s">
        <v>1010</v>
      </c>
    </row>
    <row r="196" spans="1:4" ht="24.75" customHeight="1" x14ac:dyDescent="0.3">
      <c r="A196" s="12" t="s">
        <v>353</v>
      </c>
      <c r="B196" s="8" t="s">
        <v>900</v>
      </c>
      <c r="C196" s="9">
        <f t="shared" si="12"/>
        <v>0</v>
      </c>
      <c r="D196" s="26" t="s">
        <v>1010</v>
      </c>
    </row>
    <row r="197" spans="1:4" ht="24.75" customHeight="1" x14ac:dyDescent="0.3">
      <c r="A197" s="12" t="s">
        <v>354</v>
      </c>
      <c r="B197" s="8" t="s">
        <v>355</v>
      </c>
      <c r="C197" s="9">
        <f t="shared" si="12"/>
        <v>0</v>
      </c>
      <c r="D197" s="26" t="s">
        <v>1010</v>
      </c>
    </row>
    <row r="198" spans="1:4" ht="24.75" customHeight="1" x14ac:dyDescent="0.3">
      <c r="A198" s="12" t="s">
        <v>356</v>
      </c>
      <c r="B198" s="8" t="s">
        <v>357</v>
      </c>
      <c r="C198" s="9">
        <f t="shared" si="12"/>
        <v>0</v>
      </c>
      <c r="D198" s="26" t="s">
        <v>1010</v>
      </c>
    </row>
    <row r="199" spans="1:4" ht="24.75" customHeight="1" x14ac:dyDescent="0.3">
      <c r="A199" s="12" t="s">
        <v>358</v>
      </c>
      <c r="B199" s="8" t="s">
        <v>359</v>
      </c>
      <c r="C199" s="9">
        <f t="shared" si="12"/>
        <v>0</v>
      </c>
      <c r="D199" s="26" t="s">
        <v>1006</v>
      </c>
    </row>
    <row r="200" spans="1:4" ht="24.75" customHeight="1" x14ac:dyDescent="0.3">
      <c r="A200" s="12" t="s">
        <v>360</v>
      </c>
      <c r="B200" s="8" t="s">
        <v>361</v>
      </c>
      <c r="C200" s="9">
        <f t="shared" si="12"/>
        <v>0</v>
      </c>
      <c r="D200" s="26" t="s">
        <v>1010</v>
      </c>
    </row>
    <row r="201" spans="1:4" ht="24.75" customHeight="1" x14ac:dyDescent="0.3">
      <c r="A201" s="12" t="s">
        <v>362</v>
      </c>
      <c r="B201" s="8" t="s">
        <v>363</v>
      </c>
      <c r="C201" s="9">
        <f t="shared" si="12"/>
        <v>0</v>
      </c>
      <c r="D201" s="26" t="s">
        <v>1010</v>
      </c>
    </row>
    <row r="202" spans="1:4" ht="24.75" customHeight="1" x14ac:dyDescent="0.3">
      <c r="A202" s="12" t="s">
        <v>364</v>
      </c>
      <c r="B202" s="8" t="s">
        <v>365</v>
      </c>
      <c r="C202" s="9">
        <f t="shared" si="12"/>
        <v>0</v>
      </c>
      <c r="D202" s="26" t="s">
        <v>1010</v>
      </c>
    </row>
    <row r="203" spans="1:4" ht="24.75" customHeight="1" x14ac:dyDescent="0.3">
      <c r="A203" s="12" t="s">
        <v>366</v>
      </c>
      <c r="B203" s="8" t="s">
        <v>367</v>
      </c>
      <c r="C203" s="9">
        <f t="shared" si="12"/>
        <v>0</v>
      </c>
      <c r="D203" s="26" t="s">
        <v>1010</v>
      </c>
    </row>
    <row r="204" spans="1:4" ht="24.75" customHeight="1" x14ac:dyDescent="0.3">
      <c r="A204" s="12" t="s">
        <v>368</v>
      </c>
      <c r="B204" s="8" t="s">
        <v>369</v>
      </c>
      <c r="C204" s="9">
        <f t="shared" si="12"/>
        <v>0</v>
      </c>
      <c r="D204" s="26" t="s">
        <v>1010</v>
      </c>
    </row>
    <row r="205" spans="1:4" ht="24.75" customHeight="1" x14ac:dyDescent="0.3">
      <c r="A205" s="12" t="s">
        <v>370</v>
      </c>
      <c r="B205" s="8" t="s">
        <v>371</v>
      </c>
      <c r="C205" s="9">
        <f t="shared" si="12"/>
        <v>0</v>
      </c>
      <c r="D205" s="26" t="s">
        <v>1010</v>
      </c>
    </row>
    <row r="206" spans="1:4" ht="24.75" customHeight="1" x14ac:dyDescent="0.3">
      <c r="A206" s="12" t="s">
        <v>372</v>
      </c>
      <c r="B206" s="8" t="s">
        <v>373</v>
      </c>
      <c r="C206" s="9">
        <f t="shared" si="12"/>
        <v>0</v>
      </c>
      <c r="D206" s="26" t="s">
        <v>1010</v>
      </c>
    </row>
    <row r="207" spans="1:4" ht="24.75" customHeight="1" x14ac:dyDescent="0.3">
      <c r="A207" s="12" t="s">
        <v>955</v>
      </c>
      <c r="B207" s="8" t="s">
        <v>956</v>
      </c>
      <c r="C207" s="9">
        <f t="shared" si="12"/>
        <v>0</v>
      </c>
      <c r="D207" s="26" t="s">
        <v>1010</v>
      </c>
    </row>
    <row r="208" spans="1:4" ht="24.75" customHeight="1" x14ac:dyDescent="0.3">
      <c r="A208" s="10">
        <v>16</v>
      </c>
      <c r="B208" s="11" t="s">
        <v>374</v>
      </c>
      <c r="C208" s="23"/>
      <c r="D208" s="27"/>
    </row>
    <row r="209" spans="1:4" ht="24.75" customHeight="1" x14ac:dyDescent="0.3">
      <c r="A209" s="12" t="s">
        <v>375</v>
      </c>
      <c r="B209" s="8" t="s">
        <v>376</v>
      </c>
      <c r="C209" s="9">
        <f t="shared" ref="C209:C227" si="13">V209</f>
        <v>0</v>
      </c>
      <c r="D209" s="26" t="s">
        <v>1005</v>
      </c>
    </row>
    <row r="210" spans="1:4" ht="24.75" customHeight="1" x14ac:dyDescent="0.3">
      <c r="A210" s="12" t="s">
        <v>377</v>
      </c>
      <c r="B210" s="8" t="s">
        <v>378</v>
      </c>
      <c r="C210" s="9">
        <f t="shared" si="13"/>
        <v>0</v>
      </c>
      <c r="D210" s="26" t="s">
        <v>1005</v>
      </c>
    </row>
    <row r="211" spans="1:4" ht="24.75" customHeight="1" x14ac:dyDescent="0.3">
      <c r="A211" s="12" t="s">
        <v>379</v>
      </c>
      <c r="B211" s="8" t="s">
        <v>380</v>
      </c>
      <c r="C211" s="9">
        <f t="shared" si="13"/>
        <v>0</v>
      </c>
      <c r="D211" s="26" t="s">
        <v>1005</v>
      </c>
    </row>
    <row r="212" spans="1:4" ht="24.75" customHeight="1" x14ac:dyDescent="0.3">
      <c r="A212" s="12" t="s">
        <v>381</v>
      </c>
      <c r="B212" s="8" t="s">
        <v>382</v>
      </c>
      <c r="C212" s="9">
        <f t="shared" si="13"/>
        <v>0</v>
      </c>
      <c r="D212" s="26" t="s">
        <v>1005</v>
      </c>
    </row>
    <row r="213" spans="1:4" ht="24.75" customHeight="1" x14ac:dyDescent="0.3">
      <c r="A213" s="12" t="s">
        <v>383</v>
      </c>
      <c r="B213" s="8" t="s">
        <v>384</v>
      </c>
      <c r="C213" s="9">
        <f t="shared" si="13"/>
        <v>0</v>
      </c>
      <c r="D213" s="26" t="s">
        <v>1005</v>
      </c>
    </row>
    <row r="214" spans="1:4" ht="24.75" customHeight="1" x14ac:dyDescent="0.3">
      <c r="A214" s="12" t="s">
        <v>385</v>
      </c>
      <c r="B214" s="8" t="s">
        <v>386</v>
      </c>
      <c r="C214" s="9">
        <f t="shared" si="13"/>
        <v>0</v>
      </c>
      <c r="D214" s="26" t="s">
        <v>1005</v>
      </c>
    </row>
    <row r="215" spans="1:4" ht="24.75" customHeight="1" x14ac:dyDescent="0.3">
      <c r="A215" s="12" t="s">
        <v>387</v>
      </c>
      <c r="B215" s="8" t="s">
        <v>388</v>
      </c>
      <c r="C215" s="9">
        <f t="shared" si="13"/>
        <v>0</v>
      </c>
      <c r="D215" s="26" t="s">
        <v>1005</v>
      </c>
    </row>
    <row r="216" spans="1:4" ht="24.75" customHeight="1" x14ac:dyDescent="0.3">
      <c r="A216" s="12" t="s">
        <v>389</v>
      </c>
      <c r="B216" s="8" t="s">
        <v>390</v>
      </c>
      <c r="C216" s="9">
        <f t="shared" si="13"/>
        <v>0</v>
      </c>
      <c r="D216" s="26" t="s">
        <v>1005</v>
      </c>
    </row>
    <row r="217" spans="1:4" ht="24.75" customHeight="1" x14ac:dyDescent="0.3">
      <c r="A217" s="12" t="s">
        <v>391</v>
      </c>
      <c r="B217" s="8" t="s">
        <v>392</v>
      </c>
      <c r="C217" s="9">
        <f t="shared" si="13"/>
        <v>0</v>
      </c>
      <c r="D217" s="26" t="s">
        <v>1005</v>
      </c>
    </row>
    <row r="218" spans="1:4" ht="24.75" customHeight="1" x14ac:dyDescent="0.3">
      <c r="A218" s="12" t="s">
        <v>393</v>
      </c>
      <c r="B218" s="8" t="s">
        <v>394</v>
      </c>
      <c r="C218" s="9">
        <f t="shared" si="13"/>
        <v>0</v>
      </c>
      <c r="D218" s="26" t="s">
        <v>1006</v>
      </c>
    </row>
    <row r="219" spans="1:4" ht="24.75" customHeight="1" x14ac:dyDescent="0.3">
      <c r="A219" s="12" t="s">
        <v>395</v>
      </c>
      <c r="B219" s="8" t="s">
        <v>396</v>
      </c>
      <c r="C219" s="9">
        <f t="shared" si="13"/>
        <v>0</v>
      </c>
      <c r="D219" s="26" t="s">
        <v>1006</v>
      </c>
    </row>
    <row r="220" spans="1:4" ht="24.75" customHeight="1" x14ac:dyDescent="0.3">
      <c r="A220" s="12" t="s">
        <v>397</v>
      </c>
      <c r="B220" s="8" t="s">
        <v>398</v>
      </c>
      <c r="C220" s="9">
        <f t="shared" si="13"/>
        <v>0</v>
      </c>
      <c r="D220" s="26" t="s">
        <v>1005</v>
      </c>
    </row>
    <row r="221" spans="1:4" ht="24.75" customHeight="1" x14ac:dyDescent="0.3">
      <c r="A221" s="12" t="s">
        <v>399</v>
      </c>
      <c r="B221" s="8" t="s">
        <v>400</v>
      </c>
      <c r="C221" s="9">
        <f t="shared" si="13"/>
        <v>0</v>
      </c>
      <c r="D221" s="26" t="s">
        <v>1005</v>
      </c>
    </row>
    <row r="222" spans="1:4" ht="24.75" customHeight="1" x14ac:dyDescent="0.3">
      <c r="A222" s="12" t="s">
        <v>401</v>
      </c>
      <c r="B222" s="8" t="s">
        <v>402</v>
      </c>
      <c r="C222" s="9">
        <f t="shared" si="13"/>
        <v>0</v>
      </c>
      <c r="D222" s="26" t="s">
        <v>1005</v>
      </c>
    </row>
    <row r="223" spans="1:4" ht="24.75" customHeight="1" x14ac:dyDescent="0.3">
      <c r="A223" s="12" t="s">
        <v>403</v>
      </c>
      <c r="B223" s="8" t="s">
        <v>404</v>
      </c>
      <c r="C223" s="9">
        <f t="shared" si="13"/>
        <v>0</v>
      </c>
      <c r="D223" s="26" t="s">
        <v>1012</v>
      </c>
    </row>
    <row r="224" spans="1:4" ht="24.75" customHeight="1" x14ac:dyDescent="0.3">
      <c r="A224" s="12" t="s">
        <v>405</v>
      </c>
      <c r="B224" s="8" t="s">
        <v>406</v>
      </c>
      <c r="C224" s="9">
        <f t="shared" si="13"/>
        <v>0</v>
      </c>
      <c r="D224" s="26" t="s">
        <v>1005</v>
      </c>
    </row>
    <row r="225" spans="1:4" ht="24.75" customHeight="1" x14ac:dyDescent="0.3">
      <c r="A225" s="12" t="s">
        <v>407</v>
      </c>
      <c r="B225" s="8" t="s">
        <v>408</v>
      </c>
      <c r="C225" s="9">
        <f t="shared" si="13"/>
        <v>0</v>
      </c>
      <c r="D225" s="26" t="s">
        <v>1005</v>
      </c>
    </row>
    <row r="226" spans="1:4" ht="24.75" customHeight="1" x14ac:dyDescent="0.3">
      <c r="A226" s="12" t="s">
        <v>409</v>
      </c>
      <c r="B226" s="8" t="s">
        <v>410</v>
      </c>
      <c r="C226" s="9">
        <f t="shared" si="13"/>
        <v>0</v>
      </c>
      <c r="D226" s="26" t="s">
        <v>1012</v>
      </c>
    </row>
    <row r="227" spans="1:4" ht="24.75" customHeight="1" x14ac:dyDescent="0.3">
      <c r="A227" s="12" t="s">
        <v>957</v>
      </c>
      <c r="B227" s="8" t="s">
        <v>958</v>
      </c>
      <c r="C227" s="9">
        <f t="shared" si="13"/>
        <v>0</v>
      </c>
      <c r="D227" s="26" t="s">
        <v>1012</v>
      </c>
    </row>
    <row r="228" spans="1:4" ht="24.75" customHeight="1" x14ac:dyDescent="0.3">
      <c r="A228" s="10">
        <v>17</v>
      </c>
      <c r="B228" s="11" t="s">
        <v>411</v>
      </c>
      <c r="C228" s="23"/>
      <c r="D228" s="27"/>
    </row>
    <row r="229" spans="1:4" ht="24.75" customHeight="1" x14ac:dyDescent="0.3">
      <c r="A229" s="12" t="s">
        <v>2</v>
      </c>
      <c r="B229" s="8" t="s">
        <v>901</v>
      </c>
      <c r="C229" s="9">
        <f t="shared" ref="C229:C239" si="14">V229</f>
        <v>0</v>
      </c>
      <c r="D229" s="26" t="s">
        <v>1005</v>
      </c>
    </row>
    <row r="230" spans="1:4" ht="24.75" customHeight="1" x14ac:dyDescent="0.3">
      <c r="A230" s="12" t="s">
        <v>412</v>
      </c>
      <c r="B230" s="8" t="s">
        <v>413</v>
      </c>
      <c r="C230" s="9">
        <f t="shared" si="14"/>
        <v>0</v>
      </c>
      <c r="D230" s="26" t="s">
        <v>1005</v>
      </c>
    </row>
    <row r="231" spans="1:4" ht="24.75" customHeight="1" x14ac:dyDescent="0.3">
      <c r="A231" s="12" t="s">
        <v>414</v>
      </c>
      <c r="B231" s="8" t="s">
        <v>415</v>
      </c>
      <c r="C231" s="9">
        <f t="shared" si="14"/>
        <v>0</v>
      </c>
      <c r="D231" s="26" t="s">
        <v>1005</v>
      </c>
    </row>
    <row r="232" spans="1:4" ht="24.75" customHeight="1" x14ac:dyDescent="0.3">
      <c r="A232" s="12" t="s">
        <v>416</v>
      </c>
      <c r="B232" s="8" t="s">
        <v>902</v>
      </c>
      <c r="C232" s="9">
        <f t="shared" si="14"/>
        <v>0</v>
      </c>
      <c r="D232" s="26" t="s">
        <v>1005</v>
      </c>
    </row>
    <row r="233" spans="1:4" ht="24.75" customHeight="1" x14ac:dyDescent="0.3">
      <c r="A233" s="12" t="s">
        <v>3</v>
      </c>
      <c r="B233" s="8" t="s">
        <v>4</v>
      </c>
      <c r="C233" s="9">
        <f t="shared" si="14"/>
        <v>0</v>
      </c>
      <c r="D233" s="26" t="s">
        <v>1005</v>
      </c>
    </row>
    <row r="234" spans="1:4" ht="24.75" customHeight="1" x14ac:dyDescent="0.3">
      <c r="A234" s="12" t="s">
        <v>1</v>
      </c>
      <c r="B234" s="8" t="s">
        <v>903</v>
      </c>
      <c r="C234" s="9">
        <f t="shared" si="14"/>
        <v>0</v>
      </c>
      <c r="D234" s="26" t="s">
        <v>1005</v>
      </c>
    </row>
    <row r="235" spans="1:4" ht="24.75" customHeight="1" x14ac:dyDescent="0.3">
      <c r="A235" s="12" t="s">
        <v>417</v>
      </c>
      <c r="B235" s="8" t="s">
        <v>418</v>
      </c>
      <c r="C235" s="9">
        <f t="shared" si="14"/>
        <v>0</v>
      </c>
      <c r="D235" s="26" t="s">
        <v>1005</v>
      </c>
    </row>
    <row r="236" spans="1:4" ht="24.75" customHeight="1" x14ac:dyDescent="0.3">
      <c r="A236" s="12" t="s">
        <v>419</v>
      </c>
      <c r="B236" s="8" t="s">
        <v>420</v>
      </c>
      <c r="C236" s="9">
        <f t="shared" si="14"/>
        <v>0</v>
      </c>
      <c r="D236" s="26" t="s">
        <v>1005</v>
      </c>
    </row>
    <row r="237" spans="1:4" ht="24.75" customHeight="1" x14ac:dyDescent="0.3">
      <c r="A237" s="12" t="s">
        <v>421</v>
      </c>
      <c r="B237" s="8" t="s">
        <v>422</v>
      </c>
      <c r="C237" s="9">
        <f t="shared" si="14"/>
        <v>0</v>
      </c>
      <c r="D237" s="26" t="s">
        <v>1005</v>
      </c>
    </row>
    <row r="238" spans="1:4" ht="24.75" customHeight="1" x14ac:dyDescent="0.3">
      <c r="A238" s="12" t="s">
        <v>904</v>
      </c>
      <c r="B238" s="8" t="s">
        <v>905</v>
      </c>
      <c r="C238" s="9">
        <f t="shared" si="14"/>
        <v>0</v>
      </c>
      <c r="D238" s="26" t="s">
        <v>1005</v>
      </c>
    </row>
    <row r="239" spans="1:4" ht="24.75" customHeight="1" x14ac:dyDescent="0.3">
      <c r="A239" s="12" t="s">
        <v>906</v>
      </c>
      <c r="B239" s="8" t="s">
        <v>907</v>
      </c>
      <c r="C239" s="9">
        <f t="shared" si="14"/>
        <v>0</v>
      </c>
      <c r="D239" s="26" t="s">
        <v>1005</v>
      </c>
    </row>
    <row r="240" spans="1:4" ht="24.75" customHeight="1" x14ac:dyDescent="0.3">
      <c r="A240" s="10">
        <v>18</v>
      </c>
      <c r="B240" s="11" t="s">
        <v>423</v>
      </c>
      <c r="C240" s="23"/>
      <c r="D240" s="27"/>
    </row>
    <row r="241" spans="1:4" ht="24.75" customHeight="1" x14ac:dyDescent="0.3">
      <c r="A241" s="10">
        <v>19</v>
      </c>
      <c r="B241" s="11" t="s">
        <v>424</v>
      </c>
      <c r="C241" s="23"/>
      <c r="D241" s="27"/>
    </row>
    <row r="242" spans="1:4" ht="24.75" customHeight="1" x14ac:dyDescent="0.3">
      <c r="A242" s="12" t="s">
        <v>425</v>
      </c>
      <c r="B242" s="3" t="s">
        <v>908</v>
      </c>
      <c r="C242" s="9">
        <f>V242</f>
        <v>0</v>
      </c>
      <c r="D242" s="26" t="s">
        <v>1003</v>
      </c>
    </row>
    <row r="243" spans="1:4" ht="24.75" customHeight="1" x14ac:dyDescent="0.3">
      <c r="A243" s="12" t="s">
        <v>426</v>
      </c>
      <c r="B243" s="3" t="s">
        <v>909</v>
      </c>
      <c r="C243" s="9">
        <f>V243</f>
        <v>0</v>
      </c>
      <c r="D243" s="26" t="s">
        <v>1006</v>
      </c>
    </row>
    <row r="244" spans="1:4" ht="24.75" customHeight="1" x14ac:dyDescent="0.3">
      <c r="A244" s="12" t="s">
        <v>427</v>
      </c>
      <c r="B244" s="3" t="s">
        <v>910</v>
      </c>
      <c r="C244" s="9">
        <f t="shared" ref="C244:C307" si="15">V244</f>
        <v>0</v>
      </c>
      <c r="D244" s="26" t="s">
        <v>1003</v>
      </c>
    </row>
    <row r="245" spans="1:4" ht="24.75" customHeight="1" x14ac:dyDescent="0.3">
      <c r="A245" s="12" t="s">
        <v>428</v>
      </c>
      <c r="B245" s="3" t="s">
        <v>911</v>
      </c>
      <c r="C245" s="9">
        <f t="shared" si="15"/>
        <v>0</v>
      </c>
      <c r="D245" s="26" t="s">
        <v>1006</v>
      </c>
    </row>
    <row r="246" spans="1:4" ht="24.75" customHeight="1" x14ac:dyDescent="0.3">
      <c r="A246" s="12" t="s">
        <v>5</v>
      </c>
      <c r="B246" s="3" t="s">
        <v>912</v>
      </c>
      <c r="C246" s="9">
        <f t="shared" si="15"/>
        <v>0</v>
      </c>
      <c r="D246" s="26" t="s">
        <v>1006</v>
      </c>
    </row>
    <row r="247" spans="1:4" ht="24.75" customHeight="1" x14ac:dyDescent="0.3">
      <c r="A247" s="12" t="s">
        <v>429</v>
      </c>
      <c r="B247" s="3" t="s">
        <v>12</v>
      </c>
      <c r="C247" s="9">
        <f t="shared" si="15"/>
        <v>0</v>
      </c>
      <c r="D247" s="26" t="s">
        <v>1003</v>
      </c>
    </row>
    <row r="248" spans="1:4" ht="24.75" customHeight="1" x14ac:dyDescent="0.3">
      <c r="A248" s="12" t="s">
        <v>430</v>
      </c>
      <c r="B248" s="3" t="s">
        <v>431</v>
      </c>
      <c r="C248" s="9">
        <f t="shared" si="15"/>
        <v>0</v>
      </c>
      <c r="D248" s="26" t="s">
        <v>1003</v>
      </c>
    </row>
    <row r="249" spans="1:4" ht="24.75" customHeight="1" x14ac:dyDescent="0.3">
      <c r="A249" s="12" t="s">
        <v>432</v>
      </c>
      <c r="B249" s="3" t="s">
        <v>913</v>
      </c>
      <c r="C249" s="9">
        <f t="shared" si="15"/>
        <v>0</v>
      </c>
      <c r="D249" s="26" t="s">
        <v>1003</v>
      </c>
    </row>
    <row r="250" spans="1:4" ht="24.75" customHeight="1" x14ac:dyDescent="0.3">
      <c r="A250" s="12" t="s">
        <v>433</v>
      </c>
      <c r="B250" s="3" t="s">
        <v>615</v>
      </c>
      <c r="C250" s="9">
        <f t="shared" si="15"/>
        <v>0</v>
      </c>
      <c r="D250" s="26" t="s">
        <v>1003</v>
      </c>
    </row>
    <row r="251" spans="1:4" ht="24.75" customHeight="1" x14ac:dyDescent="0.3">
      <c r="A251" s="12" t="s">
        <v>434</v>
      </c>
      <c r="B251" s="3" t="s">
        <v>914</v>
      </c>
      <c r="C251" s="9">
        <f t="shared" si="15"/>
        <v>0</v>
      </c>
      <c r="D251" s="26" t="s">
        <v>1003</v>
      </c>
    </row>
    <row r="252" spans="1:4" ht="24.75" customHeight="1" x14ac:dyDescent="0.3">
      <c r="A252" s="12" t="s">
        <v>435</v>
      </c>
      <c r="B252" s="3" t="s">
        <v>614</v>
      </c>
      <c r="C252" s="9">
        <f t="shared" si="15"/>
        <v>0</v>
      </c>
      <c r="D252" s="26" t="s">
        <v>1003</v>
      </c>
    </row>
    <row r="253" spans="1:4" ht="24.75" customHeight="1" x14ac:dyDescent="0.3">
      <c r="A253" s="12" t="s">
        <v>436</v>
      </c>
      <c r="B253" s="3" t="s">
        <v>915</v>
      </c>
      <c r="C253" s="9">
        <f t="shared" si="15"/>
        <v>0</v>
      </c>
      <c r="D253" s="26" t="s">
        <v>1003</v>
      </c>
    </row>
    <row r="254" spans="1:4" ht="24.75" customHeight="1" x14ac:dyDescent="0.3">
      <c r="A254" s="12" t="s">
        <v>437</v>
      </c>
      <c r="B254" s="3" t="s">
        <v>438</v>
      </c>
      <c r="C254" s="9">
        <f t="shared" si="15"/>
        <v>0</v>
      </c>
      <c r="D254" s="26" t="s">
        <v>1003</v>
      </c>
    </row>
    <row r="255" spans="1:4" ht="24.75" customHeight="1" x14ac:dyDescent="0.3">
      <c r="A255" s="12" t="s">
        <v>439</v>
      </c>
      <c r="B255" s="3" t="s">
        <v>916</v>
      </c>
      <c r="C255" s="9">
        <f t="shared" si="15"/>
        <v>0</v>
      </c>
      <c r="D255" s="26" t="s">
        <v>1003</v>
      </c>
    </row>
    <row r="256" spans="1:4" ht="24.75" customHeight="1" x14ac:dyDescent="0.3">
      <c r="A256" s="12" t="s">
        <v>440</v>
      </c>
      <c r="B256" s="3" t="s">
        <v>441</v>
      </c>
      <c r="C256" s="9">
        <f t="shared" si="15"/>
        <v>0</v>
      </c>
      <c r="D256" s="26" t="s">
        <v>1003</v>
      </c>
    </row>
    <row r="257" spans="1:4" ht="24.75" customHeight="1" x14ac:dyDescent="0.3">
      <c r="A257" s="12" t="s">
        <v>442</v>
      </c>
      <c r="B257" s="3" t="s">
        <v>917</v>
      </c>
      <c r="C257" s="9">
        <f t="shared" si="15"/>
        <v>0</v>
      </c>
      <c r="D257" s="26" t="s">
        <v>1003</v>
      </c>
    </row>
    <row r="258" spans="1:4" ht="24.75" customHeight="1" x14ac:dyDescent="0.3">
      <c r="A258" s="12" t="s">
        <v>443</v>
      </c>
      <c r="B258" s="3" t="s">
        <v>444</v>
      </c>
      <c r="C258" s="9">
        <f t="shared" si="15"/>
        <v>0</v>
      </c>
      <c r="D258" s="26" t="s">
        <v>1003</v>
      </c>
    </row>
    <row r="259" spans="1:4" ht="24.75" customHeight="1" x14ac:dyDescent="0.3">
      <c r="A259" s="12" t="s">
        <v>445</v>
      </c>
      <c r="B259" s="3" t="s">
        <v>918</v>
      </c>
      <c r="C259" s="9">
        <f t="shared" si="15"/>
        <v>0</v>
      </c>
      <c r="D259" s="26" t="s">
        <v>1003</v>
      </c>
    </row>
    <row r="260" spans="1:4" ht="24.75" customHeight="1" x14ac:dyDescent="0.3">
      <c r="A260" s="12" t="s">
        <v>446</v>
      </c>
      <c r="B260" s="3" t="s">
        <v>447</v>
      </c>
      <c r="C260" s="9">
        <f t="shared" si="15"/>
        <v>0</v>
      </c>
      <c r="D260" s="26" t="s">
        <v>1003</v>
      </c>
    </row>
    <row r="261" spans="1:4" ht="24.75" customHeight="1" x14ac:dyDescent="0.3">
      <c r="A261" s="12" t="s">
        <v>448</v>
      </c>
      <c r="B261" s="3" t="s">
        <v>449</v>
      </c>
      <c r="C261" s="9">
        <f t="shared" si="15"/>
        <v>0</v>
      </c>
      <c r="D261" s="26" t="s">
        <v>1003</v>
      </c>
    </row>
    <row r="262" spans="1:4" ht="24.75" customHeight="1" x14ac:dyDescent="0.3">
      <c r="A262" s="12" t="s">
        <v>450</v>
      </c>
      <c r="B262" s="3" t="s">
        <v>919</v>
      </c>
      <c r="C262" s="9">
        <f t="shared" si="15"/>
        <v>0</v>
      </c>
      <c r="D262" s="26" t="s">
        <v>1003</v>
      </c>
    </row>
    <row r="263" spans="1:4" ht="24.75" customHeight="1" x14ac:dyDescent="0.3">
      <c r="A263" s="12" t="s">
        <v>451</v>
      </c>
      <c r="B263" s="3" t="s">
        <v>920</v>
      </c>
      <c r="C263" s="9">
        <f t="shared" si="15"/>
        <v>0</v>
      </c>
      <c r="D263" s="26" t="s">
        <v>1003</v>
      </c>
    </row>
    <row r="264" spans="1:4" ht="24.75" customHeight="1" x14ac:dyDescent="0.3">
      <c r="A264" s="12" t="s">
        <v>452</v>
      </c>
      <c r="B264" s="3" t="s">
        <v>453</v>
      </c>
      <c r="C264" s="9">
        <f t="shared" si="15"/>
        <v>0</v>
      </c>
      <c r="D264" s="26" t="s">
        <v>1003</v>
      </c>
    </row>
    <row r="265" spans="1:4" ht="24.75" customHeight="1" x14ac:dyDescent="0.3">
      <c r="A265" s="12" t="s">
        <v>454</v>
      </c>
      <c r="B265" s="3" t="s">
        <v>455</v>
      </c>
      <c r="C265" s="9">
        <f t="shared" si="15"/>
        <v>0</v>
      </c>
      <c r="D265" s="26" t="s">
        <v>1003</v>
      </c>
    </row>
    <row r="266" spans="1:4" ht="24.75" customHeight="1" x14ac:dyDescent="0.3">
      <c r="A266" s="12" t="s">
        <v>456</v>
      </c>
      <c r="B266" s="3" t="s">
        <v>457</v>
      </c>
      <c r="C266" s="9">
        <f t="shared" si="15"/>
        <v>0</v>
      </c>
      <c r="D266" s="26" t="s">
        <v>1003</v>
      </c>
    </row>
    <row r="267" spans="1:4" ht="24.75" customHeight="1" x14ac:dyDescent="0.3">
      <c r="A267" s="12" t="s">
        <v>458</v>
      </c>
      <c r="B267" s="3" t="s">
        <v>459</v>
      </c>
      <c r="C267" s="9">
        <f t="shared" si="15"/>
        <v>0</v>
      </c>
      <c r="D267" s="26" t="s">
        <v>1003</v>
      </c>
    </row>
    <row r="268" spans="1:4" ht="24.75" customHeight="1" x14ac:dyDescent="0.3">
      <c r="A268" s="12" t="s">
        <v>460</v>
      </c>
      <c r="B268" s="3" t="s">
        <v>461</v>
      </c>
      <c r="C268" s="9">
        <f t="shared" si="15"/>
        <v>0</v>
      </c>
      <c r="D268" s="26" t="s">
        <v>1003</v>
      </c>
    </row>
    <row r="269" spans="1:4" ht="24.75" customHeight="1" x14ac:dyDescent="0.3">
      <c r="A269" s="12" t="s">
        <v>462</v>
      </c>
      <c r="B269" s="3" t="s">
        <v>463</v>
      </c>
      <c r="C269" s="9">
        <f t="shared" si="15"/>
        <v>0</v>
      </c>
      <c r="D269" s="26" t="s">
        <v>1003</v>
      </c>
    </row>
    <row r="270" spans="1:4" ht="24.75" customHeight="1" x14ac:dyDescent="0.3">
      <c r="A270" s="12" t="s">
        <v>464</v>
      </c>
      <c r="B270" s="3" t="s">
        <v>465</v>
      </c>
      <c r="C270" s="9">
        <f t="shared" si="15"/>
        <v>0</v>
      </c>
      <c r="D270" s="26" t="s">
        <v>1003</v>
      </c>
    </row>
    <row r="271" spans="1:4" ht="24.75" customHeight="1" x14ac:dyDescent="0.3">
      <c r="A271" s="12" t="s">
        <v>466</v>
      </c>
      <c r="B271" s="3" t="s">
        <v>467</v>
      </c>
      <c r="C271" s="9">
        <f t="shared" si="15"/>
        <v>0</v>
      </c>
      <c r="D271" s="26" t="s">
        <v>1003</v>
      </c>
    </row>
    <row r="272" spans="1:4" ht="24.75" customHeight="1" x14ac:dyDescent="0.3">
      <c r="A272" s="12" t="s">
        <v>468</v>
      </c>
      <c r="B272" s="3" t="s">
        <v>469</v>
      </c>
      <c r="C272" s="9">
        <f t="shared" si="15"/>
        <v>0</v>
      </c>
      <c r="D272" s="26" t="s">
        <v>1003</v>
      </c>
    </row>
    <row r="273" spans="1:4" ht="24.75" customHeight="1" x14ac:dyDescent="0.3">
      <c r="A273" s="12" t="s">
        <v>470</v>
      </c>
      <c r="B273" s="3" t="s">
        <v>471</v>
      </c>
      <c r="C273" s="9">
        <f t="shared" si="15"/>
        <v>0</v>
      </c>
      <c r="D273" s="26" t="s">
        <v>1003</v>
      </c>
    </row>
    <row r="274" spans="1:4" ht="24.75" customHeight="1" x14ac:dyDescent="0.3">
      <c r="A274" s="12" t="s">
        <v>472</v>
      </c>
      <c r="B274" s="3" t="s">
        <v>473</v>
      </c>
      <c r="C274" s="9">
        <f t="shared" si="15"/>
        <v>0</v>
      </c>
      <c r="D274" s="26" t="s">
        <v>1003</v>
      </c>
    </row>
    <row r="275" spans="1:4" ht="24.75" customHeight="1" x14ac:dyDescent="0.3">
      <c r="A275" s="12" t="s">
        <v>474</v>
      </c>
      <c r="B275" s="3" t="s">
        <v>921</v>
      </c>
      <c r="C275" s="9">
        <f t="shared" si="15"/>
        <v>0</v>
      </c>
      <c r="D275" s="26" t="s">
        <v>1003</v>
      </c>
    </row>
    <row r="276" spans="1:4" ht="24.75" customHeight="1" x14ac:dyDescent="0.3">
      <c r="A276" s="12" t="s">
        <v>475</v>
      </c>
      <c r="B276" s="3" t="s">
        <v>476</v>
      </c>
      <c r="C276" s="9">
        <f t="shared" si="15"/>
        <v>0</v>
      </c>
      <c r="D276" s="26" t="s">
        <v>1003</v>
      </c>
    </row>
    <row r="277" spans="1:4" ht="24.75" customHeight="1" x14ac:dyDescent="0.3">
      <c r="A277" s="12" t="s">
        <v>477</v>
      </c>
      <c r="B277" s="3" t="s">
        <v>922</v>
      </c>
      <c r="C277" s="9">
        <f t="shared" si="15"/>
        <v>0</v>
      </c>
      <c r="D277" s="26" t="s">
        <v>1003</v>
      </c>
    </row>
    <row r="278" spans="1:4" ht="24.75" customHeight="1" x14ac:dyDescent="0.3">
      <c r="A278" s="12" t="s">
        <v>478</v>
      </c>
      <c r="B278" s="3" t="s">
        <v>923</v>
      </c>
      <c r="C278" s="9">
        <f t="shared" si="15"/>
        <v>0</v>
      </c>
      <c r="D278" s="26" t="s">
        <v>1003</v>
      </c>
    </row>
    <row r="279" spans="1:4" ht="24.75" customHeight="1" x14ac:dyDescent="0.3">
      <c r="A279" s="12" t="s">
        <v>479</v>
      </c>
      <c r="B279" s="3" t="s">
        <v>480</v>
      </c>
      <c r="C279" s="9">
        <f t="shared" si="15"/>
        <v>0</v>
      </c>
      <c r="D279" s="26" t="s">
        <v>1003</v>
      </c>
    </row>
    <row r="280" spans="1:4" ht="24.75" customHeight="1" x14ac:dyDescent="0.3">
      <c r="A280" s="12" t="s">
        <v>481</v>
      </c>
      <c r="B280" s="3" t="s">
        <v>482</v>
      </c>
      <c r="C280" s="9">
        <f t="shared" si="15"/>
        <v>0</v>
      </c>
      <c r="D280" s="26" t="s">
        <v>1003</v>
      </c>
    </row>
    <row r="281" spans="1:4" ht="24.75" customHeight="1" x14ac:dyDescent="0.3">
      <c r="A281" s="12" t="s">
        <v>483</v>
      </c>
      <c r="B281" s="3" t="s">
        <v>484</v>
      </c>
      <c r="C281" s="9">
        <f t="shared" si="15"/>
        <v>0</v>
      </c>
      <c r="D281" s="26" t="s">
        <v>1003</v>
      </c>
    </row>
    <row r="282" spans="1:4" ht="24.75" customHeight="1" x14ac:dyDescent="0.3">
      <c r="A282" s="12" t="s">
        <v>485</v>
      </c>
      <c r="B282" s="3" t="s">
        <v>486</v>
      </c>
      <c r="C282" s="9">
        <f t="shared" si="15"/>
        <v>0</v>
      </c>
      <c r="D282" s="26" t="s">
        <v>1003</v>
      </c>
    </row>
    <row r="283" spans="1:4" ht="24.75" customHeight="1" x14ac:dyDescent="0.3">
      <c r="A283" s="12" t="s">
        <v>487</v>
      </c>
      <c r="B283" s="3" t="s">
        <v>488</v>
      </c>
      <c r="C283" s="9">
        <f t="shared" si="15"/>
        <v>0</v>
      </c>
      <c r="D283" s="26" t="s">
        <v>1003</v>
      </c>
    </row>
    <row r="284" spans="1:4" ht="24.75" customHeight="1" x14ac:dyDescent="0.3">
      <c r="A284" s="12" t="s">
        <v>489</v>
      </c>
      <c r="B284" s="3" t="s">
        <v>490</v>
      </c>
      <c r="C284" s="9">
        <f t="shared" si="15"/>
        <v>0</v>
      </c>
      <c r="D284" s="26" t="s">
        <v>1003</v>
      </c>
    </row>
    <row r="285" spans="1:4" ht="24.75" customHeight="1" x14ac:dyDescent="0.3">
      <c r="A285" s="12" t="s">
        <v>491</v>
      </c>
      <c r="B285" s="3" t="s">
        <v>492</v>
      </c>
      <c r="C285" s="9">
        <f t="shared" si="15"/>
        <v>0</v>
      </c>
      <c r="D285" s="26" t="s">
        <v>1003</v>
      </c>
    </row>
    <row r="286" spans="1:4" ht="24.75" customHeight="1" x14ac:dyDescent="0.3">
      <c r="A286" s="12" t="s">
        <v>493</v>
      </c>
      <c r="B286" s="3" t="s">
        <v>494</v>
      </c>
      <c r="C286" s="9">
        <f t="shared" si="15"/>
        <v>0</v>
      </c>
      <c r="D286" s="26" t="s">
        <v>1003</v>
      </c>
    </row>
    <row r="287" spans="1:4" ht="24.75" customHeight="1" x14ac:dyDescent="0.3">
      <c r="A287" s="12" t="s">
        <v>495</v>
      </c>
      <c r="B287" s="3" t="s">
        <v>496</v>
      </c>
      <c r="C287" s="9">
        <f t="shared" si="15"/>
        <v>0</v>
      </c>
      <c r="D287" s="26" t="s">
        <v>1003</v>
      </c>
    </row>
    <row r="288" spans="1:4" ht="24.75" customHeight="1" x14ac:dyDescent="0.3">
      <c r="A288" s="12" t="s">
        <v>497</v>
      </c>
      <c r="B288" s="3" t="s">
        <v>924</v>
      </c>
      <c r="C288" s="9">
        <f t="shared" si="15"/>
        <v>0</v>
      </c>
      <c r="D288" s="26" t="s">
        <v>1003</v>
      </c>
    </row>
    <row r="289" spans="1:4" ht="24.75" customHeight="1" x14ac:dyDescent="0.3">
      <c r="A289" s="12" t="s">
        <v>498</v>
      </c>
      <c r="B289" s="3" t="s">
        <v>499</v>
      </c>
      <c r="C289" s="9">
        <f t="shared" si="15"/>
        <v>0</v>
      </c>
      <c r="D289" s="26" t="s">
        <v>1003</v>
      </c>
    </row>
    <row r="290" spans="1:4" ht="24.75" customHeight="1" x14ac:dyDescent="0.3">
      <c r="A290" s="12" t="s">
        <v>500</v>
      </c>
      <c r="B290" s="3" t="s">
        <v>501</v>
      </c>
      <c r="C290" s="9">
        <f t="shared" si="15"/>
        <v>0</v>
      </c>
      <c r="D290" s="26" t="s">
        <v>1003</v>
      </c>
    </row>
    <row r="291" spans="1:4" ht="24.75" customHeight="1" x14ac:dyDescent="0.3">
      <c r="A291" s="12" t="s">
        <v>502</v>
      </c>
      <c r="B291" s="3" t="s">
        <v>503</v>
      </c>
      <c r="C291" s="9">
        <f t="shared" si="15"/>
        <v>0</v>
      </c>
      <c r="D291" s="26" t="s">
        <v>1003</v>
      </c>
    </row>
    <row r="292" spans="1:4" ht="24.75" customHeight="1" x14ac:dyDescent="0.3">
      <c r="A292" s="12" t="s">
        <v>504</v>
      </c>
      <c r="B292" s="3" t="s">
        <v>505</v>
      </c>
      <c r="C292" s="9">
        <f t="shared" si="15"/>
        <v>0</v>
      </c>
      <c r="D292" s="26" t="s">
        <v>1003</v>
      </c>
    </row>
    <row r="293" spans="1:4" ht="24.75" customHeight="1" x14ac:dyDescent="0.3">
      <c r="A293" s="12" t="s">
        <v>506</v>
      </c>
      <c r="B293" s="3" t="s">
        <v>507</v>
      </c>
      <c r="C293" s="9">
        <f t="shared" si="15"/>
        <v>0</v>
      </c>
      <c r="D293" s="26" t="s">
        <v>1003</v>
      </c>
    </row>
    <row r="294" spans="1:4" ht="24.75" customHeight="1" x14ac:dyDescent="0.3">
      <c r="A294" s="12" t="s">
        <v>508</v>
      </c>
      <c r="B294" s="3" t="s">
        <v>509</v>
      </c>
      <c r="C294" s="9">
        <f t="shared" si="15"/>
        <v>0</v>
      </c>
      <c r="D294" s="26" t="s">
        <v>1003</v>
      </c>
    </row>
    <row r="295" spans="1:4" ht="24.75" customHeight="1" x14ac:dyDescent="0.3">
      <c r="A295" s="12" t="s">
        <v>510</v>
      </c>
      <c r="B295" s="3" t="s">
        <v>511</v>
      </c>
      <c r="C295" s="9">
        <f t="shared" si="15"/>
        <v>0</v>
      </c>
      <c r="D295" s="26" t="s">
        <v>1003</v>
      </c>
    </row>
    <row r="296" spans="1:4" ht="24.75" customHeight="1" x14ac:dyDescent="0.3">
      <c r="A296" s="12" t="s">
        <v>512</v>
      </c>
      <c r="B296" s="3" t="s">
        <v>513</v>
      </c>
      <c r="C296" s="9">
        <f t="shared" si="15"/>
        <v>0</v>
      </c>
      <c r="D296" s="26" t="s">
        <v>1003</v>
      </c>
    </row>
    <row r="297" spans="1:4" ht="24.75" customHeight="1" x14ac:dyDescent="0.3">
      <c r="A297" s="12" t="s">
        <v>514</v>
      </c>
      <c r="B297" s="3" t="s">
        <v>515</v>
      </c>
      <c r="C297" s="9">
        <f t="shared" si="15"/>
        <v>0</v>
      </c>
      <c r="D297" s="26" t="s">
        <v>1003</v>
      </c>
    </row>
    <row r="298" spans="1:4" ht="24.75" customHeight="1" x14ac:dyDescent="0.3">
      <c r="A298" s="12" t="s">
        <v>516</v>
      </c>
      <c r="B298" s="3" t="s">
        <v>517</v>
      </c>
      <c r="C298" s="9">
        <f t="shared" si="15"/>
        <v>0</v>
      </c>
      <c r="D298" s="26" t="s">
        <v>1003</v>
      </c>
    </row>
    <row r="299" spans="1:4" ht="24.75" customHeight="1" x14ac:dyDescent="0.3">
      <c r="A299" s="12" t="s">
        <v>518</v>
      </c>
      <c r="B299" s="3" t="s">
        <v>519</v>
      </c>
      <c r="C299" s="9">
        <f t="shared" si="15"/>
        <v>0</v>
      </c>
      <c r="D299" s="26" t="s">
        <v>1003</v>
      </c>
    </row>
    <row r="300" spans="1:4" ht="24.75" customHeight="1" x14ac:dyDescent="0.3">
      <c r="A300" s="12" t="s">
        <v>520</v>
      </c>
      <c r="B300" s="3" t="s">
        <v>521</v>
      </c>
      <c r="C300" s="9">
        <f t="shared" si="15"/>
        <v>0</v>
      </c>
      <c r="D300" s="26" t="s">
        <v>1003</v>
      </c>
    </row>
    <row r="301" spans="1:4" ht="24.75" customHeight="1" x14ac:dyDescent="0.3">
      <c r="A301" s="12" t="s">
        <v>522</v>
      </c>
      <c r="B301" s="3" t="s">
        <v>523</v>
      </c>
      <c r="C301" s="9">
        <f t="shared" si="15"/>
        <v>0</v>
      </c>
      <c r="D301" s="26" t="s">
        <v>1003</v>
      </c>
    </row>
    <row r="302" spans="1:4" ht="24.75" customHeight="1" x14ac:dyDescent="0.3">
      <c r="A302" s="12" t="s">
        <v>524</v>
      </c>
      <c r="B302" s="3" t="s">
        <v>525</v>
      </c>
      <c r="C302" s="9">
        <f t="shared" si="15"/>
        <v>0</v>
      </c>
      <c r="D302" s="26" t="s">
        <v>1003</v>
      </c>
    </row>
    <row r="303" spans="1:4" ht="24.75" customHeight="1" x14ac:dyDescent="0.3">
      <c r="A303" s="12" t="s">
        <v>526</v>
      </c>
      <c r="B303" s="3" t="s">
        <v>527</v>
      </c>
      <c r="C303" s="9">
        <f t="shared" si="15"/>
        <v>0</v>
      </c>
      <c r="D303" s="26" t="s">
        <v>1003</v>
      </c>
    </row>
    <row r="304" spans="1:4" ht="24.75" customHeight="1" x14ac:dyDescent="0.3">
      <c r="A304" s="12" t="s">
        <v>528</v>
      </c>
      <c r="B304" s="3" t="s">
        <v>529</v>
      </c>
      <c r="C304" s="9">
        <f t="shared" si="15"/>
        <v>0</v>
      </c>
      <c r="D304" s="26" t="s">
        <v>1003</v>
      </c>
    </row>
    <row r="305" spans="1:4" ht="24.75" customHeight="1" x14ac:dyDescent="0.3">
      <c r="A305" s="12" t="s">
        <v>530</v>
      </c>
      <c r="B305" s="3" t="s">
        <v>531</v>
      </c>
      <c r="C305" s="9">
        <f t="shared" si="15"/>
        <v>0</v>
      </c>
      <c r="D305" s="26" t="s">
        <v>1003</v>
      </c>
    </row>
    <row r="306" spans="1:4" ht="24.75" customHeight="1" x14ac:dyDescent="0.3">
      <c r="A306" s="12" t="s">
        <v>532</v>
      </c>
      <c r="B306" s="3" t="s">
        <v>533</v>
      </c>
      <c r="C306" s="9">
        <f t="shared" si="15"/>
        <v>0</v>
      </c>
      <c r="D306" s="26" t="s">
        <v>1003</v>
      </c>
    </row>
    <row r="307" spans="1:4" ht="24.75" customHeight="1" x14ac:dyDescent="0.3">
      <c r="A307" s="12" t="s">
        <v>534</v>
      </c>
      <c r="B307" s="3" t="s">
        <v>959</v>
      </c>
      <c r="C307" s="9">
        <f t="shared" si="15"/>
        <v>0</v>
      </c>
      <c r="D307" s="26" t="s">
        <v>1003</v>
      </c>
    </row>
    <row r="308" spans="1:4" ht="24.75" customHeight="1" x14ac:dyDescent="0.3">
      <c r="A308" s="12" t="s">
        <v>535</v>
      </c>
      <c r="B308" s="3" t="s">
        <v>536</v>
      </c>
      <c r="C308" s="9">
        <f t="shared" ref="C308:C372" si="16">V308</f>
        <v>0</v>
      </c>
      <c r="D308" s="26" t="s">
        <v>1003</v>
      </c>
    </row>
    <row r="309" spans="1:4" ht="24.75" customHeight="1" x14ac:dyDescent="0.3">
      <c r="A309" s="12" t="s">
        <v>537</v>
      </c>
      <c r="B309" s="3" t="s">
        <v>960</v>
      </c>
      <c r="C309" s="9">
        <f t="shared" si="16"/>
        <v>0</v>
      </c>
      <c r="D309" s="26" t="s">
        <v>1003</v>
      </c>
    </row>
    <row r="310" spans="1:4" ht="24.75" customHeight="1" x14ac:dyDescent="0.3">
      <c r="A310" s="12" t="s">
        <v>538</v>
      </c>
      <c r="B310" s="3" t="s">
        <v>539</v>
      </c>
      <c r="C310" s="9">
        <f t="shared" si="16"/>
        <v>0</v>
      </c>
      <c r="D310" s="26" t="s">
        <v>1003</v>
      </c>
    </row>
    <row r="311" spans="1:4" ht="24.75" customHeight="1" x14ac:dyDescent="0.3">
      <c r="A311" s="12" t="s">
        <v>540</v>
      </c>
      <c r="B311" s="3" t="s">
        <v>541</v>
      </c>
      <c r="C311" s="9">
        <f t="shared" si="16"/>
        <v>0</v>
      </c>
      <c r="D311" s="26" t="s">
        <v>1003</v>
      </c>
    </row>
    <row r="312" spans="1:4" ht="24.75" customHeight="1" x14ac:dyDescent="0.3">
      <c r="A312" s="12" t="s">
        <v>542</v>
      </c>
      <c r="B312" s="3" t="s">
        <v>543</v>
      </c>
      <c r="C312" s="9">
        <f t="shared" si="16"/>
        <v>0</v>
      </c>
      <c r="D312" s="26" t="s">
        <v>1003</v>
      </c>
    </row>
    <row r="313" spans="1:4" ht="24.75" customHeight="1" x14ac:dyDescent="0.3">
      <c r="A313" s="12" t="s">
        <v>544</v>
      </c>
      <c r="B313" s="3" t="s">
        <v>961</v>
      </c>
      <c r="C313" s="9">
        <f t="shared" si="16"/>
        <v>0</v>
      </c>
      <c r="D313" s="26" t="s">
        <v>1006</v>
      </c>
    </row>
    <row r="314" spans="1:4" ht="24.75" customHeight="1" x14ac:dyDescent="0.3">
      <c r="A314" s="12" t="s">
        <v>545</v>
      </c>
      <c r="B314" s="3" t="s">
        <v>962</v>
      </c>
      <c r="C314" s="9">
        <f t="shared" si="16"/>
        <v>0</v>
      </c>
      <c r="D314" s="26" t="s">
        <v>1006</v>
      </c>
    </row>
    <row r="315" spans="1:4" ht="24.75" customHeight="1" x14ac:dyDescent="0.3">
      <c r="A315" s="12" t="s">
        <v>546</v>
      </c>
      <c r="B315" s="3" t="s">
        <v>963</v>
      </c>
      <c r="C315" s="9">
        <f t="shared" si="16"/>
        <v>0</v>
      </c>
      <c r="D315" s="26" t="s">
        <v>1006</v>
      </c>
    </row>
    <row r="316" spans="1:4" ht="24.75" customHeight="1" x14ac:dyDescent="0.3">
      <c r="A316" s="12" t="s">
        <v>547</v>
      </c>
      <c r="B316" s="3" t="s">
        <v>964</v>
      </c>
      <c r="C316" s="9">
        <f t="shared" si="16"/>
        <v>0</v>
      </c>
      <c r="D316" s="26" t="s">
        <v>1006</v>
      </c>
    </row>
    <row r="317" spans="1:4" ht="24.75" customHeight="1" x14ac:dyDescent="0.3">
      <c r="A317" s="12" t="s">
        <v>548</v>
      </c>
      <c r="B317" s="3" t="s">
        <v>965</v>
      </c>
      <c r="C317" s="9">
        <f t="shared" si="16"/>
        <v>0</v>
      </c>
      <c r="D317" s="26" t="s">
        <v>1006</v>
      </c>
    </row>
    <row r="318" spans="1:4" ht="24.75" customHeight="1" x14ac:dyDescent="0.3">
      <c r="A318" s="12" t="s">
        <v>549</v>
      </c>
      <c r="B318" s="3" t="s">
        <v>550</v>
      </c>
      <c r="C318" s="9">
        <f t="shared" si="16"/>
        <v>0</v>
      </c>
      <c r="D318" s="26" t="s">
        <v>1003</v>
      </c>
    </row>
    <row r="319" spans="1:4" ht="24.75" customHeight="1" x14ac:dyDescent="0.3">
      <c r="A319" s="12" t="s">
        <v>551</v>
      </c>
      <c r="B319" s="3" t="s">
        <v>552</v>
      </c>
      <c r="C319" s="9">
        <f t="shared" si="16"/>
        <v>0</v>
      </c>
      <c r="D319" s="26" t="s">
        <v>1003</v>
      </c>
    </row>
    <row r="320" spans="1:4" ht="24.75" customHeight="1" x14ac:dyDescent="0.3">
      <c r="A320" s="12" t="s">
        <v>553</v>
      </c>
      <c r="B320" s="3" t="s">
        <v>925</v>
      </c>
      <c r="C320" s="9">
        <f t="shared" si="16"/>
        <v>0</v>
      </c>
      <c r="D320" s="26" t="s">
        <v>1003</v>
      </c>
    </row>
    <row r="321" spans="1:4" ht="24.75" customHeight="1" x14ac:dyDescent="0.3">
      <c r="A321" s="12" t="s">
        <v>554</v>
      </c>
      <c r="B321" s="3" t="s">
        <v>926</v>
      </c>
      <c r="C321" s="9">
        <f t="shared" si="16"/>
        <v>0</v>
      </c>
      <c r="D321" s="26" t="s">
        <v>1003</v>
      </c>
    </row>
    <row r="322" spans="1:4" ht="24.75" customHeight="1" x14ac:dyDescent="0.3">
      <c r="A322" s="12" t="s">
        <v>555</v>
      </c>
      <c r="B322" s="3" t="s">
        <v>927</v>
      </c>
      <c r="C322" s="9">
        <f t="shared" si="16"/>
        <v>0</v>
      </c>
      <c r="D322" s="26" t="s">
        <v>1003</v>
      </c>
    </row>
    <row r="323" spans="1:4" ht="24.75" customHeight="1" x14ac:dyDescent="0.3">
      <c r="A323" s="12" t="s">
        <v>556</v>
      </c>
      <c r="B323" s="3" t="s">
        <v>928</v>
      </c>
      <c r="C323" s="9">
        <f t="shared" si="16"/>
        <v>0</v>
      </c>
      <c r="D323" s="26" t="s">
        <v>1003</v>
      </c>
    </row>
    <row r="324" spans="1:4" ht="24.75" customHeight="1" x14ac:dyDescent="0.3">
      <c r="A324" s="12" t="s">
        <v>557</v>
      </c>
      <c r="B324" s="3" t="s">
        <v>611</v>
      </c>
      <c r="C324" s="9">
        <f t="shared" si="16"/>
        <v>0</v>
      </c>
      <c r="D324" s="26" t="s">
        <v>1003</v>
      </c>
    </row>
    <row r="325" spans="1:4" ht="24.75" customHeight="1" x14ac:dyDescent="0.3">
      <c r="A325" s="12" t="s">
        <v>558</v>
      </c>
      <c r="B325" s="3" t="s">
        <v>612</v>
      </c>
      <c r="C325" s="9">
        <f t="shared" si="16"/>
        <v>0</v>
      </c>
      <c r="D325" s="26" t="s">
        <v>1003</v>
      </c>
    </row>
    <row r="326" spans="1:4" ht="24.75" customHeight="1" x14ac:dyDescent="0.3">
      <c r="A326" s="12" t="s">
        <v>559</v>
      </c>
      <c r="B326" s="3" t="s">
        <v>613</v>
      </c>
      <c r="C326" s="9">
        <f t="shared" si="16"/>
        <v>0</v>
      </c>
      <c r="D326" s="26" t="s">
        <v>1003</v>
      </c>
    </row>
    <row r="327" spans="1:4" ht="24.75" customHeight="1" x14ac:dyDescent="0.3">
      <c r="A327" s="12" t="s">
        <v>560</v>
      </c>
      <c r="B327" s="3" t="s">
        <v>929</v>
      </c>
      <c r="C327" s="9">
        <f t="shared" si="16"/>
        <v>0</v>
      </c>
      <c r="D327" s="26" t="s">
        <v>1006</v>
      </c>
    </row>
    <row r="328" spans="1:4" ht="24.75" customHeight="1" x14ac:dyDescent="0.3">
      <c r="A328" s="12" t="s">
        <v>561</v>
      </c>
      <c r="B328" s="3" t="s">
        <v>930</v>
      </c>
      <c r="C328" s="9">
        <f t="shared" si="16"/>
        <v>0</v>
      </c>
      <c r="D328" s="26" t="s">
        <v>1006</v>
      </c>
    </row>
    <row r="329" spans="1:4" ht="24.75" customHeight="1" x14ac:dyDescent="0.3">
      <c r="A329" s="12" t="s">
        <v>562</v>
      </c>
      <c r="B329" s="3" t="s">
        <v>563</v>
      </c>
      <c r="C329" s="9">
        <f t="shared" si="16"/>
        <v>0</v>
      </c>
      <c r="D329" s="26" t="s">
        <v>1003</v>
      </c>
    </row>
    <row r="330" spans="1:4" ht="24.75" customHeight="1" x14ac:dyDescent="0.3">
      <c r="A330" s="12" t="s">
        <v>564</v>
      </c>
      <c r="B330" s="3" t="s">
        <v>565</v>
      </c>
      <c r="C330" s="9">
        <f t="shared" si="16"/>
        <v>0</v>
      </c>
      <c r="D330" s="26" t="s">
        <v>1003</v>
      </c>
    </row>
    <row r="331" spans="1:4" ht="24.75" customHeight="1" x14ac:dyDescent="0.3">
      <c r="A331" s="12" t="s">
        <v>566</v>
      </c>
      <c r="B331" s="3" t="s">
        <v>567</v>
      </c>
      <c r="C331" s="9">
        <f t="shared" si="16"/>
        <v>0</v>
      </c>
      <c r="D331" s="26" t="s">
        <v>1003</v>
      </c>
    </row>
    <row r="332" spans="1:4" ht="24.75" customHeight="1" x14ac:dyDescent="0.3">
      <c r="A332" s="12" t="s">
        <v>568</v>
      </c>
      <c r="B332" s="3" t="s">
        <v>569</v>
      </c>
      <c r="C332" s="9">
        <f t="shared" si="16"/>
        <v>0</v>
      </c>
      <c r="D332" s="26" t="s">
        <v>1003</v>
      </c>
    </row>
    <row r="333" spans="1:4" ht="24.75" customHeight="1" x14ac:dyDescent="0.3">
      <c r="A333" s="12" t="s">
        <v>570</v>
      </c>
      <c r="B333" s="3" t="s">
        <v>571</v>
      </c>
      <c r="C333" s="9">
        <f t="shared" si="16"/>
        <v>0</v>
      </c>
      <c r="D333" s="26" t="s">
        <v>1003</v>
      </c>
    </row>
    <row r="334" spans="1:4" ht="24.75" customHeight="1" x14ac:dyDescent="0.3">
      <c r="A334" s="12" t="s">
        <v>572</v>
      </c>
      <c r="B334" s="3" t="s">
        <v>573</v>
      </c>
      <c r="C334" s="9">
        <f t="shared" si="16"/>
        <v>0</v>
      </c>
      <c r="D334" s="26" t="s">
        <v>1003</v>
      </c>
    </row>
    <row r="335" spans="1:4" ht="24.75" customHeight="1" x14ac:dyDescent="0.3">
      <c r="A335" s="12" t="s">
        <v>574</v>
      </c>
      <c r="B335" s="3" t="s">
        <v>575</v>
      </c>
      <c r="C335" s="9">
        <f t="shared" si="16"/>
        <v>0</v>
      </c>
      <c r="D335" s="26" t="s">
        <v>1003</v>
      </c>
    </row>
    <row r="336" spans="1:4" ht="24.75" customHeight="1" x14ac:dyDescent="0.3">
      <c r="A336" s="12" t="s">
        <v>576</v>
      </c>
      <c r="B336" s="3" t="s">
        <v>577</v>
      </c>
      <c r="C336" s="9">
        <f t="shared" si="16"/>
        <v>0</v>
      </c>
      <c r="D336" s="26" t="s">
        <v>1003</v>
      </c>
    </row>
    <row r="337" spans="1:4" ht="24.75" customHeight="1" x14ac:dyDescent="0.3">
      <c r="A337" s="12" t="s">
        <v>578</v>
      </c>
      <c r="B337" s="3" t="s">
        <v>931</v>
      </c>
      <c r="C337" s="9">
        <f t="shared" si="16"/>
        <v>0</v>
      </c>
      <c r="D337" s="26" t="s">
        <v>1003</v>
      </c>
    </row>
    <row r="338" spans="1:4" ht="24.75" customHeight="1" x14ac:dyDescent="0.3">
      <c r="A338" s="12" t="s">
        <v>579</v>
      </c>
      <c r="B338" s="3" t="s">
        <v>932</v>
      </c>
      <c r="C338" s="9">
        <f t="shared" si="16"/>
        <v>0</v>
      </c>
      <c r="D338" s="26" t="s">
        <v>1006</v>
      </c>
    </row>
    <row r="339" spans="1:4" ht="24.75" customHeight="1" x14ac:dyDescent="0.3">
      <c r="A339" s="12" t="s">
        <v>580</v>
      </c>
      <c r="B339" s="3" t="s">
        <v>581</v>
      </c>
      <c r="C339" s="9">
        <f t="shared" si="16"/>
        <v>0</v>
      </c>
      <c r="D339" s="26" t="s">
        <v>1003</v>
      </c>
    </row>
    <row r="340" spans="1:4" ht="24.75" customHeight="1" x14ac:dyDescent="0.3">
      <c r="A340" s="12" t="s">
        <v>582</v>
      </c>
      <c r="B340" s="3" t="s">
        <v>933</v>
      </c>
      <c r="C340" s="9">
        <f t="shared" si="16"/>
        <v>0</v>
      </c>
      <c r="D340" s="26" t="s">
        <v>1003</v>
      </c>
    </row>
    <row r="341" spans="1:4" ht="24.75" customHeight="1" x14ac:dyDescent="0.3">
      <c r="A341" s="7">
        <v>19100</v>
      </c>
      <c r="B341" s="3" t="s">
        <v>583</v>
      </c>
      <c r="C341" s="9">
        <f t="shared" si="16"/>
        <v>0</v>
      </c>
      <c r="D341" s="26" t="s">
        <v>1003</v>
      </c>
    </row>
    <row r="342" spans="1:4" ht="24.75" customHeight="1" x14ac:dyDescent="0.3">
      <c r="A342" s="7">
        <v>19101</v>
      </c>
      <c r="B342" s="3" t="s">
        <v>584</v>
      </c>
      <c r="C342" s="9">
        <f t="shared" si="16"/>
        <v>0</v>
      </c>
      <c r="D342" s="26" t="s">
        <v>1003</v>
      </c>
    </row>
    <row r="343" spans="1:4" ht="24.75" customHeight="1" x14ac:dyDescent="0.3">
      <c r="A343" s="7">
        <v>19102</v>
      </c>
      <c r="B343" s="3" t="s">
        <v>585</v>
      </c>
      <c r="C343" s="9">
        <f t="shared" si="16"/>
        <v>0</v>
      </c>
      <c r="D343" s="26" t="s">
        <v>1003</v>
      </c>
    </row>
    <row r="344" spans="1:4" ht="24.75" customHeight="1" x14ac:dyDescent="0.3">
      <c r="A344" s="7">
        <v>19103</v>
      </c>
      <c r="B344" s="3" t="s">
        <v>586</v>
      </c>
      <c r="C344" s="9">
        <f t="shared" si="16"/>
        <v>0</v>
      </c>
      <c r="D344" s="26" t="s">
        <v>1003</v>
      </c>
    </row>
    <row r="345" spans="1:4" ht="24.75" customHeight="1" x14ac:dyDescent="0.3">
      <c r="A345" s="7">
        <v>19104</v>
      </c>
      <c r="B345" s="3" t="s">
        <v>966</v>
      </c>
      <c r="C345" s="9">
        <f t="shared" si="16"/>
        <v>0</v>
      </c>
      <c r="D345" s="26" t="s">
        <v>1003</v>
      </c>
    </row>
    <row r="346" spans="1:4" ht="24.75" customHeight="1" x14ac:dyDescent="0.3">
      <c r="A346" s="7">
        <v>19105</v>
      </c>
      <c r="B346" s="3" t="s">
        <v>587</v>
      </c>
      <c r="C346" s="9">
        <f t="shared" si="16"/>
        <v>0</v>
      </c>
      <c r="D346" s="26" t="s">
        <v>1003</v>
      </c>
    </row>
    <row r="347" spans="1:4" ht="24.75" customHeight="1" x14ac:dyDescent="0.3">
      <c r="A347" s="7">
        <v>19106</v>
      </c>
      <c r="B347" s="3" t="s">
        <v>934</v>
      </c>
      <c r="C347" s="9">
        <f t="shared" si="16"/>
        <v>0</v>
      </c>
      <c r="D347" s="26" t="s">
        <v>1006</v>
      </c>
    </row>
    <row r="348" spans="1:4" ht="24.75" customHeight="1" x14ac:dyDescent="0.3">
      <c r="A348" s="7">
        <v>19107</v>
      </c>
      <c r="B348" s="3" t="s">
        <v>588</v>
      </c>
      <c r="C348" s="9">
        <f t="shared" si="16"/>
        <v>0</v>
      </c>
      <c r="D348" s="26" t="s">
        <v>1003</v>
      </c>
    </row>
    <row r="349" spans="1:4" ht="24.75" customHeight="1" x14ac:dyDescent="0.3">
      <c r="A349" s="7">
        <v>19108</v>
      </c>
      <c r="B349" s="3" t="s">
        <v>589</v>
      </c>
      <c r="C349" s="9">
        <f t="shared" si="16"/>
        <v>0</v>
      </c>
      <c r="D349" s="26" t="s">
        <v>1003</v>
      </c>
    </row>
    <row r="350" spans="1:4" ht="24.75" customHeight="1" x14ac:dyDescent="0.3">
      <c r="A350" s="7">
        <v>19109</v>
      </c>
      <c r="B350" s="3" t="s">
        <v>590</v>
      </c>
      <c r="C350" s="9">
        <f t="shared" si="16"/>
        <v>0</v>
      </c>
      <c r="D350" s="26" t="s">
        <v>1003</v>
      </c>
    </row>
    <row r="351" spans="1:4" ht="24.75" customHeight="1" x14ac:dyDescent="0.3">
      <c r="A351" s="7">
        <v>19110</v>
      </c>
      <c r="B351" s="3" t="s">
        <v>591</v>
      </c>
      <c r="C351" s="9">
        <f t="shared" si="16"/>
        <v>0</v>
      </c>
      <c r="D351" s="26" t="s">
        <v>1003</v>
      </c>
    </row>
    <row r="352" spans="1:4" ht="24.75" customHeight="1" x14ac:dyDescent="0.3">
      <c r="A352" s="7">
        <v>19111</v>
      </c>
      <c r="B352" s="3" t="s">
        <v>935</v>
      </c>
      <c r="C352" s="9">
        <f t="shared" si="16"/>
        <v>0</v>
      </c>
      <c r="D352" s="26" t="s">
        <v>1003</v>
      </c>
    </row>
    <row r="353" spans="1:4" ht="24.75" customHeight="1" x14ac:dyDescent="0.3">
      <c r="A353" s="7">
        <v>19112</v>
      </c>
      <c r="B353" s="3" t="s">
        <v>592</v>
      </c>
      <c r="C353" s="9">
        <f t="shared" si="16"/>
        <v>0</v>
      </c>
      <c r="D353" s="26" t="s">
        <v>1003</v>
      </c>
    </row>
    <row r="354" spans="1:4" ht="24.75" customHeight="1" x14ac:dyDescent="0.3">
      <c r="A354" s="7">
        <v>19113</v>
      </c>
      <c r="B354" s="3" t="s">
        <v>593</v>
      </c>
      <c r="C354" s="9">
        <f t="shared" si="16"/>
        <v>0</v>
      </c>
      <c r="D354" s="26" t="s">
        <v>1003</v>
      </c>
    </row>
    <row r="355" spans="1:4" ht="24.75" customHeight="1" x14ac:dyDescent="0.3">
      <c r="A355" s="7">
        <v>19114</v>
      </c>
      <c r="B355" s="3" t="s">
        <v>594</v>
      </c>
      <c r="C355" s="9">
        <f t="shared" si="16"/>
        <v>0</v>
      </c>
      <c r="D355" s="26" t="s">
        <v>1003</v>
      </c>
    </row>
    <row r="356" spans="1:4" ht="24.75" customHeight="1" x14ac:dyDescent="0.3">
      <c r="A356" s="7">
        <v>19115</v>
      </c>
      <c r="B356" s="3" t="s">
        <v>595</v>
      </c>
      <c r="C356" s="9">
        <f t="shared" si="16"/>
        <v>0</v>
      </c>
      <c r="D356" s="26" t="s">
        <v>1003</v>
      </c>
    </row>
    <row r="357" spans="1:4" ht="24.75" customHeight="1" x14ac:dyDescent="0.3">
      <c r="A357" s="7">
        <v>19116</v>
      </c>
      <c r="B357" s="3" t="s">
        <v>596</v>
      </c>
      <c r="C357" s="9">
        <f t="shared" si="16"/>
        <v>0</v>
      </c>
      <c r="D357" s="26" t="s">
        <v>1006</v>
      </c>
    </row>
    <row r="358" spans="1:4" ht="24.75" customHeight="1" x14ac:dyDescent="0.3">
      <c r="A358" s="7">
        <v>19117</v>
      </c>
      <c r="B358" s="3" t="s">
        <v>597</v>
      </c>
      <c r="C358" s="9">
        <f t="shared" si="16"/>
        <v>0</v>
      </c>
      <c r="D358" s="26" t="s">
        <v>1006</v>
      </c>
    </row>
    <row r="359" spans="1:4" ht="24.75" customHeight="1" x14ac:dyDescent="0.3">
      <c r="A359" s="7">
        <v>19118</v>
      </c>
      <c r="B359" s="3" t="s">
        <v>598</v>
      </c>
      <c r="C359" s="9">
        <f t="shared" si="16"/>
        <v>0</v>
      </c>
      <c r="D359" s="26" t="s">
        <v>1006</v>
      </c>
    </row>
    <row r="360" spans="1:4" ht="24.75" customHeight="1" x14ac:dyDescent="0.3">
      <c r="A360" s="7">
        <v>19119</v>
      </c>
      <c r="B360" s="3" t="s">
        <v>599</v>
      </c>
      <c r="C360" s="9">
        <f t="shared" si="16"/>
        <v>0</v>
      </c>
      <c r="D360" s="26" t="s">
        <v>1003</v>
      </c>
    </row>
    <row r="361" spans="1:4" ht="24.75" customHeight="1" x14ac:dyDescent="0.3">
      <c r="A361" s="7">
        <v>19120</v>
      </c>
      <c r="B361" s="3" t="s">
        <v>600</v>
      </c>
      <c r="C361" s="9">
        <f t="shared" si="16"/>
        <v>0</v>
      </c>
      <c r="D361" s="26" t="s">
        <v>1003</v>
      </c>
    </row>
    <row r="362" spans="1:4" ht="24.75" customHeight="1" x14ac:dyDescent="0.3">
      <c r="A362" s="7">
        <v>19121</v>
      </c>
      <c r="B362" s="3" t="s">
        <v>601</v>
      </c>
      <c r="C362" s="9">
        <f t="shared" si="16"/>
        <v>0</v>
      </c>
      <c r="D362" s="26" t="s">
        <v>1003</v>
      </c>
    </row>
    <row r="363" spans="1:4" ht="24.75" customHeight="1" x14ac:dyDescent="0.3">
      <c r="A363" s="7">
        <v>19122</v>
      </c>
      <c r="B363" s="3" t="s">
        <v>602</v>
      </c>
      <c r="C363" s="9">
        <f t="shared" si="16"/>
        <v>0</v>
      </c>
      <c r="D363" s="26" t="s">
        <v>1006</v>
      </c>
    </row>
    <row r="364" spans="1:4" ht="24.75" customHeight="1" x14ac:dyDescent="0.3">
      <c r="A364" s="7">
        <v>19123</v>
      </c>
      <c r="B364" s="3" t="s">
        <v>603</v>
      </c>
      <c r="C364" s="9">
        <f t="shared" si="16"/>
        <v>0</v>
      </c>
      <c r="D364" s="26" t="s">
        <v>1003</v>
      </c>
    </row>
    <row r="365" spans="1:4" ht="24.75" customHeight="1" x14ac:dyDescent="0.3">
      <c r="A365" s="7">
        <v>19124</v>
      </c>
      <c r="B365" s="3" t="s">
        <v>604</v>
      </c>
      <c r="C365" s="9">
        <f t="shared" si="16"/>
        <v>0</v>
      </c>
      <c r="D365" s="26" t="s">
        <v>1003</v>
      </c>
    </row>
    <row r="366" spans="1:4" ht="24.75" customHeight="1" x14ac:dyDescent="0.3">
      <c r="A366" s="7">
        <v>19125</v>
      </c>
      <c r="B366" s="3" t="s">
        <v>605</v>
      </c>
      <c r="C366" s="9">
        <f t="shared" si="16"/>
        <v>0</v>
      </c>
      <c r="D366" s="26" t="s">
        <v>1003</v>
      </c>
    </row>
    <row r="367" spans="1:4" ht="24.75" customHeight="1" x14ac:dyDescent="0.3">
      <c r="A367" s="7">
        <v>19126</v>
      </c>
      <c r="B367" s="3" t="s">
        <v>606</v>
      </c>
      <c r="C367" s="9">
        <f t="shared" si="16"/>
        <v>0</v>
      </c>
      <c r="D367" s="26" t="s">
        <v>1003</v>
      </c>
    </row>
    <row r="368" spans="1:4" ht="24.75" customHeight="1" x14ac:dyDescent="0.3">
      <c r="A368" s="7">
        <v>19127</v>
      </c>
      <c r="B368" s="3" t="s">
        <v>607</v>
      </c>
      <c r="C368" s="9">
        <f t="shared" si="16"/>
        <v>0</v>
      </c>
      <c r="D368" s="26" t="s">
        <v>1003</v>
      </c>
    </row>
    <row r="369" spans="1:4" ht="24.75" customHeight="1" x14ac:dyDescent="0.3">
      <c r="A369" s="7">
        <v>19128</v>
      </c>
      <c r="B369" s="3" t="s">
        <v>608</v>
      </c>
      <c r="C369" s="9">
        <f t="shared" si="16"/>
        <v>0</v>
      </c>
      <c r="D369" s="26" t="s">
        <v>1003</v>
      </c>
    </row>
    <row r="370" spans="1:4" ht="24.75" customHeight="1" x14ac:dyDescent="0.3">
      <c r="A370" s="7">
        <v>19129</v>
      </c>
      <c r="B370" s="3" t="s">
        <v>609</v>
      </c>
      <c r="C370" s="9">
        <f t="shared" si="16"/>
        <v>0</v>
      </c>
      <c r="D370" s="26" t="s">
        <v>1006</v>
      </c>
    </row>
    <row r="371" spans="1:4" ht="24.75" customHeight="1" x14ac:dyDescent="0.3">
      <c r="A371" s="7">
        <v>19130</v>
      </c>
      <c r="B371" s="3" t="s">
        <v>610</v>
      </c>
      <c r="C371" s="9">
        <f t="shared" si="16"/>
        <v>0</v>
      </c>
      <c r="D371" s="26" t="s">
        <v>1006</v>
      </c>
    </row>
    <row r="372" spans="1:4" ht="24.75" customHeight="1" x14ac:dyDescent="0.3">
      <c r="A372" s="7">
        <v>19131</v>
      </c>
      <c r="B372" s="3" t="s">
        <v>967</v>
      </c>
      <c r="C372" s="9">
        <f t="shared" si="16"/>
        <v>0</v>
      </c>
      <c r="D372" s="26" t="s">
        <v>1000</v>
      </c>
    </row>
    <row r="373" spans="1:4" ht="24.75" customHeight="1" x14ac:dyDescent="0.3">
      <c r="A373" s="14">
        <v>20</v>
      </c>
      <c r="B373" s="15" t="s">
        <v>616</v>
      </c>
      <c r="C373" s="23"/>
      <c r="D373" s="27"/>
    </row>
    <row r="374" spans="1:4" ht="24.75" customHeight="1" x14ac:dyDescent="0.3">
      <c r="A374" s="16" t="s">
        <v>617</v>
      </c>
      <c r="B374" s="8" t="s">
        <v>618</v>
      </c>
      <c r="C374" s="9">
        <f t="shared" ref="C374:C396" si="17">V374</f>
        <v>0</v>
      </c>
      <c r="D374" s="26" t="s">
        <v>1010</v>
      </c>
    </row>
    <row r="375" spans="1:4" ht="24.75" customHeight="1" x14ac:dyDescent="0.3">
      <c r="A375" s="16" t="s">
        <v>619</v>
      </c>
      <c r="B375" s="8" t="s">
        <v>620</v>
      </c>
      <c r="C375" s="9">
        <f t="shared" si="17"/>
        <v>0</v>
      </c>
      <c r="D375" s="26" t="s">
        <v>1010</v>
      </c>
    </row>
    <row r="376" spans="1:4" ht="24.75" customHeight="1" x14ac:dyDescent="0.3">
      <c r="A376" s="16" t="s">
        <v>621</v>
      </c>
      <c r="B376" s="8" t="s">
        <v>622</v>
      </c>
      <c r="C376" s="9">
        <f t="shared" si="17"/>
        <v>0</v>
      </c>
      <c r="D376" s="26" t="s">
        <v>1010</v>
      </c>
    </row>
    <row r="377" spans="1:4" ht="24.75" customHeight="1" x14ac:dyDescent="0.3">
      <c r="A377" s="16" t="s">
        <v>623</v>
      </c>
      <c r="B377" s="8" t="s">
        <v>624</v>
      </c>
      <c r="C377" s="9">
        <f t="shared" si="17"/>
        <v>0</v>
      </c>
      <c r="D377" s="26" t="s">
        <v>1010</v>
      </c>
    </row>
    <row r="378" spans="1:4" ht="24.75" customHeight="1" x14ac:dyDescent="0.3">
      <c r="A378" s="16" t="s">
        <v>625</v>
      </c>
      <c r="B378" s="8" t="s">
        <v>626</v>
      </c>
      <c r="C378" s="9">
        <f t="shared" si="17"/>
        <v>0</v>
      </c>
      <c r="D378" s="26" t="s">
        <v>1010</v>
      </c>
    </row>
    <row r="379" spans="1:4" ht="24.75" customHeight="1" x14ac:dyDescent="0.3">
      <c r="A379" s="16" t="s">
        <v>627</v>
      </c>
      <c r="B379" s="8" t="s">
        <v>628</v>
      </c>
      <c r="C379" s="9">
        <f t="shared" si="17"/>
        <v>0</v>
      </c>
      <c r="D379" s="26" t="s">
        <v>1010</v>
      </c>
    </row>
    <row r="380" spans="1:4" ht="24.75" customHeight="1" x14ac:dyDescent="0.3">
      <c r="A380" s="16" t="s">
        <v>629</v>
      </c>
      <c r="B380" s="8" t="s">
        <v>630</v>
      </c>
      <c r="C380" s="9">
        <f t="shared" si="17"/>
        <v>0</v>
      </c>
      <c r="D380" s="26" t="s">
        <v>1010</v>
      </c>
    </row>
    <row r="381" spans="1:4" ht="24.75" customHeight="1" x14ac:dyDescent="0.3">
      <c r="A381" s="16" t="s">
        <v>631</v>
      </c>
      <c r="B381" s="8" t="s">
        <v>632</v>
      </c>
      <c r="C381" s="9">
        <f t="shared" si="17"/>
        <v>0</v>
      </c>
      <c r="D381" s="26" t="s">
        <v>1010</v>
      </c>
    </row>
    <row r="382" spans="1:4" ht="24.75" customHeight="1" x14ac:dyDescent="0.3">
      <c r="A382" s="16" t="s">
        <v>633</v>
      </c>
      <c r="B382" s="8" t="s">
        <v>634</v>
      </c>
      <c r="C382" s="9">
        <f t="shared" si="17"/>
        <v>0</v>
      </c>
      <c r="D382" s="26" t="s">
        <v>1010</v>
      </c>
    </row>
    <row r="383" spans="1:4" ht="24.75" customHeight="1" x14ac:dyDescent="0.3">
      <c r="A383" s="16" t="s">
        <v>635</v>
      </c>
      <c r="B383" s="8" t="s">
        <v>636</v>
      </c>
      <c r="C383" s="9">
        <f t="shared" si="17"/>
        <v>0</v>
      </c>
      <c r="D383" s="26" t="s">
        <v>1010</v>
      </c>
    </row>
    <row r="384" spans="1:4" ht="24.75" customHeight="1" x14ac:dyDescent="0.3">
      <c r="A384" s="16" t="s">
        <v>637</v>
      </c>
      <c r="B384" s="8" t="s">
        <v>638</v>
      </c>
      <c r="C384" s="9">
        <f t="shared" si="17"/>
        <v>0</v>
      </c>
      <c r="D384" s="26" t="s">
        <v>1010</v>
      </c>
    </row>
    <row r="385" spans="1:4" ht="24.75" customHeight="1" x14ac:dyDescent="0.3">
      <c r="A385" s="16" t="s">
        <v>639</v>
      </c>
      <c r="B385" s="8" t="s">
        <v>640</v>
      </c>
      <c r="C385" s="9">
        <f t="shared" si="17"/>
        <v>0</v>
      </c>
      <c r="D385" s="26" t="s">
        <v>1010</v>
      </c>
    </row>
    <row r="386" spans="1:4" ht="24.75" customHeight="1" x14ac:dyDescent="0.3">
      <c r="A386" s="16" t="s">
        <v>641</v>
      </c>
      <c r="B386" s="8" t="s">
        <v>642</v>
      </c>
      <c r="C386" s="9">
        <f t="shared" si="17"/>
        <v>0</v>
      </c>
      <c r="D386" s="26" t="s">
        <v>1010</v>
      </c>
    </row>
    <row r="387" spans="1:4" ht="24.75" customHeight="1" x14ac:dyDescent="0.3">
      <c r="A387" s="16" t="s">
        <v>643</v>
      </c>
      <c r="B387" s="8" t="s">
        <v>936</v>
      </c>
      <c r="C387" s="9">
        <f t="shared" si="17"/>
        <v>0</v>
      </c>
      <c r="D387" s="26" t="s">
        <v>1010</v>
      </c>
    </row>
    <row r="388" spans="1:4" ht="24.75" customHeight="1" x14ac:dyDescent="0.3">
      <c r="A388" s="16" t="s">
        <v>644</v>
      </c>
      <c r="B388" s="8" t="s">
        <v>645</v>
      </c>
      <c r="C388" s="9">
        <f t="shared" si="17"/>
        <v>0</v>
      </c>
      <c r="D388" s="26" t="s">
        <v>1010</v>
      </c>
    </row>
    <row r="389" spans="1:4" ht="24.75" customHeight="1" x14ac:dyDescent="0.3">
      <c r="A389" s="16" t="s">
        <v>646</v>
      </c>
      <c r="B389" s="8" t="s">
        <v>647</v>
      </c>
      <c r="C389" s="9">
        <f t="shared" si="17"/>
        <v>0</v>
      </c>
      <c r="D389" s="26" t="s">
        <v>1010</v>
      </c>
    </row>
    <row r="390" spans="1:4" ht="24.75" customHeight="1" x14ac:dyDescent="0.3">
      <c r="A390" s="16" t="s">
        <v>648</v>
      </c>
      <c r="B390" s="8" t="s">
        <v>649</v>
      </c>
      <c r="C390" s="9">
        <f t="shared" si="17"/>
        <v>0</v>
      </c>
      <c r="D390" s="26" t="s">
        <v>1013</v>
      </c>
    </row>
    <row r="391" spans="1:4" ht="24.75" customHeight="1" x14ac:dyDescent="0.3">
      <c r="A391" s="16" t="s">
        <v>650</v>
      </c>
      <c r="B391" s="8" t="s">
        <v>651</v>
      </c>
      <c r="C391" s="9">
        <f t="shared" si="17"/>
        <v>0</v>
      </c>
      <c r="D391" s="26" t="s">
        <v>1010</v>
      </c>
    </row>
    <row r="392" spans="1:4" ht="24.75" customHeight="1" x14ac:dyDescent="0.3">
      <c r="A392" s="16" t="s">
        <v>652</v>
      </c>
      <c r="B392" s="8" t="s">
        <v>653</v>
      </c>
      <c r="C392" s="9">
        <f t="shared" si="17"/>
        <v>0</v>
      </c>
      <c r="D392" s="26" t="s">
        <v>1010</v>
      </c>
    </row>
    <row r="393" spans="1:4" ht="24.75" customHeight="1" x14ac:dyDescent="0.3">
      <c r="A393" s="16" t="s">
        <v>654</v>
      </c>
      <c r="B393" s="8" t="s">
        <v>655</v>
      </c>
      <c r="C393" s="9">
        <f t="shared" si="17"/>
        <v>0</v>
      </c>
      <c r="D393" s="26" t="s">
        <v>1010</v>
      </c>
    </row>
    <row r="394" spans="1:4" ht="24.75" customHeight="1" x14ac:dyDescent="0.3">
      <c r="A394" s="16" t="s">
        <v>656</v>
      </c>
      <c r="B394" s="8" t="s">
        <v>657</v>
      </c>
      <c r="C394" s="9">
        <f t="shared" si="17"/>
        <v>0</v>
      </c>
      <c r="D394" s="26" t="s">
        <v>1010</v>
      </c>
    </row>
    <row r="395" spans="1:4" ht="24.75" customHeight="1" x14ac:dyDescent="0.3">
      <c r="A395" s="16" t="s">
        <v>937</v>
      </c>
      <c r="B395" s="8" t="s">
        <v>938</v>
      </c>
      <c r="C395" s="9">
        <f t="shared" si="17"/>
        <v>0</v>
      </c>
      <c r="D395" s="26" t="s">
        <v>1010</v>
      </c>
    </row>
    <row r="396" spans="1:4" ht="24.75" customHeight="1" x14ac:dyDescent="0.3">
      <c r="A396" s="16" t="s">
        <v>939</v>
      </c>
      <c r="B396" s="8" t="s">
        <v>940</v>
      </c>
      <c r="C396" s="9">
        <f t="shared" si="17"/>
        <v>0</v>
      </c>
      <c r="D396" s="26" t="s">
        <v>1010</v>
      </c>
    </row>
    <row r="397" spans="1:4" ht="24.75" customHeight="1" x14ac:dyDescent="0.3">
      <c r="A397" s="14">
        <v>21</v>
      </c>
      <c r="B397" s="15" t="s">
        <v>658</v>
      </c>
      <c r="C397" s="23"/>
      <c r="D397" s="27"/>
    </row>
    <row r="398" spans="1:4" ht="24.75" customHeight="1" x14ac:dyDescent="0.3">
      <c r="A398" s="16" t="s">
        <v>659</v>
      </c>
      <c r="B398" s="8" t="s">
        <v>660</v>
      </c>
      <c r="C398" s="9">
        <f t="shared" ref="C398:C424" si="18">V398</f>
        <v>0</v>
      </c>
      <c r="D398" s="26" t="s">
        <v>1006</v>
      </c>
    </row>
    <row r="399" spans="1:4" ht="24.75" customHeight="1" x14ac:dyDescent="0.3">
      <c r="A399" s="16" t="s">
        <v>661</v>
      </c>
      <c r="B399" s="8" t="s">
        <v>662</v>
      </c>
      <c r="C399" s="9">
        <f t="shared" si="18"/>
        <v>0</v>
      </c>
      <c r="D399" s="26" t="s">
        <v>1010</v>
      </c>
    </row>
    <row r="400" spans="1:4" ht="24.75" customHeight="1" x14ac:dyDescent="0.3">
      <c r="A400" s="16" t="s">
        <v>663</v>
      </c>
      <c r="B400" s="8" t="s">
        <v>664</v>
      </c>
      <c r="C400" s="9">
        <f t="shared" si="18"/>
        <v>0</v>
      </c>
      <c r="D400" s="26" t="s">
        <v>1010</v>
      </c>
    </row>
    <row r="401" spans="1:4" ht="24.75" customHeight="1" x14ac:dyDescent="0.3">
      <c r="A401" s="16" t="s">
        <v>665</v>
      </c>
      <c r="B401" s="8" t="s">
        <v>666</v>
      </c>
      <c r="C401" s="9">
        <f t="shared" si="18"/>
        <v>0</v>
      </c>
      <c r="D401" s="26" t="s">
        <v>1010</v>
      </c>
    </row>
    <row r="402" spans="1:4" ht="24.75" customHeight="1" x14ac:dyDescent="0.3">
      <c r="A402" s="16" t="s">
        <v>667</v>
      </c>
      <c r="B402" s="8" t="s">
        <v>668</v>
      </c>
      <c r="C402" s="9">
        <f t="shared" si="18"/>
        <v>0</v>
      </c>
      <c r="D402" s="26" t="s">
        <v>1010</v>
      </c>
    </row>
    <row r="403" spans="1:4" ht="24.75" customHeight="1" x14ac:dyDescent="0.3">
      <c r="A403" s="16" t="s">
        <v>669</v>
      </c>
      <c r="B403" s="8" t="s">
        <v>670</v>
      </c>
      <c r="C403" s="9">
        <f t="shared" si="18"/>
        <v>0</v>
      </c>
      <c r="D403" s="26" t="s">
        <v>1010</v>
      </c>
    </row>
    <row r="404" spans="1:4" ht="24.75" customHeight="1" x14ac:dyDescent="0.3">
      <c r="A404" s="16" t="s">
        <v>671</v>
      </c>
      <c r="B404" s="8" t="s">
        <v>672</v>
      </c>
      <c r="C404" s="9">
        <f t="shared" si="18"/>
        <v>0</v>
      </c>
      <c r="D404" s="26" t="s">
        <v>1010</v>
      </c>
    </row>
    <row r="405" spans="1:4" ht="24.75" customHeight="1" x14ac:dyDescent="0.3">
      <c r="A405" s="16" t="s">
        <v>673</v>
      </c>
      <c r="B405" s="8" t="s">
        <v>674</v>
      </c>
      <c r="C405" s="9">
        <f t="shared" si="18"/>
        <v>0</v>
      </c>
      <c r="D405" s="26" t="s">
        <v>1010</v>
      </c>
    </row>
    <row r="406" spans="1:4" ht="24.75" customHeight="1" x14ac:dyDescent="0.3">
      <c r="A406" s="16" t="s">
        <v>675</v>
      </c>
      <c r="B406" s="8" t="s">
        <v>676</v>
      </c>
      <c r="C406" s="9">
        <f t="shared" si="18"/>
        <v>0</v>
      </c>
      <c r="D406" s="26" t="s">
        <v>1003</v>
      </c>
    </row>
    <row r="407" spans="1:4" ht="24.75" customHeight="1" x14ac:dyDescent="0.3">
      <c r="A407" s="16" t="s">
        <v>677</v>
      </c>
      <c r="B407" s="8" t="s">
        <v>678</v>
      </c>
      <c r="C407" s="9">
        <f t="shared" si="18"/>
        <v>0</v>
      </c>
      <c r="D407" s="26" t="s">
        <v>1010</v>
      </c>
    </row>
    <row r="408" spans="1:4" ht="24.75" customHeight="1" x14ac:dyDescent="0.3">
      <c r="A408" s="16" t="s">
        <v>679</v>
      </c>
      <c r="B408" s="8" t="s">
        <v>680</v>
      </c>
      <c r="C408" s="9">
        <f t="shared" si="18"/>
        <v>0</v>
      </c>
      <c r="D408" s="26" t="s">
        <v>1010</v>
      </c>
    </row>
    <row r="409" spans="1:4" ht="24.75" customHeight="1" x14ac:dyDescent="0.3">
      <c r="A409" s="16" t="s">
        <v>681</v>
      </c>
      <c r="B409" s="8" t="s">
        <v>682</v>
      </c>
      <c r="C409" s="9">
        <f t="shared" si="18"/>
        <v>0</v>
      </c>
      <c r="D409" s="26" t="s">
        <v>1010</v>
      </c>
    </row>
    <row r="410" spans="1:4" ht="24.75" customHeight="1" x14ac:dyDescent="0.3">
      <c r="A410" s="16" t="s">
        <v>683</v>
      </c>
      <c r="B410" s="8" t="s">
        <v>684</v>
      </c>
      <c r="C410" s="9">
        <f t="shared" si="18"/>
        <v>0</v>
      </c>
      <c r="D410" s="26" t="s">
        <v>1010</v>
      </c>
    </row>
    <row r="411" spans="1:4" ht="24.75" customHeight="1" x14ac:dyDescent="0.3">
      <c r="A411" s="16" t="s">
        <v>968</v>
      </c>
      <c r="B411" s="8" t="s">
        <v>969</v>
      </c>
      <c r="C411" s="9">
        <f t="shared" si="18"/>
        <v>0</v>
      </c>
      <c r="D411" s="26" t="s">
        <v>1010</v>
      </c>
    </row>
    <row r="412" spans="1:4" ht="24.75" customHeight="1" x14ac:dyDescent="0.3">
      <c r="A412" s="16" t="s">
        <v>970</v>
      </c>
      <c r="B412" s="8" t="s">
        <v>971</v>
      </c>
      <c r="C412" s="9">
        <f t="shared" si="18"/>
        <v>0</v>
      </c>
      <c r="D412" s="26" t="s">
        <v>1010</v>
      </c>
    </row>
    <row r="413" spans="1:4" ht="24.75" customHeight="1" x14ac:dyDescent="0.3">
      <c r="A413" s="16" t="s">
        <v>972</v>
      </c>
      <c r="B413" s="8" t="s">
        <v>973</v>
      </c>
      <c r="C413" s="9">
        <f t="shared" si="18"/>
        <v>0</v>
      </c>
      <c r="D413" s="26" t="s">
        <v>1010</v>
      </c>
    </row>
    <row r="414" spans="1:4" ht="24.75" customHeight="1" x14ac:dyDescent="0.3">
      <c r="A414" s="16" t="s">
        <v>974</v>
      </c>
      <c r="B414" s="8" t="s">
        <v>975</v>
      </c>
      <c r="C414" s="9">
        <f t="shared" si="18"/>
        <v>0</v>
      </c>
      <c r="D414" s="26" t="s">
        <v>1010</v>
      </c>
    </row>
    <row r="415" spans="1:4" ht="24.75" customHeight="1" x14ac:dyDescent="0.3">
      <c r="A415" s="16" t="s">
        <v>976</v>
      </c>
      <c r="B415" s="8" t="s">
        <v>977</v>
      </c>
      <c r="C415" s="9">
        <f t="shared" si="18"/>
        <v>0</v>
      </c>
      <c r="D415" s="26" t="s">
        <v>1010</v>
      </c>
    </row>
    <row r="416" spans="1:4" ht="24.75" customHeight="1" x14ac:dyDescent="0.3">
      <c r="A416" s="16" t="s">
        <v>978</v>
      </c>
      <c r="B416" s="8" t="s">
        <v>979</v>
      </c>
      <c r="C416" s="9">
        <f t="shared" si="18"/>
        <v>0</v>
      </c>
      <c r="D416" s="26" t="s">
        <v>1010</v>
      </c>
    </row>
    <row r="417" spans="1:4" ht="24.75" customHeight="1" x14ac:dyDescent="0.3">
      <c r="A417" s="16" t="s">
        <v>980</v>
      </c>
      <c r="B417" s="8" t="s">
        <v>981</v>
      </c>
      <c r="C417" s="9">
        <f t="shared" si="18"/>
        <v>0</v>
      </c>
      <c r="D417" s="26" t="s">
        <v>1010</v>
      </c>
    </row>
    <row r="418" spans="1:4" ht="24.75" customHeight="1" x14ac:dyDescent="0.3">
      <c r="A418" s="16" t="s">
        <v>982</v>
      </c>
      <c r="B418" s="8" t="s">
        <v>983</v>
      </c>
      <c r="C418" s="9">
        <f t="shared" si="18"/>
        <v>0</v>
      </c>
      <c r="D418" s="26" t="s">
        <v>1010</v>
      </c>
    </row>
    <row r="419" spans="1:4" ht="24.75" customHeight="1" x14ac:dyDescent="0.3">
      <c r="A419" s="16" t="s">
        <v>984</v>
      </c>
      <c r="B419" s="8" t="s">
        <v>985</v>
      </c>
      <c r="C419" s="9">
        <f t="shared" si="18"/>
        <v>0</v>
      </c>
      <c r="D419" s="26" t="s">
        <v>1010</v>
      </c>
    </row>
    <row r="420" spans="1:4" ht="24.75" customHeight="1" x14ac:dyDescent="0.3">
      <c r="A420" s="16" t="s">
        <v>986</v>
      </c>
      <c r="B420" s="8" t="s">
        <v>987</v>
      </c>
      <c r="C420" s="9">
        <f t="shared" si="18"/>
        <v>0</v>
      </c>
      <c r="D420" s="26" t="s">
        <v>1010</v>
      </c>
    </row>
    <row r="421" spans="1:4" ht="24.75" customHeight="1" x14ac:dyDescent="0.3">
      <c r="A421" s="16" t="s">
        <v>988</v>
      </c>
      <c r="B421" s="8" t="s">
        <v>989</v>
      </c>
      <c r="C421" s="9">
        <f t="shared" si="18"/>
        <v>0</v>
      </c>
      <c r="D421" s="26" t="s">
        <v>1010</v>
      </c>
    </row>
    <row r="422" spans="1:4" ht="24.75" customHeight="1" x14ac:dyDescent="0.3">
      <c r="A422" s="16" t="s">
        <v>990</v>
      </c>
      <c r="B422" s="8" t="s">
        <v>991</v>
      </c>
      <c r="C422" s="9">
        <f t="shared" si="18"/>
        <v>0</v>
      </c>
      <c r="D422" s="26" t="s">
        <v>1010</v>
      </c>
    </row>
    <row r="423" spans="1:4" ht="24.75" customHeight="1" x14ac:dyDescent="0.3">
      <c r="A423" s="16" t="s">
        <v>992</v>
      </c>
      <c r="B423" s="8" t="s">
        <v>993</v>
      </c>
      <c r="C423" s="9">
        <f t="shared" si="18"/>
        <v>0</v>
      </c>
      <c r="D423" s="26" t="s">
        <v>1010</v>
      </c>
    </row>
    <row r="424" spans="1:4" ht="24.75" customHeight="1" x14ac:dyDescent="0.3">
      <c r="A424" s="16" t="s">
        <v>994</v>
      </c>
      <c r="B424" s="8" t="s">
        <v>995</v>
      </c>
      <c r="C424" s="9">
        <f t="shared" si="18"/>
        <v>0</v>
      </c>
      <c r="D424" s="26" t="s">
        <v>1010</v>
      </c>
    </row>
    <row r="425" spans="1:4" ht="24.75" customHeight="1" x14ac:dyDescent="0.3">
      <c r="A425" s="14">
        <v>22</v>
      </c>
      <c r="B425" s="15" t="s">
        <v>685</v>
      </c>
      <c r="C425" s="23"/>
      <c r="D425" s="27"/>
    </row>
    <row r="426" spans="1:4" ht="24.75" customHeight="1" x14ac:dyDescent="0.3">
      <c r="A426" s="16" t="s">
        <v>686</v>
      </c>
      <c r="B426" s="8" t="s">
        <v>687</v>
      </c>
      <c r="C426" s="9">
        <f t="shared" ref="C426:C437" si="19">V426</f>
        <v>0</v>
      </c>
      <c r="D426" s="26" t="s">
        <v>1010</v>
      </c>
    </row>
    <row r="427" spans="1:4" ht="24.75" customHeight="1" x14ac:dyDescent="0.3">
      <c r="A427" s="16" t="s">
        <v>688</v>
      </c>
      <c r="B427" s="8" t="s">
        <v>689</v>
      </c>
      <c r="C427" s="9">
        <f t="shared" si="19"/>
        <v>0</v>
      </c>
      <c r="D427" s="26" t="s">
        <v>1010</v>
      </c>
    </row>
    <row r="428" spans="1:4" ht="24.75" customHeight="1" x14ac:dyDescent="0.3">
      <c r="A428" s="16" t="s">
        <v>690</v>
      </c>
      <c r="B428" s="8" t="s">
        <v>691</v>
      </c>
      <c r="C428" s="9">
        <f t="shared" si="19"/>
        <v>0</v>
      </c>
      <c r="D428" s="26" t="s">
        <v>1010</v>
      </c>
    </row>
    <row r="429" spans="1:4" ht="24.75" customHeight="1" x14ac:dyDescent="0.3">
      <c r="A429" s="16" t="s">
        <v>692</v>
      </c>
      <c r="B429" s="8" t="s">
        <v>693</v>
      </c>
      <c r="C429" s="9">
        <f t="shared" si="19"/>
        <v>0</v>
      </c>
      <c r="D429" s="26" t="s">
        <v>1010</v>
      </c>
    </row>
    <row r="430" spans="1:4" ht="24.75" customHeight="1" x14ac:dyDescent="0.3">
      <c r="A430" s="16" t="s">
        <v>694</v>
      </c>
      <c r="B430" s="8" t="s">
        <v>695</v>
      </c>
      <c r="C430" s="9">
        <f t="shared" si="19"/>
        <v>0</v>
      </c>
      <c r="D430" s="26" t="s">
        <v>1010</v>
      </c>
    </row>
    <row r="431" spans="1:4" ht="24.75" customHeight="1" x14ac:dyDescent="0.3">
      <c r="A431" s="16" t="s">
        <v>696</v>
      </c>
      <c r="B431" s="8" t="s">
        <v>697</v>
      </c>
      <c r="C431" s="9">
        <f t="shared" si="19"/>
        <v>0</v>
      </c>
      <c r="D431" s="26" t="s">
        <v>1010</v>
      </c>
    </row>
    <row r="432" spans="1:4" ht="24.75" customHeight="1" x14ac:dyDescent="0.3">
      <c r="A432" s="16" t="s">
        <v>698</v>
      </c>
      <c r="B432" s="8" t="s">
        <v>699</v>
      </c>
      <c r="C432" s="9">
        <f t="shared" si="19"/>
        <v>0</v>
      </c>
      <c r="D432" s="26" t="s">
        <v>1010</v>
      </c>
    </row>
    <row r="433" spans="1:4" ht="24.75" customHeight="1" x14ac:dyDescent="0.3">
      <c r="A433" s="16" t="s">
        <v>700</v>
      </c>
      <c r="B433" s="8" t="s">
        <v>701</v>
      </c>
      <c r="C433" s="9">
        <f t="shared" si="19"/>
        <v>0</v>
      </c>
      <c r="D433" s="26" t="s">
        <v>1010</v>
      </c>
    </row>
    <row r="434" spans="1:4" ht="24.75" customHeight="1" x14ac:dyDescent="0.3">
      <c r="A434" s="16" t="s">
        <v>702</v>
      </c>
      <c r="B434" s="8" t="s">
        <v>703</v>
      </c>
      <c r="C434" s="9">
        <f t="shared" si="19"/>
        <v>0</v>
      </c>
      <c r="D434" s="26" t="s">
        <v>1012</v>
      </c>
    </row>
    <row r="435" spans="1:4" ht="24.75" customHeight="1" x14ac:dyDescent="0.3">
      <c r="A435" s="16" t="s">
        <v>704</v>
      </c>
      <c r="B435" s="8" t="s">
        <v>705</v>
      </c>
      <c r="C435" s="9">
        <f t="shared" si="19"/>
        <v>0</v>
      </c>
      <c r="D435" s="26" t="s">
        <v>1010</v>
      </c>
    </row>
    <row r="436" spans="1:4" ht="24.75" customHeight="1" x14ac:dyDescent="0.3">
      <c r="A436" s="16" t="s">
        <v>706</v>
      </c>
      <c r="B436" s="8" t="s">
        <v>707</v>
      </c>
      <c r="C436" s="9">
        <f t="shared" si="19"/>
        <v>0</v>
      </c>
      <c r="D436" s="26" t="s">
        <v>1010</v>
      </c>
    </row>
    <row r="437" spans="1:4" ht="24.75" customHeight="1" x14ac:dyDescent="0.3">
      <c r="A437" s="16" t="s">
        <v>996</v>
      </c>
      <c r="B437" s="8" t="s">
        <v>997</v>
      </c>
      <c r="C437" s="9">
        <f t="shared" si="19"/>
        <v>0</v>
      </c>
      <c r="D437" s="26" t="s">
        <v>1010</v>
      </c>
    </row>
    <row r="438" spans="1:4" ht="24.75" customHeight="1" x14ac:dyDescent="0.3">
      <c r="A438" s="14">
        <v>23</v>
      </c>
      <c r="B438" s="15" t="s">
        <v>708</v>
      </c>
      <c r="C438" s="23"/>
      <c r="D438" s="27"/>
    </row>
    <row r="439" spans="1:4" ht="24.75" customHeight="1" x14ac:dyDescent="0.3">
      <c r="A439" s="14">
        <v>24</v>
      </c>
      <c r="B439" s="15" t="s">
        <v>709</v>
      </c>
      <c r="C439" s="23"/>
      <c r="D439" s="27"/>
    </row>
    <row r="440" spans="1:4" ht="24.75" customHeight="1" x14ac:dyDescent="0.3">
      <c r="A440" s="14">
        <v>25</v>
      </c>
      <c r="B440" s="15" t="s">
        <v>710</v>
      </c>
      <c r="C440" s="23"/>
      <c r="D440" s="27"/>
    </row>
    <row r="441" spans="1:4" ht="24.75" customHeight="1" x14ac:dyDescent="0.3">
      <c r="A441" s="14">
        <v>26</v>
      </c>
      <c r="B441" s="17" t="s">
        <v>711</v>
      </c>
      <c r="C441" s="23"/>
      <c r="D441" s="27"/>
    </row>
    <row r="442" spans="1:4" ht="24.75" customHeight="1" x14ac:dyDescent="0.3">
      <c r="A442" s="14">
        <v>27</v>
      </c>
      <c r="B442" s="15" t="s">
        <v>712</v>
      </c>
      <c r="C442" s="23"/>
      <c r="D442" s="27"/>
    </row>
    <row r="443" spans="1:4" ht="24.75" customHeight="1" x14ac:dyDescent="0.3">
      <c r="A443" s="14">
        <v>28</v>
      </c>
      <c r="B443" s="15" t="s">
        <v>713</v>
      </c>
      <c r="C443" s="23"/>
      <c r="D443" s="27"/>
    </row>
    <row r="444" spans="1:4" ht="24.75" customHeight="1" x14ac:dyDescent="0.3">
      <c r="A444" s="16" t="s">
        <v>714</v>
      </c>
      <c r="B444" s="13" t="s">
        <v>715</v>
      </c>
      <c r="C444" s="9">
        <f t="shared" ref="C444:C477" si="20">V444</f>
        <v>0</v>
      </c>
      <c r="D444" s="26" t="s">
        <v>1012</v>
      </c>
    </row>
    <row r="445" spans="1:4" ht="24.75" customHeight="1" x14ac:dyDescent="0.3">
      <c r="A445" s="16" t="s">
        <v>716</v>
      </c>
      <c r="B445" s="8" t="s">
        <v>717</v>
      </c>
      <c r="C445" s="9">
        <f t="shared" si="20"/>
        <v>0</v>
      </c>
      <c r="D445" s="26" t="s">
        <v>1012</v>
      </c>
    </row>
    <row r="446" spans="1:4" ht="24.75" customHeight="1" x14ac:dyDescent="0.3">
      <c r="A446" s="16" t="s">
        <v>718</v>
      </c>
      <c r="B446" s="8" t="s">
        <v>719</v>
      </c>
      <c r="C446" s="9">
        <f t="shared" si="20"/>
        <v>0</v>
      </c>
      <c r="D446" s="26" t="s">
        <v>1012</v>
      </c>
    </row>
    <row r="447" spans="1:4" ht="24.75" customHeight="1" x14ac:dyDescent="0.3">
      <c r="A447" s="16" t="s">
        <v>720</v>
      </c>
      <c r="B447" s="8" t="s">
        <v>721</v>
      </c>
      <c r="C447" s="9">
        <f t="shared" si="20"/>
        <v>0</v>
      </c>
      <c r="D447" s="26" t="s">
        <v>1012</v>
      </c>
    </row>
    <row r="448" spans="1:4" ht="24.75" customHeight="1" x14ac:dyDescent="0.3">
      <c r="A448" s="16" t="s">
        <v>722</v>
      </c>
      <c r="B448" s="8" t="s">
        <v>723</v>
      </c>
      <c r="C448" s="9">
        <f t="shared" si="20"/>
        <v>0</v>
      </c>
      <c r="D448" s="26" t="s">
        <v>1012</v>
      </c>
    </row>
    <row r="449" spans="1:4" ht="24.75" customHeight="1" x14ac:dyDescent="0.3">
      <c r="A449" s="16" t="s">
        <v>724</v>
      </c>
      <c r="B449" s="8" t="s">
        <v>725</v>
      </c>
      <c r="C449" s="9">
        <f t="shared" si="20"/>
        <v>0</v>
      </c>
      <c r="D449" s="26" t="s">
        <v>1012</v>
      </c>
    </row>
    <row r="450" spans="1:4" ht="24.75" customHeight="1" x14ac:dyDescent="0.3">
      <c r="A450" s="16" t="s">
        <v>726</v>
      </c>
      <c r="B450" s="8" t="s">
        <v>727</v>
      </c>
      <c r="C450" s="9">
        <f t="shared" si="20"/>
        <v>0</v>
      </c>
      <c r="D450" s="26" t="s">
        <v>1012</v>
      </c>
    </row>
    <row r="451" spans="1:4" ht="24.75" customHeight="1" x14ac:dyDescent="0.3">
      <c r="A451" s="16" t="s">
        <v>728</v>
      </c>
      <c r="B451" s="8" t="s">
        <v>729</v>
      </c>
      <c r="C451" s="9">
        <f t="shared" si="20"/>
        <v>0</v>
      </c>
      <c r="D451" s="26" t="s">
        <v>1012</v>
      </c>
    </row>
    <row r="452" spans="1:4" ht="24.75" customHeight="1" x14ac:dyDescent="0.3">
      <c r="A452" s="16" t="s">
        <v>730</v>
      </c>
      <c r="B452" s="8" t="s">
        <v>731</v>
      </c>
      <c r="C452" s="9">
        <f t="shared" si="20"/>
        <v>0</v>
      </c>
      <c r="D452" s="26" t="s">
        <v>1012</v>
      </c>
    </row>
    <row r="453" spans="1:4" ht="24.75" customHeight="1" x14ac:dyDescent="0.3">
      <c r="A453" s="16" t="s">
        <v>732</v>
      </c>
      <c r="B453" s="8" t="s">
        <v>733</v>
      </c>
      <c r="C453" s="9">
        <f t="shared" si="20"/>
        <v>0</v>
      </c>
      <c r="D453" s="26" t="s">
        <v>1012</v>
      </c>
    </row>
    <row r="454" spans="1:4" ht="24.75" customHeight="1" x14ac:dyDescent="0.3">
      <c r="A454" s="16" t="s">
        <v>734</v>
      </c>
      <c r="B454" s="8" t="s">
        <v>735</v>
      </c>
      <c r="C454" s="9">
        <f t="shared" si="20"/>
        <v>0</v>
      </c>
      <c r="D454" s="26" t="s">
        <v>1012</v>
      </c>
    </row>
    <row r="455" spans="1:4" ht="24.75" customHeight="1" x14ac:dyDescent="0.3">
      <c r="A455" s="16" t="s">
        <v>736</v>
      </c>
      <c r="B455" s="8" t="s">
        <v>737</v>
      </c>
      <c r="C455" s="9">
        <f t="shared" si="20"/>
        <v>0</v>
      </c>
      <c r="D455" s="26" t="s">
        <v>1012</v>
      </c>
    </row>
    <row r="456" spans="1:4" ht="24.75" customHeight="1" x14ac:dyDescent="0.3">
      <c r="A456" s="16" t="s">
        <v>738</v>
      </c>
      <c r="B456" s="8" t="s">
        <v>739</v>
      </c>
      <c r="C456" s="9">
        <f t="shared" si="20"/>
        <v>0</v>
      </c>
      <c r="D456" s="26" t="s">
        <v>1012</v>
      </c>
    </row>
    <row r="457" spans="1:4" ht="24.75" customHeight="1" x14ac:dyDescent="0.3">
      <c r="A457" s="16" t="s">
        <v>740</v>
      </c>
      <c r="B457" s="8" t="s">
        <v>741</v>
      </c>
      <c r="C457" s="9">
        <f t="shared" si="20"/>
        <v>0</v>
      </c>
      <c r="D457" s="26" t="s">
        <v>1012</v>
      </c>
    </row>
    <row r="458" spans="1:4" ht="24.75" customHeight="1" x14ac:dyDescent="0.3">
      <c r="A458" s="16" t="s">
        <v>742</v>
      </c>
      <c r="B458" s="8" t="s">
        <v>743</v>
      </c>
      <c r="C458" s="9">
        <f t="shared" si="20"/>
        <v>0</v>
      </c>
      <c r="D458" s="26" t="s">
        <v>1012</v>
      </c>
    </row>
    <row r="459" spans="1:4" ht="24.75" customHeight="1" x14ac:dyDescent="0.3">
      <c r="A459" s="16" t="s">
        <v>744</v>
      </c>
      <c r="B459" s="8" t="s">
        <v>745</v>
      </c>
      <c r="C459" s="9">
        <f t="shared" si="20"/>
        <v>0</v>
      </c>
      <c r="D459" s="26" t="s">
        <v>1012</v>
      </c>
    </row>
    <row r="460" spans="1:4" ht="24.75" customHeight="1" x14ac:dyDescent="0.3">
      <c r="A460" s="16" t="s">
        <v>746</v>
      </c>
      <c r="B460" s="8" t="s">
        <v>747</v>
      </c>
      <c r="C460" s="9">
        <f t="shared" si="20"/>
        <v>0</v>
      </c>
      <c r="D460" s="26" t="s">
        <v>1012</v>
      </c>
    </row>
    <row r="461" spans="1:4" ht="24.75" customHeight="1" x14ac:dyDescent="0.3">
      <c r="A461" s="16" t="s">
        <v>748</v>
      </c>
      <c r="B461" s="8" t="s">
        <v>749</v>
      </c>
      <c r="C461" s="9">
        <f t="shared" si="20"/>
        <v>0</v>
      </c>
      <c r="D461" s="26" t="s">
        <v>1012</v>
      </c>
    </row>
    <row r="462" spans="1:4" ht="24.75" customHeight="1" x14ac:dyDescent="0.3">
      <c r="A462" s="16" t="s">
        <v>750</v>
      </c>
      <c r="B462" s="8" t="s">
        <v>751</v>
      </c>
      <c r="C462" s="9">
        <f t="shared" si="20"/>
        <v>0</v>
      </c>
      <c r="D462" s="26" t="s">
        <v>1012</v>
      </c>
    </row>
    <row r="463" spans="1:4" ht="24.75" customHeight="1" x14ac:dyDescent="0.3">
      <c r="A463" s="16" t="s">
        <v>752</v>
      </c>
      <c r="B463" s="8" t="s">
        <v>753</v>
      </c>
      <c r="C463" s="9">
        <f t="shared" si="20"/>
        <v>0</v>
      </c>
      <c r="D463" s="26" t="s">
        <v>1012</v>
      </c>
    </row>
    <row r="464" spans="1:4" ht="24.75" customHeight="1" x14ac:dyDescent="0.3">
      <c r="A464" s="16" t="s">
        <v>754</v>
      </c>
      <c r="B464" s="8" t="s">
        <v>755</v>
      </c>
      <c r="C464" s="9">
        <f t="shared" si="20"/>
        <v>0</v>
      </c>
      <c r="D464" s="26" t="s">
        <v>1012</v>
      </c>
    </row>
    <row r="465" spans="1:4" ht="24.75" customHeight="1" x14ac:dyDescent="0.3">
      <c r="A465" s="16" t="s">
        <v>756</v>
      </c>
      <c r="B465" s="8" t="s">
        <v>757</v>
      </c>
      <c r="C465" s="9">
        <f t="shared" si="20"/>
        <v>0</v>
      </c>
      <c r="D465" s="26" t="s">
        <v>1012</v>
      </c>
    </row>
    <row r="466" spans="1:4" ht="24.75" customHeight="1" x14ac:dyDescent="0.3">
      <c r="A466" s="16" t="s">
        <v>758</v>
      </c>
      <c r="B466" s="8" t="s">
        <v>759</v>
      </c>
      <c r="C466" s="9">
        <f t="shared" si="20"/>
        <v>0</v>
      </c>
      <c r="D466" s="26" t="s">
        <v>1012</v>
      </c>
    </row>
    <row r="467" spans="1:4" ht="24.75" customHeight="1" x14ac:dyDescent="0.3">
      <c r="A467" s="16" t="s">
        <v>760</v>
      </c>
      <c r="B467" s="8" t="s">
        <v>761</v>
      </c>
      <c r="C467" s="9">
        <f t="shared" si="20"/>
        <v>0</v>
      </c>
      <c r="D467" s="26" t="s">
        <v>1012</v>
      </c>
    </row>
    <row r="468" spans="1:4" ht="24.75" customHeight="1" x14ac:dyDescent="0.3">
      <c r="A468" s="16" t="s">
        <v>762</v>
      </c>
      <c r="B468" s="13" t="s">
        <v>763</v>
      </c>
      <c r="C468" s="9">
        <f t="shared" si="20"/>
        <v>0</v>
      </c>
      <c r="D468" s="26" t="s">
        <v>1012</v>
      </c>
    </row>
    <row r="469" spans="1:4" ht="24.75" customHeight="1" x14ac:dyDescent="0.3">
      <c r="A469" s="16" t="s">
        <v>764</v>
      </c>
      <c r="B469" s="8" t="s">
        <v>765</v>
      </c>
      <c r="C469" s="9">
        <f t="shared" si="20"/>
        <v>0</v>
      </c>
      <c r="D469" s="26" t="s">
        <v>1012</v>
      </c>
    </row>
    <row r="470" spans="1:4" ht="24.75" customHeight="1" x14ac:dyDescent="0.3">
      <c r="A470" s="16" t="s">
        <v>766</v>
      </c>
      <c r="B470" s="8" t="s">
        <v>767</v>
      </c>
      <c r="C470" s="9">
        <f t="shared" si="20"/>
        <v>0</v>
      </c>
      <c r="D470" s="26" t="s">
        <v>1012</v>
      </c>
    </row>
    <row r="471" spans="1:4" ht="24.75" customHeight="1" x14ac:dyDescent="0.3">
      <c r="A471" s="16" t="s">
        <v>768</v>
      </c>
      <c r="B471" s="8" t="s">
        <v>769</v>
      </c>
      <c r="C471" s="9">
        <f t="shared" si="20"/>
        <v>0</v>
      </c>
      <c r="D471" s="26" t="s">
        <v>1012</v>
      </c>
    </row>
    <row r="472" spans="1:4" ht="24.75" customHeight="1" x14ac:dyDescent="0.3">
      <c r="A472" s="16" t="s">
        <v>770</v>
      </c>
      <c r="B472" s="8" t="s">
        <v>771</v>
      </c>
      <c r="C472" s="9">
        <f t="shared" si="20"/>
        <v>0</v>
      </c>
      <c r="D472" s="26" t="s">
        <v>1005</v>
      </c>
    </row>
    <row r="473" spans="1:4" ht="24.75" customHeight="1" x14ac:dyDescent="0.3">
      <c r="A473" s="16" t="s">
        <v>772</v>
      </c>
      <c r="B473" s="8" t="s">
        <v>773</v>
      </c>
      <c r="C473" s="9">
        <f t="shared" si="20"/>
        <v>0</v>
      </c>
      <c r="D473" s="26" t="s">
        <v>1010</v>
      </c>
    </row>
    <row r="474" spans="1:4" ht="24.75" customHeight="1" x14ac:dyDescent="0.3">
      <c r="A474" s="16" t="s">
        <v>774</v>
      </c>
      <c r="B474" s="8" t="s">
        <v>775</v>
      </c>
      <c r="C474" s="9">
        <f t="shared" si="20"/>
        <v>0</v>
      </c>
      <c r="D474" s="26" t="s">
        <v>1010</v>
      </c>
    </row>
    <row r="475" spans="1:4" ht="24.75" customHeight="1" x14ac:dyDescent="0.3">
      <c r="A475" s="16" t="s">
        <v>776</v>
      </c>
      <c r="B475" s="13" t="s">
        <v>777</v>
      </c>
      <c r="C475" s="9">
        <f t="shared" si="20"/>
        <v>0</v>
      </c>
      <c r="D475" s="26" t="s">
        <v>1010</v>
      </c>
    </row>
    <row r="476" spans="1:4" ht="24.75" customHeight="1" x14ac:dyDescent="0.3">
      <c r="A476" s="16" t="s">
        <v>778</v>
      </c>
      <c r="B476" s="8" t="s">
        <v>779</v>
      </c>
      <c r="C476" s="9">
        <f t="shared" si="20"/>
        <v>0</v>
      </c>
      <c r="D476" s="26" t="s">
        <v>1012</v>
      </c>
    </row>
    <row r="477" spans="1:4" ht="24.75" customHeight="1" x14ac:dyDescent="0.3">
      <c r="A477" s="16" t="s">
        <v>780</v>
      </c>
      <c r="B477" s="13" t="s">
        <v>781</v>
      </c>
      <c r="C477" s="9">
        <f t="shared" si="20"/>
        <v>0</v>
      </c>
      <c r="D477" s="26" t="s">
        <v>1012</v>
      </c>
    </row>
    <row r="478" spans="1:4" ht="24.75" customHeight="1" x14ac:dyDescent="0.3">
      <c r="A478" s="14">
        <v>29</v>
      </c>
      <c r="B478" s="15" t="s">
        <v>782</v>
      </c>
      <c r="C478" s="23"/>
      <c r="D478" s="27"/>
    </row>
    <row r="479" spans="1:4" ht="24.75" customHeight="1" x14ac:dyDescent="0.3">
      <c r="A479" s="16" t="s">
        <v>783</v>
      </c>
      <c r="B479" s="8" t="s">
        <v>784</v>
      </c>
      <c r="C479" s="9">
        <f t="shared" ref="C479:C522" si="21">V479</f>
        <v>0</v>
      </c>
      <c r="D479" s="26" t="s">
        <v>1003</v>
      </c>
    </row>
    <row r="480" spans="1:4" ht="24.75" customHeight="1" x14ac:dyDescent="0.3">
      <c r="A480" s="16" t="s">
        <v>785</v>
      </c>
      <c r="B480" s="8" t="s">
        <v>786</v>
      </c>
      <c r="C480" s="9">
        <f t="shared" si="21"/>
        <v>0</v>
      </c>
      <c r="D480" s="26" t="s">
        <v>1014</v>
      </c>
    </row>
    <row r="481" spans="1:4" ht="24.75" customHeight="1" x14ac:dyDescent="0.3">
      <c r="A481" s="16" t="s">
        <v>787</v>
      </c>
      <c r="B481" s="8" t="s">
        <v>788</v>
      </c>
      <c r="C481" s="9">
        <f t="shared" si="21"/>
        <v>0</v>
      </c>
      <c r="D481" s="26" t="s">
        <v>1003</v>
      </c>
    </row>
    <row r="482" spans="1:4" ht="24.75" customHeight="1" x14ac:dyDescent="0.3">
      <c r="A482" s="16" t="s">
        <v>789</v>
      </c>
      <c r="B482" s="8" t="s">
        <v>998</v>
      </c>
      <c r="C482" s="9">
        <f t="shared" si="21"/>
        <v>0</v>
      </c>
      <c r="D482" s="26" t="s">
        <v>1014</v>
      </c>
    </row>
    <row r="483" spans="1:4" ht="24.75" customHeight="1" x14ac:dyDescent="0.3">
      <c r="A483" s="16" t="s">
        <v>790</v>
      </c>
      <c r="B483" s="8" t="s">
        <v>791</v>
      </c>
      <c r="C483" s="9">
        <f t="shared" si="21"/>
        <v>0</v>
      </c>
      <c r="D483" s="26" t="s">
        <v>1015</v>
      </c>
    </row>
    <row r="484" spans="1:4" ht="24.75" customHeight="1" x14ac:dyDescent="0.3">
      <c r="A484" s="16" t="s">
        <v>10</v>
      </c>
      <c r="B484" s="8" t="s">
        <v>11</v>
      </c>
      <c r="C484" s="9">
        <f t="shared" si="21"/>
        <v>0</v>
      </c>
      <c r="D484" s="26" t="s">
        <v>1003</v>
      </c>
    </row>
    <row r="485" spans="1:4" ht="24.75" customHeight="1" x14ac:dyDescent="0.3">
      <c r="A485" s="16" t="s">
        <v>792</v>
      </c>
      <c r="B485" s="8" t="s">
        <v>793</v>
      </c>
      <c r="C485" s="9">
        <f t="shared" si="21"/>
        <v>0</v>
      </c>
      <c r="D485" s="26" t="s">
        <v>1014</v>
      </c>
    </row>
    <row r="486" spans="1:4" ht="24.75" customHeight="1" x14ac:dyDescent="0.3">
      <c r="A486" s="16" t="s">
        <v>794</v>
      </c>
      <c r="B486" s="8" t="s">
        <v>795</v>
      </c>
      <c r="C486" s="9">
        <f t="shared" si="21"/>
        <v>0</v>
      </c>
      <c r="D486" s="26" t="s">
        <v>1003</v>
      </c>
    </row>
    <row r="487" spans="1:4" ht="24.75" customHeight="1" x14ac:dyDescent="0.3">
      <c r="A487" s="16" t="s">
        <v>796</v>
      </c>
      <c r="B487" s="8" t="s">
        <v>797</v>
      </c>
      <c r="C487" s="9">
        <f t="shared" si="21"/>
        <v>0</v>
      </c>
      <c r="D487" s="26" t="s">
        <v>1003</v>
      </c>
    </row>
    <row r="488" spans="1:4" ht="24.75" customHeight="1" x14ac:dyDescent="0.3">
      <c r="A488" s="16" t="s">
        <v>798</v>
      </c>
      <c r="B488" s="8" t="s">
        <v>799</v>
      </c>
      <c r="C488" s="9">
        <f t="shared" si="21"/>
        <v>0</v>
      </c>
      <c r="D488" s="26" t="s">
        <v>1003</v>
      </c>
    </row>
    <row r="489" spans="1:4" ht="24.75" customHeight="1" x14ac:dyDescent="0.3">
      <c r="A489" s="16" t="s">
        <v>800</v>
      </c>
      <c r="B489" s="13" t="s">
        <v>801</v>
      </c>
      <c r="C489" s="9">
        <f t="shared" si="21"/>
        <v>0</v>
      </c>
      <c r="D489" s="26" t="s">
        <v>1014</v>
      </c>
    </row>
    <row r="490" spans="1:4" ht="24.75" customHeight="1" x14ac:dyDescent="0.3">
      <c r="A490" s="16" t="s">
        <v>802</v>
      </c>
      <c r="B490" s="8" t="s">
        <v>803</v>
      </c>
      <c r="C490" s="9">
        <f t="shared" si="21"/>
        <v>0</v>
      </c>
      <c r="D490" s="26" t="s">
        <v>1014</v>
      </c>
    </row>
    <row r="491" spans="1:4" ht="24.75" customHeight="1" x14ac:dyDescent="0.3">
      <c r="A491" s="16" t="s">
        <v>804</v>
      </c>
      <c r="B491" s="8" t="s">
        <v>805</v>
      </c>
      <c r="C491" s="9">
        <f t="shared" si="21"/>
        <v>0</v>
      </c>
      <c r="D491" s="26" t="s">
        <v>1016</v>
      </c>
    </row>
    <row r="492" spans="1:4" ht="24.75" customHeight="1" x14ac:dyDescent="0.3">
      <c r="A492" s="16" t="s">
        <v>806</v>
      </c>
      <c r="B492" s="8" t="s">
        <v>807</v>
      </c>
      <c r="C492" s="9">
        <f t="shared" si="21"/>
        <v>0</v>
      </c>
      <c r="D492" s="26" t="s">
        <v>1016</v>
      </c>
    </row>
    <row r="493" spans="1:4" ht="24.75" customHeight="1" x14ac:dyDescent="0.3">
      <c r="A493" s="16" t="s">
        <v>808</v>
      </c>
      <c r="B493" s="8" t="s">
        <v>809</v>
      </c>
      <c r="C493" s="9">
        <f t="shared" si="21"/>
        <v>0</v>
      </c>
      <c r="D493" s="26" t="s">
        <v>1016</v>
      </c>
    </row>
    <row r="494" spans="1:4" ht="24.75" customHeight="1" x14ac:dyDescent="0.3">
      <c r="A494" s="16" t="s">
        <v>810</v>
      </c>
      <c r="B494" s="8" t="s">
        <v>811</v>
      </c>
      <c r="C494" s="9">
        <f t="shared" si="21"/>
        <v>0</v>
      </c>
      <c r="D494" s="26" t="s">
        <v>1003</v>
      </c>
    </row>
    <row r="495" spans="1:4" ht="24.75" customHeight="1" x14ac:dyDescent="0.3">
      <c r="A495" s="16" t="s">
        <v>812</v>
      </c>
      <c r="B495" s="8" t="s">
        <v>813</v>
      </c>
      <c r="C495" s="9">
        <f t="shared" si="21"/>
        <v>0</v>
      </c>
      <c r="D495" s="26" t="s">
        <v>1003</v>
      </c>
    </row>
    <row r="496" spans="1:4" ht="24.75" customHeight="1" x14ac:dyDescent="0.3">
      <c r="A496" s="16" t="s">
        <v>814</v>
      </c>
      <c r="B496" s="8" t="s">
        <v>815</v>
      </c>
      <c r="C496" s="9">
        <f t="shared" si="21"/>
        <v>0</v>
      </c>
      <c r="D496" s="26" t="s">
        <v>1003</v>
      </c>
    </row>
    <row r="497" spans="1:4" ht="24.75" customHeight="1" x14ac:dyDescent="0.3">
      <c r="A497" s="16" t="s">
        <v>816</v>
      </c>
      <c r="B497" s="8" t="s">
        <v>817</v>
      </c>
      <c r="C497" s="9">
        <f t="shared" si="21"/>
        <v>0</v>
      </c>
      <c r="D497" s="26" t="s">
        <v>1003</v>
      </c>
    </row>
    <row r="498" spans="1:4" ht="24.75" customHeight="1" x14ac:dyDescent="0.3">
      <c r="A498" s="16" t="s">
        <v>818</v>
      </c>
      <c r="B498" s="8" t="s">
        <v>819</v>
      </c>
      <c r="C498" s="9">
        <f t="shared" si="21"/>
        <v>0</v>
      </c>
      <c r="D498" s="26" t="s">
        <v>1003</v>
      </c>
    </row>
    <row r="499" spans="1:4" ht="24.75" customHeight="1" x14ac:dyDescent="0.3">
      <c r="A499" s="16" t="s">
        <v>820</v>
      </c>
      <c r="B499" s="8" t="s">
        <v>821</v>
      </c>
      <c r="C499" s="9">
        <f t="shared" si="21"/>
        <v>0</v>
      </c>
      <c r="D499" s="26" t="s">
        <v>1000</v>
      </c>
    </row>
    <row r="500" spans="1:4" ht="24.75" customHeight="1" x14ac:dyDescent="0.3">
      <c r="A500" s="16" t="s">
        <v>822</v>
      </c>
      <c r="B500" s="8" t="s">
        <v>823</v>
      </c>
      <c r="C500" s="9">
        <f t="shared" si="21"/>
        <v>0</v>
      </c>
      <c r="D500" s="26" t="s">
        <v>1000</v>
      </c>
    </row>
    <row r="501" spans="1:4" ht="24.75" customHeight="1" x14ac:dyDescent="0.3">
      <c r="A501" s="16" t="s">
        <v>824</v>
      </c>
      <c r="B501" s="8" t="s">
        <v>825</v>
      </c>
      <c r="C501" s="9">
        <f t="shared" si="21"/>
        <v>0</v>
      </c>
      <c r="D501" s="26" t="s">
        <v>1005</v>
      </c>
    </row>
    <row r="502" spans="1:4" ht="24.75" customHeight="1" x14ac:dyDescent="0.3">
      <c r="A502" s="16" t="s">
        <v>826</v>
      </c>
      <c r="B502" s="8" t="s">
        <v>827</v>
      </c>
      <c r="C502" s="9">
        <f t="shared" si="21"/>
        <v>0</v>
      </c>
      <c r="D502" s="26" t="s">
        <v>1005</v>
      </c>
    </row>
    <row r="503" spans="1:4" ht="24.75" customHeight="1" x14ac:dyDescent="0.3">
      <c r="A503" s="16" t="s">
        <v>828</v>
      </c>
      <c r="B503" s="8" t="s">
        <v>829</v>
      </c>
      <c r="C503" s="9">
        <f t="shared" si="21"/>
        <v>0</v>
      </c>
      <c r="D503" s="26" t="s">
        <v>1000</v>
      </c>
    </row>
    <row r="504" spans="1:4" ht="24.75" customHeight="1" x14ac:dyDescent="0.3">
      <c r="A504" s="16" t="s">
        <v>830</v>
      </c>
      <c r="B504" s="8" t="s">
        <v>831</v>
      </c>
      <c r="C504" s="9">
        <f t="shared" si="21"/>
        <v>0</v>
      </c>
      <c r="D504" s="26" t="s">
        <v>1003</v>
      </c>
    </row>
    <row r="505" spans="1:4" ht="24.75" customHeight="1" x14ac:dyDescent="0.3">
      <c r="A505" s="16" t="s">
        <v>832</v>
      </c>
      <c r="B505" s="8" t="s">
        <v>833</v>
      </c>
      <c r="C505" s="9">
        <f t="shared" si="21"/>
        <v>0</v>
      </c>
      <c r="D505" s="26" t="s">
        <v>1000</v>
      </c>
    </row>
    <row r="506" spans="1:4" ht="24.75" customHeight="1" x14ac:dyDescent="0.3">
      <c r="A506" s="16" t="s">
        <v>834</v>
      </c>
      <c r="B506" s="8" t="s">
        <v>835</v>
      </c>
      <c r="C506" s="9">
        <f t="shared" si="21"/>
        <v>0</v>
      </c>
      <c r="D506" s="26" t="s">
        <v>1000</v>
      </c>
    </row>
    <row r="507" spans="1:4" ht="24.75" customHeight="1" x14ac:dyDescent="0.3">
      <c r="A507" s="16" t="s">
        <v>836</v>
      </c>
      <c r="B507" s="8" t="s">
        <v>837</v>
      </c>
      <c r="C507" s="9">
        <f t="shared" si="21"/>
        <v>0</v>
      </c>
      <c r="D507" s="26" t="s">
        <v>1006</v>
      </c>
    </row>
    <row r="508" spans="1:4" ht="24.75" customHeight="1" x14ac:dyDescent="0.3">
      <c r="A508" s="16" t="s">
        <v>838</v>
      </c>
      <c r="B508" s="8" t="s">
        <v>839</v>
      </c>
      <c r="C508" s="9">
        <f t="shared" si="21"/>
        <v>0</v>
      </c>
      <c r="D508" s="26" t="s">
        <v>1010</v>
      </c>
    </row>
    <row r="509" spans="1:4" ht="24.75" customHeight="1" x14ac:dyDescent="0.3">
      <c r="A509" s="16" t="s">
        <v>840</v>
      </c>
      <c r="B509" s="8" t="s">
        <v>841</v>
      </c>
      <c r="C509" s="9">
        <f t="shared" si="21"/>
        <v>0</v>
      </c>
      <c r="D509" s="26" t="s">
        <v>1013</v>
      </c>
    </row>
    <row r="510" spans="1:4" ht="24.75" customHeight="1" x14ac:dyDescent="0.3">
      <c r="A510" s="16" t="s">
        <v>842</v>
      </c>
      <c r="B510" s="8" t="s">
        <v>843</v>
      </c>
      <c r="C510" s="9">
        <f t="shared" si="21"/>
        <v>0</v>
      </c>
      <c r="D510" s="26" t="s">
        <v>1010</v>
      </c>
    </row>
    <row r="511" spans="1:4" ht="24.75" customHeight="1" x14ac:dyDescent="0.3">
      <c r="A511" s="16" t="s">
        <v>844</v>
      </c>
      <c r="B511" s="8" t="s">
        <v>845</v>
      </c>
      <c r="C511" s="9">
        <f t="shared" si="21"/>
        <v>0</v>
      </c>
      <c r="D511" s="26" t="s">
        <v>1010</v>
      </c>
    </row>
    <row r="512" spans="1:4" ht="24.75" customHeight="1" x14ac:dyDescent="0.3">
      <c r="A512" s="16" t="s">
        <v>846</v>
      </c>
      <c r="B512" s="8" t="s">
        <v>847</v>
      </c>
      <c r="C512" s="9">
        <f t="shared" si="21"/>
        <v>0</v>
      </c>
      <c r="D512" s="26" t="s">
        <v>1010</v>
      </c>
    </row>
    <row r="513" spans="1:4" ht="24.75" customHeight="1" x14ac:dyDescent="0.3">
      <c r="A513" s="16" t="s">
        <v>848</v>
      </c>
      <c r="B513" s="8" t="s">
        <v>849</v>
      </c>
      <c r="C513" s="9">
        <f t="shared" si="21"/>
        <v>0</v>
      </c>
      <c r="D513" s="26" t="s">
        <v>1010</v>
      </c>
    </row>
    <row r="514" spans="1:4" ht="24.75" customHeight="1" x14ac:dyDescent="0.3">
      <c r="A514" s="16" t="s">
        <v>850</v>
      </c>
      <c r="B514" s="8" t="s">
        <v>851</v>
      </c>
      <c r="C514" s="9">
        <f t="shared" si="21"/>
        <v>0</v>
      </c>
      <c r="D514" s="26" t="s">
        <v>1010</v>
      </c>
    </row>
    <row r="515" spans="1:4" ht="24.75" customHeight="1" x14ac:dyDescent="0.3">
      <c r="A515" s="16" t="s">
        <v>852</v>
      </c>
      <c r="B515" s="8" t="s">
        <v>853</v>
      </c>
      <c r="C515" s="9">
        <f t="shared" si="21"/>
        <v>0</v>
      </c>
      <c r="D515" s="26" t="s">
        <v>1010</v>
      </c>
    </row>
    <row r="516" spans="1:4" ht="24.75" customHeight="1" x14ac:dyDescent="0.3">
      <c r="A516" s="16" t="s">
        <v>854</v>
      </c>
      <c r="B516" s="8" t="s">
        <v>855</v>
      </c>
      <c r="C516" s="9">
        <f t="shared" si="21"/>
        <v>0</v>
      </c>
      <c r="D516" s="26" t="s">
        <v>1010</v>
      </c>
    </row>
    <row r="517" spans="1:4" ht="24.75" customHeight="1" x14ac:dyDescent="0.3">
      <c r="A517" s="16" t="s">
        <v>856</v>
      </c>
      <c r="B517" s="8" t="s">
        <v>857</v>
      </c>
      <c r="C517" s="9">
        <f t="shared" si="21"/>
        <v>0</v>
      </c>
      <c r="D517" s="26" t="s">
        <v>1010</v>
      </c>
    </row>
    <row r="518" spans="1:4" ht="24.75" customHeight="1" x14ac:dyDescent="0.3">
      <c r="A518" s="16" t="s">
        <v>858</v>
      </c>
      <c r="B518" s="8" t="s">
        <v>859</v>
      </c>
      <c r="C518" s="9">
        <f t="shared" si="21"/>
        <v>0</v>
      </c>
      <c r="D518" s="26" t="s">
        <v>1010</v>
      </c>
    </row>
    <row r="519" spans="1:4" ht="24.75" customHeight="1" x14ac:dyDescent="0.3">
      <c r="A519" s="16" t="s">
        <v>860</v>
      </c>
      <c r="B519" s="8" t="s">
        <v>861</v>
      </c>
      <c r="C519" s="9">
        <f t="shared" si="21"/>
        <v>0</v>
      </c>
      <c r="D519" s="26" t="s">
        <v>1010</v>
      </c>
    </row>
    <row r="520" spans="1:4" ht="24.75" customHeight="1" x14ac:dyDescent="0.3">
      <c r="A520" s="16" t="s">
        <v>862</v>
      </c>
      <c r="B520" s="8" t="s">
        <v>863</v>
      </c>
      <c r="C520" s="9">
        <f t="shared" si="21"/>
        <v>0</v>
      </c>
      <c r="D520" s="26" t="s">
        <v>1010</v>
      </c>
    </row>
    <row r="521" spans="1:4" ht="24.75" customHeight="1" x14ac:dyDescent="0.3">
      <c r="A521" s="16" t="s">
        <v>864</v>
      </c>
      <c r="B521" s="8" t="s">
        <v>865</v>
      </c>
      <c r="C521" s="9">
        <f t="shared" si="21"/>
        <v>0</v>
      </c>
      <c r="D521" s="26" t="s">
        <v>1010</v>
      </c>
    </row>
    <row r="522" spans="1:4" ht="24.75" customHeight="1" x14ac:dyDescent="0.3">
      <c r="A522" s="16" t="s">
        <v>866</v>
      </c>
      <c r="B522" s="8" t="s">
        <v>867</v>
      </c>
      <c r="C522" s="9">
        <f t="shared" si="21"/>
        <v>0</v>
      </c>
      <c r="D522" s="26" t="s">
        <v>1006</v>
      </c>
    </row>
    <row r="523" spans="1:4" ht="24.75" customHeight="1" x14ac:dyDescent="0.3">
      <c r="A523" s="16" t="s">
        <v>868</v>
      </c>
      <c r="B523" s="8" t="s">
        <v>869</v>
      </c>
      <c r="C523" s="9">
        <f t="shared" ref="C523:C529" si="22">V523</f>
        <v>0</v>
      </c>
      <c r="D523" s="26" t="s">
        <v>1006</v>
      </c>
    </row>
    <row r="524" spans="1:4" ht="24.75" customHeight="1" x14ac:dyDescent="0.3">
      <c r="A524" s="16" t="s">
        <v>870</v>
      </c>
      <c r="B524" s="8" t="s">
        <v>871</v>
      </c>
      <c r="C524" s="9">
        <f t="shared" si="22"/>
        <v>0</v>
      </c>
      <c r="D524" s="26" t="s">
        <v>1003</v>
      </c>
    </row>
    <row r="525" spans="1:4" ht="24.75" customHeight="1" x14ac:dyDescent="0.3">
      <c r="A525" s="16" t="s">
        <v>872</v>
      </c>
      <c r="B525" s="8" t="s">
        <v>873</v>
      </c>
      <c r="C525" s="9">
        <f t="shared" si="22"/>
        <v>0</v>
      </c>
      <c r="D525" s="26" t="s">
        <v>1003</v>
      </c>
    </row>
    <row r="526" spans="1:4" ht="24.75" customHeight="1" x14ac:dyDescent="0.3">
      <c r="A526" s="16" t="s">
        <v>874</v>
      </c>
      <c r="B526" s="8" t="s">
        <v>875</v>
      </c>
      <c r="C526" s="9">
        <f t="shared" si="22"/>
        <v>0</v>
      </c>
      <c r="D526" s="26" t="s">
        <v>1003</v>
      </c>
    </row>
    <row r="527" spans="1:4" ht="24.75" customHeight="1" x14ac:dyDescent="0.3">
      <c r="A527" s="16" t="s">
        <v>876</v>
      </c>
      <c r="B527" s="8" t="s">
        <v>877</v>
      </c>
      <c r="C527" s="9">
        <f t="shared" si="22"/>
        <v>0</v>
      </c>
      <c r="D527" s="26" t="s">
        <v>1003</v>
      </c>
    </row>
    <row r="528" spans="1:4" ht="24.75" customHeight="1" x14ac:dyDescent="0.3">
      <c r="A528" s="16" t="s">
        <v>941</v>
      </c>
      <c r="B528" s="8" t="s">
        <v>942</v>
      </c>
      <c r="C528" s="9">
        <f t="shared" si="22"/>
        <v>0</v>
      </c>
      <c r="D528" s="26" t="s">
        <v>1017</v>
      </c>
    </row>
    <row r="529" spans="1:4" ht="24.75" customHeight="1" x14ac:dyDescent="0.3">
      <c r="A529" s="16" t="s">
        <v>943</v>
      </c>
      <c r="B529" s="8" t="s">
        <v>999</v>
      </c>
      <c r="C529" s="9">
        <f t="shared" si="22"/>
        <v>0</v>
      </c>
      <c r="D529" s="26" t="s">
        <v>1003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Valores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André Obando Acosta</dc:creator>
  <cp:lastModifiedBy>Thiago Nascimento</cp:lastModifiedBy>
  <dcterms:created xsi:type="dcterms:W3CDTF">2021-12-17T12:15:58Z</dcterms:created>
  <dcterms:modified xsi:type="dcterms:W3CDTF">2025-10-24T07:41:55Z</dcterms:modified>
</cp:coreProperties>
</file>