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- Área de Trabalho\1 - TM _ HUB\1.1 - Preventivas  2026\03 - Documentos Preventivas\CONTRATO - MATO GROSSO DO SUL - 6122\"/>
    </mc:Choice>
  </mc:AlternateContent>
  <xr:revisionPtr revIDLastSave="0" documentId="13_ncr:1_{F192D175-14E2-4DCA-825B-28908226AF8D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RAT " sheetId="4" r:id="rId1"/>
    <sheet name="Conformidade" sheetId="5" r:id="rId2"/>
    <sheet name="Valores Unitários" sheetId="2" r:id="rId3"/>
    <sheet name="Prefixos" sheetId="3" r:id="rId4"/>
  </sheets>
  <definedNames>
    <definedName name="_xlnm._FilterDatabase" localSheetId="2" hidden="1">'Valores Unitários'!$Q$1:$Q$520</definedName>
    <definedName name="_xlnm.Print_Area" localSheetId="1">Conformidade!$A$1:$P$49</definedName>
    <definedName name="_xlnm.Print_Area" localSheetId="0">'RAT '!$A$1:$Q$79</definedName>
    <definedName name="_xlnm.Print_Area" localSheetId="2">'Valores Unitários'!$A$2:$J$523</definedName>
    <definedName name="_xlnm.Print_Titles" localSheetId="2">'Valores Unitários'!$2:$7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4" l="1"/>
  <c r="O56" i="4" s="1"/>
  <c r="L56" i="4"/>
  <c r="N56" i="4" s="1"/>
  <c r="J56" i="4"/>
  <c r="P56" i="4" s="1"/>
  <c r="I56" i="4"/>
  <c r="B56" i="4"/>
  <c r="P55" i="4"/>
  <c r="N55" i="4"/>
  <c r="M55" i="4"/>
  <c r="O55" i="4" s="1"/>
  <c r="L55" i="4"/>
  <c r="J55" i="4"/>
  <c r="I55" i="4"/>
  <c r="B55" i="4"/>
  <c r="M54" i="4"/>
  <c r="O54" i="4" s="1"/>
  <c r="L54" i="4"/>
  <c r="N54" i="4" s="1"/>
  <c r="J54" i="4"/>
  <c r="P54" i="4" s="1"/>
  <c r="I54" i="4"/>
  <c r="B54" i="4"/>
  <c r="M53" i="4"/>
  <c r="O53" i="4" s="1"/>
  <c r="L53" i="4"/>
  <c r="N53" i="4" s="1"/>
  <c r="J53" i="4"/>
  <c r="P53" i="4" s="1"/>
  <c r="I53" i="4"/>
  <c r="B53" i="4"/>
  <c r="P52" i="4"/>
  <c r="N52" i="4"/>
  <c r="M52" i="4"/>
  <c r="O52" i="4" s="1"/>
  <c r="L52" i="4"/>
  <c r="J52" i="4"/>
  <c r="I52" i="4"/>
  <c r="B52" i="4"/>
  <c r="M51" i="4"/>
  <c r="O51" i="4" s="1"/>
  <c r="L51" i="4"/>
  <c r="N51" i="4" s="1"/>
  <c r="J51" i="4"/>
  <c r="P51" i="4" s="1"/>
  <c r="I51" i="4"/>
  <c r="B51" i="4"/>
  <c r="M50" i="4"/>
  <c r="O50" i="4" s="1"/>
  <c r="L50" i="4"/>
  <c r="N50" i="4" s="1"/>
  <c r="J50" i="4"/>
  <c r="P50" i="4" s="1"/>
  <c r="I50" i="4"/>
  <c r="B50" i="4"/>
  <c r="P49" i="4"/>
  <c r="N49" i="4"/>
  <c r="M49" i="4"/>
  <c r="O49" i="4" s="1"/>
  <c r="L49" i="4"/>
  <c r="J49" i="4"/>
  <c r="I49" i="4"/>
  <c r="B49" i="4"/>
  <c r="M48" i="4"/>
  <c r="O48" i="4" s="1"/>
  <c r="L48" i="4"/>
  <c r="N48" i="4" s="1"/>
  <c r="J48" i="4"/>
  <c r="P48" i="4" s="1"/>
  <c r="I48" i="4"/>
  <c r="B48" i="4"/>
  <c r="M47" i="4"/>
  <c r="O47" i="4" s="1"/>
  <c r="L47" i="4"/>
  <c r="N47" i="4" s="1"/>
  <c r="J47" i="4"/>
  <c r="P47" i="4" s="1"/>
  <c r="I47" i="4"/>
  <c r="B47" i="4"/>
  <c r="P46" i="4"/>
  <c r="N46" i="4"/>
  <c r="M46" i="4"/>
  <c r="O46" i="4" s="1"/>
  <c r="L46" i="4"/>
  <c r="J46" i="4"/>
  <c r="I46" i="4"/>
  <c r="B46" i="4"/>
  <c r="M45" i="4"/>
  <c r="O45" i="4" s="1"/>
  <c r="L45" i="4"/>
  <c r="N45" i="4" s="1"/>
  <c r="J45" i="4"/>
  <c r="P45" i="4" s="1"/>
  <c r="I45" i="4"/>
  <c r="B45" i="4"/>
  <c r="M44" i="4"/>
  <c r="O44" i="4" s="1"/>
  <c r="L44" i="4"/>
  <c r="N44" i="4" s="1"/>
  <c r="J44" i="4"/>
  <c r="P44" i="4" s="1"/>
  <c r="I44" i="4"/>
  <c r="B44" i="4"/>
  <c r="P43" i="4"/>
  <c r="N43" i="4"/>
  <c r="M43" i="4"/>
  <c r="O43" i="4" s="1"/>
  <c r="L43" i="4"/>
  <c r="J43" i="4"/>
  <c r="I43" i="4"/>
  <c r="B43" i="4"/>
  <c r="M42" i="4"/>
  <c r="O42" i="4" s="1"/>
  <c r="L42" i="4"/>
  <c r="N42" i="4" s="1"/>
  <c r="J42" i="4"/>
  <c r="P42" i="4" s="1"/>
  <c r="I42" i="4"/>
  <c r="B42" i="4"/>
  <c r="M41" i="4"/>
  <c r="O41" i="4" s="1"/>
  <c r="L41" i="4"/>
  <c r="N41" i="4" s="1"/>
  <c r="J41" i="4"/>
  <c r="P41" i="4" s="1"/>
  <c r="I41" i="4"/>
  <c r="B41" i="4"/>
  <c r="P40" i="4"/>
  <c r="N40" i="4"/>
  <c r="M40" i="4"/>
  <c r="O40" i="4" s="1"/>
  <c r="L40" i="4"/>
  <c r="J40" i="4"/>
  <c r="I40" i="4"/>
  <c r="B40" i="4"/>
  <c r="M39" i="4"/>
  <c r="O39" i="4" s="1"/>
  <c r="L39" i="4"/>
  <c r="N39" i="4" s="1"/>
  <c r="J39" i="4"/>
  <c r="P39" i="4" s="1"/>
  <c r="I39" i="4"/>
  <c r="B39" i="4"/>
  <c r="M38" i="4"/>
  <c r="O38" i="4" s="1"/>
  <c r="L38" i="4"/>
  <c r="N38" i="4" s="1"/>
  <c r="J38" i="4"/>
  <c r="P38" i="4" s="1"/>
  <c r="I38" i="4"/>
  <c r="B38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57" i="4"/>
  <c r="M19" i="4"/>
  <c r="O19" i="4" s="1"/>
  <c r="L19" i="4"/>
  <c r="N19" i="4" s="1"/>
  <c r="J19" i="4"/>
  <c r="P19" i="4" s="1"/>
  <c r="I19" i="4"/>
  <c r="M18" i="4"/>
  <c r="O18" i="4" s="1"/>
  <c r="L18" i="4"/>
  <c r="N18" i="4" s="1"/>
  <c r="J18" i="4"/>
  <c r="P18" i="4" s="1"/>
  <c r="I18" i="4"/>
  <c r="M57" i="4"/>
  <c r="O57" i="4" s="1"/>
  <c r="L57" i="4"/>
  <c r="N57" i="4" s="1"/>
  <c r="J57" i="4"/>
  <c r="P57" i="4" s="1"/>
  <c r="I57" i="4"/>
  <c r="A60" i="4"/>
  <c r="M37" i="4"/>
  <c r="O37" i="4" s="1"/>
  <c r="L37" i="4"/>
  <c r="N37" i="4" s="1"/>
  <c r="J37" i="4"/>
  <c r="P37" i="4" s="1"/>
  <c r="I37" i="4"/>
  <c r="M35" i="4"/>
  <c r="O35" i="4" s="1"/>
  <c r="L35" i="4"/>
  <c r="N35" i="4" s="1"/>
  <c r="J35" i="4"/>
  <c r="P35" i="4" s="1"/>
  <c r="I35" i="4"/>
  <c r="M36" i="4"/>
  <c r="O36" i="4" s="1"/>
  <c r="L36" i="4"/>
  <c r="N36" i="4" s="1"/>
  <c r="J36" i="4"/>
  <c r="P36" i="4" s="1"/>
  <c r="I36" i="4"/>
  <c r="M34" i="4"/>
  <c r="O34" i="4" s="1"/>
  <c r="L34" i="4"/>
  <c r="N34" i="4" s="1"/>
  <c r="J34" i="4"/>
  <c r="P34" i="4" s="1"/>
  <c r="I34" i="4"/>
  <c r="M33" i="4"/>
  <c r="O33" i="4" s="1"/>
  <c r="L33" i="4"/>
  <c r="N33" i="4" s="1"/>
  <c r="J33" i="4"/>
  <c r="P33" i="4" s="1"/>
  <c r="I33" i="4"/>
  <c r="M32" i="4"/>
  <c r="O32" i="4" s="1"/>
  <c r="L32" i="4"/>
  <c r="N32" i="4" s="1"/>
  <c r="J32" i="4"/>
  <c r="P32" i="4" s="1"/>
  <c r="I32" i="4"/>
  <c r="M31" i="4"/>
  <c r="L31" i="4"/>
  <c r="N31" i="4" s="1"/>
  <c r="J31" i="4"/>
  <c r="P31" i="4" s="1"/>
  <c r="I31" i="4"/>
  <c r="M30" i="4"/>
  <c r="L30" i="4"/>
  <c r="J30" i="4"/>
  <c r="I30" i="4"/>
  <c r="M29" i="4"/>
  <c r="L29" i="4"/>
  <c r="J29" i="4"/>
  <c r="I29" i="4"/>
  <c r="M28" i="4"/>
  <c r="O28" i="4" s="1"/>
  <c r="L28" i="4"/>
  <c r="N28" i="4" s="1"/>
  <c r="J28" i="4"/>
  <c r="P28" i="4" s="1"/>
  <c r="I28" i="4"/>
  <c r="M27" i="4"/>
  <c r="L27" i="4"/>
  <c r="J27" i="4"/>
  <c r="P27" i="4" s="1"/>
  <c r="I27" i="4"/>
  <c r="M26" i="4"/>
  <c r="O26" i="4" s="1"/>
  <c r="L26" i="4"/>
  <c r="N26" i="4" s="1"/>
  <c r="J26" i="4"/>
  <c r="I26" i="4"/>
  <c r="M21" i="4"/>
  <c r="M22" i="4"/>
  <c r="M23" i="4"/>
  <c r="M24" i="4"/>
  <c r="M25" i="4"/>
  <c r="M20" i="4"/>
  <c r="L21" i="4"/>
  <c r="L22" i="4"/>
  <c r="L23" i="4"/>
  <c r="L24" i="4"/>
  <c r="L25" i="4"/>
  <c r="L20" i="4"/>
  <c r="F9" i="4"/>
  <c r="B9" i="4"/>
  <c r="J21" i="4"/>
  <c r="J22" i="4"/>
  <c r="J23" i="4"/>
  <c r="J24" i="4"/>
  <c r="J25" i="4"/>
  <c r="J20" i="4"/>
  <c r="I21" i="4"/>
  <c r="I22" i="4"/>
  <c r="I23" i="4"/>
  <c r="I24" i="4"/>
  <c r="I25" i="4"/>
  <c r="I20" i="4"/>
  <c r="O31" i="4" l="1"/>
  <c r="P29" i="4"/>
  <c r="N29" i="4"/>
  <c r="O29" i="4"/>
  <c r="P20" i="4"/>
  <c r="P30" i="4"/>
  <c r="N30" i="4"/>
  <c r="N27" i="4"/>
  <c r="O30" i="4"/>
  <c r="P26" i="4"/>
  <c r="O27" i="4"/>
  <c r="P24" i="4"/>
  <c r="P25" i="4"/>
  <c r="P23" i="4"/>
  <c r="P22" i="4"/>
  <c r="P21" i="4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9" i="2"/>
  <c r="A21" i="5" l="1"/>
  <c r="C4" i="5"/>
  <c r="C7" i="5"/>
  <c r="I7" i="5"/>
  <c r="F7" i="5"/>
  <c r="F11" i="5"/>
  <c r="A11" i="5"/>
  <c r="A9" i="5"/>
  <c r="A7" i="5"/>
  <c r="A4" i="5"/>
  <c r="F9" i="5" l="1"/>
  <c r="B9" i="5"/>
  <c r="O21" i="4"/>
  <c r="O22" i="4"/>
  <c r="O23" i="4"/>
  <c r="O24" i="4"/>
  <c r="O25" i="4"/>
  <c r="N21" i="4"/>
  <c r="N22" i="4"/>
  <c r="N23" i="4"/>
  <c r="N24" i="4"/>
  <c r="N25" i="4"/>
  <c r="O20" i="4"/>
  <c r="N20" i="4"/>
  <c r="O9" i="2"/>
  <c r="F60" i="4" l="1"/>
  <c r="H60" i="4"/>
  <c r="I60" i="4" l="1"/>
  <c r="H21" i="5"/>
  <c r="I21" i="5"/>
  <c r="F21" i="5"/>
  <c r="J514" i="2"/>
  <c r="I514" i="2"/>
  <c r="H514" i="2"/>
  <c r="G514" i="2"/>
  <c r="J513" i="2"/>
  <c r="I513" i="2"/>
  <c r="H513" i="2"/>
  <c r="G513" i="2"/>
  <c r="J512" i="2"/>
  <c r="I512" i="2"/>
  <c r="H512" i="2"/>
  <c r="G512" i="2"/>
  <c r="J511" i="2"/>
  <c r="I511" i="2"/>
  <c r="H511" i="2"/>
  <c r="G511" i="2"/>
  <c r="J510" i="2"/>
  <c r="I510" i="2"/>
  <c r="H510" i="2"/>
  <c r="G510" i="2"/>
  <c r="J509" i="2"/>
  <c r="I509" i="2"/>
  <c r="H509" i="2"/>
  <c r="G509" i="2"/>
  <c r="J508" i="2"/>
  <c r="I508" i="2"/>
  <c r="H508" i="2"/>
  <c r="G508" i="2"/>
  <c r="J507" i="2"/>
  <c r="I507" i="2"/>
  <c r="H507" i="2"/>
  <c r="G507" i="2"/>
  <c r="J506" i="2"/>
  <c r="I506" i="2"/>
  <c r="H506" i="2"/>
  <c r="G506" i="2"/>
  <c r="J505" i="2"/>
  <c r="I505" i="2"/>
  <c r="H505" i="2"/>
  <c r="G505" i="2"/>
  <c r="J504" i="2"/>
  <c r="I504" i="2"/>
  <c r="H504" i="2"/>
  <c r="G504" i="2"/>
  <c r="J503" i="2"/>
  <c r="I503" i="2"/>
  <c r="H503" i="2"/>
  <c r="G503" i="2"/>
  <c r="J502" i="2"/>
  <c r="I502" i="2"/>
  <c r="H502" i="2"/>
  <c r="G502" i="2"/>
  <c r="J501" i="2"/>
  <c r="I501" i="2"/>
  <c r="H501" i="2"/>
  <c r="G501" i="2"/>
  <c r="J500" i="2"/>
  <c r="I500" i="2"/>
  <c r="H500" i="2"/>
  <c r="G500" i="2"/>
  <c r="J499" i="2"/>
  <c r="I499" i="2"/>
  <c r="H499" i="2"/>
  <c r="G499" i="2"/>
  <c r="J498" i="2"/>
  <c r="I498" i="2"/>
  <c r="H498" i="2"/>
  <c r="G498" i="2"/>
  <c r="J497" i="2"/>
  <c r="I497" i="2"/>
  <c r="H497" i="2"/>
  <c r="G497" i="2"/>
  <c r="J496" i="2"/>
  <c r="I496" i="2"/>
  <c r="H496" i="2"/>
  <c r="G496" i="2"/>
  <c r="J495" i="2"/>
  <c r="I495" i="2"/>
  <c r="H495" i="2"/>
  <c r="G495" i="2"/>
  <c r="J494" i="2"/>
  <c r="I494" i="2"/>
  <c r="H494" i="2"/>
  <c r="G494" i="2"/>
  <c r="J493" i="2"/>
  <c r="I493" i="2"/>
  <c r="H493" i="2"/>
  <c r="G493" i="2"/>
  <c r="J492" i="2"/>
  <c r="I492" i="2"/>
  <c r="H492" i="2"/>
  <c r="G492" i="2"/>
  <c r="J491" i="2"/>
  <c r="I491" i="2"/>
  <c r="H491" i="2"/>
  <c r="G491" i="2"/>
  <c r="J490" i="2"/>
  <c r="I490" i="2"/>
  <c r="H490" i="2"/>
  <c r="G490" i="2"/>
  <c r="J489" i="2"/>
  <c r="I489" i="2"/>
  <c r="H489" i="2"/>
  <c r="G489" i="2"/>
  <c r="J488" i="2"/>
  <c r="I488" i="2"/>
  <c r="H488" i="2"/>
  <c r="G488" i="2"/>
  <c r="J487" i="2"/>
  <c r="I487" i="2"/>
  <c r="H487" i="2"/>
  <c r="G487" i="2"/>
  <c r="J486" i="2"/>
  <c r="I486" i="2"/>
  <c r="H486" i="2"/>
  <c r="G486" i="2"/>
  <c r="J485" i="2"/>
  <c r="I485" i="2"/>
  <c r="H485" i="2"/>
  <c r="G485" i="2"/>
  <c r="J484" i="2"/>
  <c r="I484" i="2"/>
  <c r="H484" i="2"/>
  <c r="G484" i="2"/>
  <c r="J483" i="2"/>
  <c r="I483" i="2"/>
  <c r="H483" i="2"/>
  <c r="G483" i="2"/>
  <c r="J482" i="2"/>
  <c r="I482" i="2"/>
  <c r="H482" i="2"/>
  <c r="G482" i="2"/>
  <c r="J481" i="2"/>
  <c r="I481" i="2"/>
  <c r="H481" i="2"/>
  <c r="G481" i="2"/>
  <c r="J480" i="2"/>
  <c r="I480" i="2"/>
  <c r="H480" i="2"/>
  <c r="G480" i="2"/>
  <c r="J479" i="2"/>
  <c r="I479" i="2"/>
  <c r="H479" i="2"/>
  <c r="G479" i="2"/>
  <c r="J478" i="2"/>
  <c r="I478" i="2"/>
  <c r="H478" i="2"/>
  <c r="G478" i="2"/>
  <c r="J477" i="2"/>
  <c r="I477" i="2"/>
  <c r="H477" i="2"/>
  <c r="G477" i="2"/>
  <c r="J476" i="2"/>
  <c r="I476" i="2"/>
  <c r="H476" i="2"/>
  <c r="G476" i="2"/>
  <c r="J475" i="2"/>
  <c r="I475" i="2"/>
  <c r="H475" i="2"/>
  <c r="G475" i="2"/>
  <c r="J474" i="2"/>
  <c r="I474" i="2"/>
  <c r="H474" i="2"/>
  <c r="G474" i="2"/>
  <c r="J473" i="2"/>
  <c r="I473" i="2"/>
  <c r="H473" i="2"/>
  <c r="G473" i="2"/>
  <c r="J472" i="2"/>
  <c r="I472" i="2"/>
  <c r="H472" i="2"/>
  <c r="G472" i="2"/>
  <c r="J471" i="2"/>
  <c r="I471" i="2"/>
  <c r="H471" i="2"/>
  <c r="G471" i="2"/>
  <c r="J470" i="2"/>
  <c r="I470" i="2"/>
  <c r="H470" i="2"/>
  <c r="G470" i="2"/>
  <c r="J469" i="2"/>
  <c r="I469" i="2"/>
  <c r="H469" i="2"/>
  <c r="G469" i="2"/>
  <c r="J468" i="2"/>
  <c r="I468" i="2"/>
  <c r="H468" i="2"/>
  <c r="G468" i="2"/>
  <c r="J467" i="2"/>
  <c r="I467" i="2"/>
  <c r="H467" i="2"/>
  <c r="G467" i="2"/>
  <c r="J466" i="2"/>
  <c r="I466" i="2"/>
  <c r="H466" i="2"/>
  <c r="G466" i="2"/>
  <c r="J465" i="2"/>
  <c r="I465" i="2"/>
  <c r="H465" i="2"/>
  <c r="G465" i="2"/>
  <c r="J464" i="2"/>
  <c r="I464" i="2"/>
  <c r="H464" i="2"/>
  <c r="G464" i="2"/>
  <c r="J462" i="2"/>
  <c r="I462" i="2"/>
  <c r="H462" i="2"/>
  <c r="G462" i="2"/>
  <c r="J461" i="2"/>
  <c r="I461" i="2"/>
  <c r="H461" i="2"/>
  <c r="G461" i="2"/>
  <c r="J460" i="2"/>
  <c r="I460" i="2"/>
  <c r="H460" i="2"/>
  <c r="G460" i="2"/>
  <c r="J459" i="2"/>
  <c r="I459" i="2"/>
  <c r="H459" i="2"/>
  <c r="G459" i="2"/>
  <c r="J458" i="2"/>
  <c r="I458" i="2"/>
  <c r="H458" i="2"/>
  <c r="G458" i="2"/>
  <c r="J457" i="2"/>
  <c r="I457" i="2"/>
  <c r="H457" i="2"/>
  <c r="G457" i="2"/>
  <c r="J456" i="2"/>
  <c r="I456" i="2"/>
  <c r="H456" i="2"/>
  <c r="G456" i="2"/>
  <c r="J455" i="2"/>
  <c r="I455" i="2"/>
  <c r="H455" i="2"/>
  <c r="G455" i="2"/>
  <c r="J454" i="2"/>
  <c r="I454" i="2"/>
  <c r="H454" i="2"/>
  <c r="G454" i="2"/>
  <c r="J453" i="2"/>
  <c r="I453" i="2"/>
  <c r="H453" i="2"/>
  <c r="G453" i="2"/>
  <c r="J452" i="2"/>
  <c r="I452" i="2"/>
  <c r="H452" i="2"/>
  <c r="G452" i="2"/>
  <c r="J451" i="2"/>
  <c r="I451" i="2"/>
  <c r="H451" i="2"/>
  <c r="G451" i="2"/>
  <c r="J450" i="2"/>
  <c r="I450" i="2"/>
  <c r="H450" i="2"/>
  <c r="G450" i="2"/>
  <c r="J449" i="2"/>
  <c r="I449" i="2"/>
  <c r="H449" i="2"/>
  <c r="G449" i="2"/>
  <c r="J448" i="2"/>
  <c r="I448" i="2"/>
  <c r="H448" i="2"/>
  <c r="G448" i="2"/>
  <c r="J447" i="2"/>
  <c r="I447" i="2"/>
  <c r="H447" i="2"/>
  <c r="G447" i="2"/>
  <c r="J446" i="2"/>
  <c r="I446" i="2"/>
  <c r="H446" i="2"/>
  <c r="G446" i="2"/>
  <c r="J445" i="2"/>
  <c r="I445" i="2"/>
  <c r="H445" i="2"/>
  <c r="G445" i="2"/>
  <c r="J444" i="2"/>
  <c r="I444" i="2"/>
  <c r="H444" i="2"/>
  <c r="G444" i="2"/>
  <c r="J443" i="2"/>
  <c r="I443" i="2"/>
  <c r="H443" i="2"/>
  <c r="G443" i="2"/>
  <c r="J442" i="2"/>
  <c r="I442" i="2"/>
  <c r="H442" i="2"/>
  <c r="G442" i="2"/>
  <c r="J441" i="2"/>
  <c r="I441" i="2"/>
  <c r="H441" i="2"/>
  <c r="G441" i="2"/>
  <c r="J440" i="2"/>
  <c r="I440" i="2"/>
  <c r="H440" i="2"/>
  <c r="G440" i="2"/>
  <c r="J439" i="2"/>
  <c r="I439" i="2"/>
  <c r="H439" i="2"/>
  <c r="G439" i="2"/>
  <c r="J438" i="2"/>
  <c r="I438" i="2"/>
  <c r="H438" i="2"/>
  <c r="G438" i="2"/>
  <c r="J437" i="2"/>
  <c r="I437" i="2"/>
  <c r="H437" i="2"/>
  <c r="G437" i="2"/>
  <c r="J436" i="2"/>
  <c r="I436" i="2"/>
  <c r="H436" i="2"/>
  <c r="G436" i="2"/>
  <c r="J435" i="2"/>
  <c r="I435" i="2"/>
  <c r="H435" i="2"/>
  <c r="G435" i="2"/>
  <c r="J434" i="2"/>
  <c r="I434" i="2"/>
  <c r="H434" i="2"/>
  <c r="G434" i="2"/>
  <c r="J433" i="2"/>
  <c r="I433" i="2"/>
  <c r="H433" i="2"/>
  <c r="G433" i="2"/>
  <c r="J432" i="2"/>
  <c r="I432" i="2"/>
  <c r="H432" i="2"/>
  <c r="G432" i="2"/>
  <c r="J431" i="2"/>
  <c r="I431" i="2"/>
  <c r="H431" i="2"/>
  <c r="G431" i="2"/>
  <c r="J430" i="2"/>
  <c r="I430" i="2"/>
  <c r="H430" i="2"/>
  <c r="G430" i="2"/>
  <c r="J429" i="2"/>
  <c r="I429" i="2"/>
  <c r="H429" i="2"/>
  <c r="G429" i="2"/>
  <c r="J422" i="2"/>
  <c r="I422" i="2"/>
  <c r="H422" i="2"/>
  <c r="G422" i="2"/>
  <c r="J421" i="2"/>
  <c r="I421" i="2"/>
  <c r="H421" i="2"/>
  <c r="G421" i="2"/>
  <c r="J420" i="2"/>
  <c r="I420" i="2"/>
  <c r="H420" i="2"/>
  <c r="G420" i="2"/>
  <c r="J419" i="2"/>
  <c r="I419" i="2"/>
  <c r="H419" i="2"/>
  <c r="G419" i="2"/>
  <c r="J418" i="2"/>
  <c r="I418" i="2"/>
  <c r="H418" i="2"/>
  <c r="G418" i="2"/>
  <c r="J417" i="2"/>
  <c r="I417" i="2"/>
  <c r="H417" i="2"/>
  <c r="G417" i="2"/>
  <c r="J416" i="2"/>
  <c r="I416" i="2"/>
  <c r="H416" i="2"/>
  <c r="G416" i="2"/>
  <c r="J415" i="2"/>
  <c r="I415" i="2"/>
  <c r="H415" i="2"/>
  <c r="G415" i="2"/>
  <c r="J414" i="2"/>
  <c r="I414" i="2"/>
  <c r="H414" i="2"/>
  <c r="G414" i="2"/>
  <c r="J413" i="2"/>
  <c r="I413" i="2"/>
  <c r="H413" i="2"/>
  <c r="G413" i="2"/>
  <c r="J412" i="2"/>
  <c r="I412" i="2"/>
  <c r="H412" i="2"/>
  <c r="G412" i="2"/>
  <c r="J411" i="2"/>
  <c r="I411" i="2"/>
  <c r="H411" i="2"/>
  <c r="G411" i="2"/>
  <c r="J409" i="2"/>
  <c r="I409" i="2"/>
  <c r="H409" i="2"/>
  <c r="G409" i="2"/>
  <c r="J408" i="2"/>
  <c r="I408" i="2"/>
  <c r="H408" i="2"/>
  <c r="G408" i="2"/>
  <c r="J407" i="2"/>
  <c r="I407" i="2"/>
  <c r="H407" i="2"/>
  <c r="G407" i="2"/>
  <c r="J406" i="2"/>
  <c r="I406" i="2"/>
  <c r="H406" i="2"/>
  <c r="G406" i="2"/>
  <c r="J405" i="2"/>
  <c r="I405" i="2"/>
  <c r="H405" i="2"/>
  <c r="G405" i="2"/>
  <c r="J404" i="2"/>
  <c r="I404" i="2"/>
  <c r="H404" i="2"/>
  <c r="G404" i="2"/>
  <c r="J403" i="2"/>
  <c r="I403" i="2"/>
  <c r="H403" i="2"/>
  <c r="G403" i="2"/>
  <c r="J402" i="2"/>
  <c r="I402" i="2"/>
  <c r="H402" i="2"/>
  <c r="G402" i="2"/>
  <c r="J401" i="2"/>
  <c r="I401" i="2"/>
  <c r="H401" i="2"/>
  <c r="G401" i="2"/>
  <c r="J400" i="2"/>
  <c r="I400" i="2"/>
  <c r="H400" i="2"/>
  <c r="G400" i="2"/>
  <c r="J399" i="2"/>
  <c r="I399" i="2"/>
  <c r="H399" i="2"/>
  <c r="G399" i="2"/>
  <c r="J398" i="2"/>
  <c r="I398" i="2"/>
  <c r="H398" i="2"/>
  <c r="G398" i="2"/>
  <c r="J397" i="2"/>
  <c r="I397" i="2"/>
  <c r="H397" i="2"/>
  <c r="G397" i="2"/>
  <c r="J395" i="2"/>
  <c r="I395" i="2"/>
  <c r="H395" i="2"/>
  <c r="G395" i="2"/>
  <c r="J394" i="2"/>
  <c r="I394" i="2"/>
  <c r="H394" i="2"/>
  <c r="G394" i="2"/>
  <c r="J393" i="2"/>
  <c r="I393" i="2"/>
  <c r="H393" i="2"/>
  <c r="G393" i="2"/>
  <c r="J392" i="2"/>
  <c r="I392" i="2"/>
  <c r="H392" i="2"/>
  <c r="G392" i="2"/>
  <c r="J391" i="2"/>
  <c r="I391" i="2"/>
  <c r="H391" i="2"/>
  <c r="G391" i="2"/>
  <c r="J390" i="2"/>
  <c r="I390" i="2"/>
  <c r="H390" i="2"/>
  <c r="G390" i="2"/>
  <c r="J389" i="2"/>
  <c r="I389" i="2"/>
  <c r="H389" i="2"/>
  <c r="G389" i="2"/>
  <c r="J388" i="2"/>
  <c r="I388" i="2"/>
  <c r="H388" i="2"/>
  <c r="G388" i="2"/>
  <c r="J387" i="2"/>
  <c r="I387" i="2"/>
  <c r="H387" i="2"/>
  <c r="G387" i="2"/>
  <c r="J386" i="2"/>
  <c r="I386" i="2"/>
  <c r="H386" i="2"/>
  <c r="G386" i="2"/>
  <c r="J385" i="2"/>
  <c r="I385" i="2"/>
  <c r="H385" i="2"/>
  <c r="G385" i="2"/>
  <c r="J384" i="2"/>
  <c r="I384" i="2"/>
  <c r="H384" i="2"/>
  <c r="G384" i="2"/>
  <c r="J383" i="2"/>
  <c r="I383" i="2"/>
  <c r="H383" i="2"/>
  <c r="G383" i="2"/>
  <c r="J382" i="2"/>
  <c r="I382" i="2"/>
  <c r="H382" i="2"/>
  <c r="G382" i="2"/>
  <c r="J381" i="2"/>
  <c r="I381" i="2"/>
  <c r="H381" i="2"/>
  <c r="G381" i="2"/>
  <c r="J380" i="2"/>
  <c r="I380" i="2"/>
  <c r="H380" i="2"/>
  <c r="G380" i="2"/>
  <c r="J379" i="2"/>
  <c r="I379" i="2"/>
  <c r="H379" i="2"/>
  <c r="G379" i="2"/>
  <c r="J378" i="2"/>
  <c r="I378" i="2"/>
  <c r="H378" i="2"/>
  <c r="G378" i="2"/>
  <c r="J377" i="2"/>
  <c r="I377" i="2"/>
  <c r="H377" i="2"/>
  <c r="G377" i="2"/>
  <c r="J376" i="2"/>
  <c r="I376" i="2"/>
  <c r="H376" i="2"/>
  <c r="G376" i="2"/>
  <c r="J375" i="2"/>
  <c r="I375" i="2"/>
  <c r="H375" i="2"/>
  <c r="G375" i="2"/>
  <c r="J374" i="2"/>
  <c r="I374" i="2"/>
  <c r="H374" i="2"/>
  <c r="G374" i="2"/>
  <c r="J373" i="2"/>
  <c r="I373" i="2"/>
  <c r="H373" i="2"/>
  <c r="G373" i="2"/>
  <c r="J371" i="2"/>
  <c r="I371" i="2"/>
  <c r="H371" i="2"/>
  <c r="G371" i="2"/>
  <c r="J370" i="2"/>
  <c r="I370" i="2"/>
  <c r="H370" i="2"/>
  <c r="G370" i="2"/>
  <c r="J369" i="2"/>
  <c r="I369" i="2"/>
  <c r="H369" i="2"/>
  <c r="G369" i="2"/>
  <c r="J368" i="2"/>
  <c r="I368" i="2"/>
  <c r="H368" i="2"/>
  <c r="G368" i="2"/>
  <c r="J367" i="2"/>
  <c r="I367" i="2"/>
  <c r="H367" i="2"/>
  <c r="G367" i="2"/>
  <c r="J366" i="2"/>
  <c r="I366" i="2"/>
  <c r="H366" i="2"/>
  <c r="G366" i="2"/>
  <c r="J365" i="2"/>
  <c r="I365" i="2"/>
  <c r="H365" i="2"/>
  <c r="G365" i="2"/>
  <c r="J364" i="2"/>
  <c r="I364" i="2"/>
  <c r="H364" i="2"/>
  <c r="G364" i="2"/>
  <c r="J363" i="2"/>
  <c r="I363" i="2"/>
  <c r="H363" i="2"/>
  <c r="G363" i="2"/>
  <c r="J362" i="2"/>
  <c r="I362" i="2"/>
  <c r="H362" i="2"/>
  <c r="G362" i="2"/>
  <c r="J361" i="2"/>
  <c r="I361" i="2"/>
  <c r="H361" i="2"/>
  <c r="G361" i="2"/>
  <c r="J360" i="2"/>
  <c r="I360" i="2"/>
  <c r="H360" i="2"/>
  <c r="G360" i="2"/>
  <c r="J359" i="2"/>
  <c r="I359" i="2"/>
  <c r="H359" i="2"/>
  <c r="G359" i="2"/>
  <c r="J358" i="2"/>
  <c r="I358" i="2"/>
  <c r="H358" i="2"/>
  <c r="G358" i="2"/>
  <c r="J357" i="2"/>
  <c r="I357" i="2"/>
  <c r="H357" i="2"/>
  <c r="G357" i="2"/>
  <c r="J356" i="2"/>
  <c r="I356" i="2"/>
  <c r="H356" i="2"/>
  <c r="G356" i="2"/>
  <c r="J355" i="2"/>
  <c r="I355" i="2"/>
  <c r="H355" i="2"/>
  <c r="G355" i="2"/>
  <c r="J354" i="2"/>
  <c r="I354" i="2"/>
  <c r="H354" i="2"/>
  <c r="G354" i="2"/>
  <c r="J353" i="2"/>
  <c r="I353" i="2"/>
  <c r="H353" i="2"/>
  <c r="G353" i="2"/>
  <c r="J352" i="2"/>
  <c r="I352" i="2"/>
  <c r="H352" i="2"/>
  <c r="G352" i="2"/>
  <c r="J351" i="2"/>
  <c r="I351" i="2"/>
  <c r="H351" i="2"/>
  <c r="G351" i="2"/>
  <c r="J350" i="2"/>
  <c r="I350" i="2"/>
  <c r="H350" i="2"/>
  <c r="G350" i="2"/>
  <c r="J349" i="2"/>
  <c r="I349" i="2"/>
  <c r="H349" i="2"/>
  <c r="G349" i="2"/>
  <c r="J348" i="2"/>
  <c r="I348" i="2"/>
  <c r="H348" i="2"/>
  <c r="G348" i="2"/>
  <c r="J347" i="2"/>
  <c r="I347" i="2"/>
  <c r="H347" i="2"/>
  <c r="G347" i="2"/>
  <c r="J346" i="2"/>
  <c r="I346" i="2"/>
  <c r="H346" i="2"/>
  <c r="G346" i="2"/>
  <c r="J345" i="2"/>
  <c r="I345" i="2"/>
  <c r="H345" i="2"/>
  <c r="G345" i="2"/>
  <c r="J344" i="2"/>
  <c r="I344" i="2"/>
  <c r="H344" i="2"/>
  <c r="G344" i="2"/>
  <c r="J343" i="2"/>
  <c r="I343" i="2"/>
  <c r="H343" i="2"/>
  <c r="G343" i="2"/>
  <c r="J342" i="2"/>
  <c r="I342" i="2"/>
  <c r="H342" i="2"/>
  <c r="G342" i="2"/>
  <c r="J341" i="2"/>
  <c r="I341" i="2"/>
  <c r="H341" i="2"/>
  <c r="G341" i="2"/>
  <c r="J340" i="2"/>
  <c r="I340" i="2"/>
  <c r="H340" i="2"/>
  <c r="G340" i="2"/>
  <c r="J339" i="2"/>
  <c r="I339" i="2"/>
  <c r="H339" i="2"/>
  <c r="G339" i="2"/>
  <c r="J338" i="2"/>
  <c r="I338" i="2"/>
  <c r="H338" i="2"/>
  <c r="G338" i="2"/>
  <c r="J337" i="2"/>
  <c r="I337" i="2"/>
  <c r="H337" i="2"/>
  <c r="G337" i="2"/>
  <c r="J336" i="2"/>
  <c r="I336" i="2"/>
  <c r="H336" i="2"/>
  <c r="G336" i="2"/>
  <c r="J335" i="2"/>
  <c r="I335" i="2"/>
  <c r="H335" i="2"/>
  <c r="G335" i="2"/>
  <c r="J334" i="2"/>
  <c r="I334" i="2"/>
  <c r="H334" i="2"/>
  <c r="G334" i="2"/>
  <c r="J333" i="2"/>
  <c r="I333" i="2"/>
  <c r="H333" i="2"/>
  <c r="G333" i="2"/>
  <c r="J332" i="2"/>
  <c r="I332" i="2"/>
  <c r="H332" i="2"/>
  <c r="G332" i="2"/>
  <c r="J331" i="2"/>
  <c r="I331" i="2"/>
  <c r="H331" i="2"/>
  <c r="G331" i="2"/>
  <c r="J330" i="2"/>
  <c r="I330" i="2"/>
  <c r="H330" i="2"/>
  <c r="G330" i="2"/>
  <c r="J329" i="2"/>
  <c r="I329" i="2"/>
  <c r="H329" i="2"/>
  <c r="G329" i="2"/>
  <c r="J328" i="2"/>
  <c r="I328" i="2"/>
  <c r="H328" i="2"/>
  <c r="G328" i="2"/>
  <c r="J327" i="2"/>
  <c r="I327" i="2"/>
  <c r="H327" i="2"/>
  <c r="G327" i="2"/>
  <c r="J326" i="2"/>
  <c r="I326" i="2"/>
  <c r="H326" i="2"/>
  <c r="G326" i="2"/>
  <c r="J325" i="2"/>
  <c r="I325" i="2"/>
  <c r="H325" i="2"/>
  <c r="G325" i="2"/>
  <c r="J324" i="2"/>
  <c r="I324" i="2"/>
  <c r="H324" i="2"/>
  <c r="G324" i="2"/>
  <c r="J323" i="2"/>
  <c r="I323" i="2"/>
  <c r="H323" i="2"/>
  <c r="G323" i="2"/>
  <c r="J322" i="2"/>
  <c r="I322" i="2"/>
  <c r="H322" i="2"/>
  <c r="G322" i="2"/>
  <c r="J321" i="2"/>
  <c r="I321" i="2"/>
  <c r="H321" i="2"/>
  <c r="G321" i="2"/>
  <c r="J320" i="2"/>
  <c r="I320" i="2"/>
  <c r="H320" i="2"/>
  <c r="G320" i="2"/>
  <c r="J319" i="2"/>
  <c r="I319" i="2"/>
  <c r="H319" i="2"/>
  <c r="G319" i="2"/>
  <c r="J318" i="2"/>
  <c r="I318" i="2"/>
  <c r="H318" i="2"/>
  <c r="G318" i="2"/>
  <c r="J317" i="2"/>
  <c r="I317" i="2"/>
  <c r="H317" i="2"/>
  <c r="G317" i="2"/>
  <c r="J316" i="2"/>
  <c r="I316" i="2"/>
  <c r="H316" i="2"/>
  <c r="G316" i="2"/>
  <c r="J315" i="2"/>
  <c r="I315" i="2"/>
  <c r="H315" i="2"/>
  <c r="G315" i="2"/>
  <c r="J314" i="2"/>
  <c r="I314" i="2"/>
  <c r="H314" i="2"/>
  <c r="G314" i="2"/>
  <c r="J313" i="2"/>
  <c r="I313" i="2"/>
  <c r="H313" i="2"/>
  <c r="G313" i="2"/>
  <c r="J312" i="2"/>
  <c r="I312" i="2"/>
  <c r="H312" i="2"/>
  <c r="G312" i="2"/>
  <c r="J311" i="2"/>
  <c r="I311" i="2"/>
  <c r="H311" i="2"/>
  <c r="G311" i="2"/>
  <c r="J310" i="2"/>
  <c r="I310" i="2"/>
  <c r="H310" i="2"/>
  <c r="G310" i="2"/>
  <c r="J309" i="2"/>
  <c r="I309" i="2"/>
  <c r="H309" i="2"/>
  <c r="G309" i="2"/>
  <c r="J308" i="2"/>
  <c r="I308" i="2"/>
  <c r="H308" i="2"/>
  <c r="G308" i="2"/>
  <c r="J307" i="2"/>
  <c r="I307" i="2"/>
  <c r="H307" i="2"/>
  <c r="G307" i="2"/>
  <c r="J306" i="2"/>
  <c r="I306" i="2"/>
  <c r="H306" i="2"/>
  <c r="G306" i="2"/>
  <c r="J305" i="2"/>
  <c r="I305" i="2"/>
  <c r="H305" i="2"/>
  <c r="G305" i="2"/>
  <c r="J304" i="2"/>
  <c r="I304" i="2"/>
  <c r="H304" i="2"/>
  <c r="G304" i="2"/>
  <c r="J303" i="2"/>
  <c r="I303" i="2"/>
  <c r="H303" i="2"/>
  <c r="G303" i="2"/>
  <c r="J302" i="2"/>
  <c r="I302" i="2"/>
  <c r="H302" i="2"/>
  <c r="G302" i="2"/>
  <c r="J301" i="2"/>
  <c r="I301" i="2"/>
  <c r="H301" i="2"/>
  <c r="G301" i="2"/>
  <c r="J300" i="2"/>
  <c r="I300" i="2"/>
  <c r="H300" i="2"/>
  <c r="G300" i="2"/>
  <c r="J299" i="2"/>
  <c r="I299" i="2"/>
  <c r="H299" i="2"/>
  <c r="G299" i="2"/>
  <c r="J298" i="2"/>
  <c r="I298" i="2"/>
  <c r="H298" i="2"/>
  <c r="G298" i="2"/>
  <c r="J297" i="2"/>
  <c r="I297" i="2"/>
  <c r="H297" i="2"/>
  <c r="G297" i="2"/>
  <c r="J296" i="2"/>
  <c r="I296" i="2"/>
  <c r="H296" i="2"/>
  <c r="G296" i="2"/>
  <c r="J295" i="2"/>
  <c r="I295" i="2"/>
  <c r="H295" i="2"/>
  <c r="G295" i="2"/>
  <c r="J294" i="2"/>
  <c r="I294" i="2"/>
  <c r="H294" i="2"/>
  <c r="G294" i="2"/>
  <c r="J293" i="2"/>
  <c r="I293" i="2"/>
  <c r="H293" i="2"/>
  <c r="G293" i="2"/>
  <c r="J292" i="2"/>
  <c r="I292" i="2"/>
  <c r="H292" i="2"/>
  <c r="G292" i="2"/>
  <c r="J291" i="2"/>
  <c r="I291" i="2"/>
  <c r="H291" i="2"/>
  <c r="G291" i="2"/>
  <c r="J290" i="2"/>
  <c r="I290" i="2"/>
  <c r="H290" i="2"/>
  <c r="G290" i="2"/>
  <c r="J289" i="2"/>
  <c r="I289" i="2"/>
  <c r="H289" i="2"/>
  <c r="G289" i="2"/>
  <c r="J288" i="2"/>
  <c r="I288" i="2"/>
  <c r="H288" i="2"/>
  <c r="G288" i="2"/>
  <c r="J287" i="2"/>
  <c r="I287" i="2"/>
  <c r="H287" i="2"/>
  <c r="G287" i="2"/>
  <c r="J286" i="2"/>
  <c r="I286" i="2"/>
  <c r="H286" i="2"/>
  <c r="G286" i="2"/>
  <c r="J285" i="2"/>
  <c r="I285" i="2"/>
  <c r="H285" i="2"/>
  <c r="G285" i="2"/>
  <c r="J284" i="2"/>
  <c r="I284" i="2"/>
  <c r="H284" i="2"/>
  <c r="G284" i="2"/>
  <c r="J283" i="2"/>
  <c r="I283" i="2"/>
  <c r="H283" i="2"/>
  <c r="G283" i="2"/>
  <c r="J282" i="2"/>
  <c r="I282" i="2"/>
  <c r="H282" i="2"/>
  <c r="G282" i="2"/>
  <c r="J281" i="2"/>
  <c r="I281" i="2"/>
  <c r="H281" i="2"/>
  <c r="G281" i="2"/>
  <c r="J280" i="2"/>
  <c r="I280" i="2"/>
  <c r="H280" i="2"/>
  <c r="G280" i="2"/>
  <c r="J279" i="2"/>
  <c r="I279" i="2"/>
  <c r="H279" i="2"/>
  <c r="G279" i="2"/>
  <c r="J278" i="2"/>
  <c r="I278" i="2"/>
  <c r="H278" i="2"/>
  <c r="G278" i="2"/>
  <c r="J277" i="2"/>
  <c r="I277" i="2"/>
  <c r="H277" i="2"/>
  <c r="G277" i="2"/>
  <c r="J276" i="2"/>
  <c r="I276" i="2"/>
  <c r="H276" i="2"/>
  <c r="G276" i="2"/>
  <c r="J275" i="2"/>
  <c r="I275" i="2"/>
  <c r="H275" i="2"/>
  <c r="G275" i="2"/>
  <c r="J274" i="2"/>
  <c r="I274" i="2"/>
  <c r="H274" i="2"/>
  <c r="G274" i="2"/>
  <c r="J273" i="2"/>
  <c r="I273" i="2"/>
  <c r="H273" i="2"/>
  <c r="G273" i="2"/>
  <c r="J272" i="2"/>
  <c r="I272" i="2"/>
  <c r="H272" i="2"/>
  <c r="G272" i="2"/>
  <c r="J271" i="2"/>
  <c r="I271" i="2"/>
  <c r="H271" i="2"/>
  <c r="G271" i="2"/>
  <c r="J270" i="2"/>
  <c r="I270" i="2"/>
  <c r="H270" i="2"/>
  <c r="G270" i="2"/>
  <c r="J269" i="2"/>
  <c r="I269" i="2"/>
  <c r="H269" i="2"/>
  <c r="G269" i="2"/>
  <c r="J268" i="2"/>
  <c r="I268" i="2"/>
  <c r="H268" i="2"/>
  <c r="G268" i="2"/>
  <c r="J267" i="2"/>
  <c r="I267" i="2"/>
  <c r="H267" i="2"/>
  <c r="G267" i="2"/>
  <c r="J266" i="2"/>
  <c r="I266" i="2"/>
  <c r="H266" i="2"/>
  <c r="G266" i="2"/>
  <c r="J265" i="2"/>
  <c r="I265" i="2"/>
  <c r="H265" i="2"/>
  <c r="G265" i="2"/>
  <c r="J264" i="2"/>
  <c r="I264" i="2"/>
  <c r="H264" i="2"/>
  <c r="G264" i="2"/>
  <c r="J263" i="2"/>
  <c r="I263" i="2"/>
  <c r="H263" i="2"/>
  <c r="G263" i="2"/>
  <c r="J262" i="2"/>
  <c r="I262" i="2"/>
  <c r="H262" i="2"/>
  <c r="G262" i="2"/>
  <c r="J261" i="2"/>
  <c r="I261" i="2"/>
  <c r="H261" i="2"/>
  <c r="G261" i="2"/>
  <c r="J260" i="2"/>
  <c r="I260" i="2"/>
  <c r="H260" i="2"/>
  <c r="G260" i="2"/>
  <c r="J259" i="2"/>
  <c r="I259" i="2"/>
  <c r="H259" i="2"/>
  <c r="G259" i="2"/>
  <c r="J258" i="2"/>
  <c r="I258" i="2"/>
  <c r="H258" i="2"/>
  <c r="G258" i="2"/>
  <c r="J257" i="2"/>
  <c r="I257" i="2"/>
  <c r="H257" i="2"/>
  <c r="G257" i="2"/>
  <c r="J256" i="2"/>
  <c r="I256" i="2"/>
  <c r="H256" i="2"/>
  <c r="G256" i="2"/>
  <c r="J255" i="2"/>
  <c r="I255" i="2"/>
  <c r="H255" i="2"/>
  <c r="G255" i="2"/>
  <c r="J254" i="2"/>
  <c r="I254" i="2"/>
  <c r="H254" i="2"/>
  <c r="G254" i="2"/>
  <c r="J253" i="2"/>
  <c r="I253" i="2"/>
  <c r="H253" i="2"/>
  <c r="G253" i="2"/>
  <c r="J252" i="2"/>
  <c r="I252" i="2"/>
  <c r="H252" i="2"/>
  <c r="G252" i="2"/>
  <c r="J251" i="2"/>
  <c r="I251" i="2"/>
  <c r="H251" i="2"/>
  <c r="G251" i="2"/>
  <c r="J250" i="2"/>
  <c r="I250" i="2"/>
  <c r="H250" i="2"/>
  <c r="G250" i="2"/>
  <c r="J249" i="2"/>
  <c r="I249" i="2"/>
  <c r="H249" i="2"/>
  <c r="G249" i="2"/>
  <c r="J248" i="2"/>
  <c r="I248" i="2"/>
  <c r="H248" i="2"/>
  <c r="G248" i="2"/>
  <c r="J247" i="2"/>
  <c r="I247" i="2"/>
  <c r="H247" i="2"/>
  <c r="G247" i="2"/>
  <c r="J246" i="2"/>
  <c r="I246" i="2"/>
  <c r="H246" i="2"/>
  <c r="G246" i="2"/>
  <c r="J245" i="2"/>
  <c r="I245" i="2"/>
  <c r="H245" i="2"/>
  <c r="G245" i="2"/>
  <c r="J244" i="2"/>
  <c r="I244" i="2"/>
  <c r="H244" i="2"/>
  <c r="G244" i="2"/>
  <c r="J243" i="2"/>
  <c r="I243" i="2"/>
  <c r="H243" i="2"/>
  <c r="G243" i="2"/>
  <c r="J242" i="2"/>
  <c r="I242" i="2"/>
  <c r="H242" i="2"/>
  <c r="G242" i="2"/>
  <c r="J239" i="2"/>
  <c r="I239" i="2"/>
  <c r="H239" i="2"/>
  <c r="G239" i="2"/>
  <c r="J238" i="2"/>
  <c r="I238" i="2"/>
  <c r="H238" i="2"/>
  <c r="G238" i="2"/>
  <c r="J237" i="2"/>
  <c r="I237" i="2"/>
  <c r="H237" i="2"/>
  <c r="G237" i="2"/>
  <c r="J236" i="2"/>
  <c r="I236" i="2"/>
  <c r="H236" i="2"/>
  <c r="G236" i="2"/>
  <c r="J235" i="2"/>
  <c r="I235" i="2"/>
  <c r="H235" i="2"/>
  <c r="G235" i="2"/>
  <c r="J234" i="2"/>
  <c r="I234" i="2"/>
  <c r="H234" i="2"/>
  <c r="G234" i="2"/>
  <c r="J233" i="2"/>
  <c r="I233" i="2"/>
  <c r="H233" i="2"/>
  <c r="G233" i="2"/>
  <c r="J232" i="2"/>
  <c r="I232" i="2"/>
  <c r="H232" i="2"/>
  <c r="G232" i="2"/>
  <c r="J231" i="2"/>
  <c r="I231" i="2"/>
  <c r="H231" i="2"/>
  <c r="G231" i="2"/>
  <c r="J230" i="2"/>
  <c r="I230" i="2"/>
  <c r="H230" i="2"/>
  <c r="G230" i="2"/>
  <c r="J229" i="2"/>
  <c r="I229" i="2"/>
  <c r="H229" i="2"/>
  <c r="G229" i="2"/>
  <c r="J227" i="2"/>
  <c r="I227" i="2"/>
  <c r="H227" i="2"/>
  <c r="G227" i="2"/>
  <c r="J226" i="2"/>
  <c r="I226" i="2"/>
  <c r="H226" i="2"/>
  <c r="G226" i="2"/>
  <c r="J225" i="2"/>
  <c r="I225" i="2"/>
  <c r="H225" i="2"/>
  <c r="G225" i="2"/>
  <c r="J224" i="2"/>
  <c r="I224" i="2"/>
  <c r="H224" i="2"/>
  <c r="G224" i="2"/>
  <c r="J223" i="2"/>
  <c r="I223" i="2"/>
  <c r="H223" i="2"/>
  <c r="G223" i="2"/>
  <c r="J222" i="2"/>
  <c r="I222" i="2"/>
  <c r="H222" i="2"/>
  <c r="G222" i="2"/>
  <c r="J221" i="2"/>
  <c r="I221" i="2"/>
  <c r="H221" i="2"/>
  <c r="G221" i="2"/>
  <c r="J220" i="2"/>
  <c r="I220" i="2"/>
  <c r="H220" i="2"/>
  <c r="G220" i="2"/>
  <c r="J219" i="2"/>
  <c r="I219" i="2"/>
  <c r="H219" i="2"/>
  <c r="G219" i="2"/>
  <c r="J218" i="2"/>
  <c r="I218" i="2"/>
  <c r="H218" i="2"/>
  <c r="G218" i="2"/>
  <c r="J217" i="2"/>
  <c r="I217" i="2"/>
  <c r="H217" i="2"/>
  <c r="G217" i="2"/>
  <c r="J216" i="2"/>
  <c r="I216" i="2"/>
  <c r="H216" i="2"/>
  <c r="G216" i="2"/>
  <c r="J215" i="2"/>
  <c r="I215" i="2"/>
  <c r="H215" i="2"/>
  <c r="G215" i="2"/>
  <c r="J214" i="2"/>
  <c r="I214" i="2"/>
  <c r="H214" i="2"/>
  <c r="G214" i="2"/>
  <c r="J213" i="2"/>
  <c r="I213" i="2"/>
  <c r="H213" i="2"/>
  <c r="G213" i="2"/>
  <c r="J212" i="2"/>
  <c r="I212" i="2"/>
  <c r="H212" i="2"/>
  <c r="G212" i="2"/>
  <c r="J211" i="2"/>
  <c r="I211" i="2"/>
  <c r="H211" i="2"/>
  <c r="G211" i="2"/>
  <c r="J210" i="2"/>
  <c r="I210" i="2"/>
  <c r="H210" i="2"/>
  <c r="G210" i="2"/>
  <c r="J208" i="2"/>
  <c r="I208" i="2"/>
  <c r="H208" i="2"/>
  <c r="G208" i="2"/>
  <c r="J207" i="2"/>
  <c r="I207" i="2"/>
  <c r="H207" i="2"/>
  <c r="G207" i="2"/>
  <c r="J206" i="2"/>
  <c r="I206" i="2"/>
  <c r="H206" i="2"/>
  <c r="G206" i="2"/>
  <c r="J205" i="2"/>
  <c r="I205" i="2"/>
  <c r="H205" i="2"/>
  <c r="G205" i="2"/>
  <c r="J204" i="2"/>
  <c r="I204" i="2"/>
  <c r="H204" i="2"/>
  <c r="G204" i="2"/>
  <c r="J203" i="2"/>
  <c r="I203" i="2"/>
  <c r="H203" i="2"/>
  <c r="G203" i="2"/>
  <c r="J202" i="2"/>
  <c r="I202" i="2"/>
  <c r="H202" i="2"/>
  <c r="G202" i="2"/>
  <c r="J201" i="2"/>
  <c r="I201" i="2"/>
  <c r="H201" i="2"/>
  <c r="G201" i="2"/>
  <c r="J200" i="2"/>
  <c r="I200" i="2"/>
  <c r="H200" i="2"/>
  <c r="G200" i="2"/>
  <c r="J199" i="2"/>
  <c r="I199" i="2"/>
  <c r="H199" i="2"/>
  <c r="G199" i="2"/>
  <c r="J198" i="2"/>
  <c r="I198" i="2"/>
  <c r="H198" i="2"/>
  <c r="G198" i="2"/>
  <c r="J197" i="2"/>
  <c r="I197" i="2"/>
  <c r="H197" i="2"/>
  <c r="G197" i="2"/>
  <c r="J196" i="2"/>
  <c r="I196" i="2"/>
  <c r="H196" i="2"/>
  <c r="G196" i="2"/>
  <c r="J195" i="2"/>
  <c r="I195" i="2"/>
  <c r="H195" i="2"/>
  <c r="G195" i="2"/>
  <c r="J194" i="2"/>
  <c r="I194" i="2"/>
  <c r="H194" i="2"/>
  <c r="G194" i="2"/>
  <c r="J193" i="2"/>
  <c r="I193" i="2"/>
  <c r="H193" i="2"/>
  <c r="G193" i="2"/>
  <c r="J192" i="2"/>
  <c r="I192" i="2"/>
  <c r="H192" i="2"/>
  <c r="G192" i="2"/>
  <c r="J190" i="2"/>
  <c r="I190" i="2"/>
  <c r="H190" i="2"/>
  <c r="G190" i="2"/>
  <c r="J189" i="2"/>
  <c r="I189" i="2"/>
  <c r="H189" i="2"/>
  <c r="G189" i="2"/>
  <c r="J188" i="2"/>
  <c r="I188" i="2"/>
  <c r="H188" i="2"/>
  <c r="G188" i="2"/>
  <c r="J187" i="2"/>
  <c r="I187" i="2"/>
  <c r="H187" i="2"/>
  <c r="G187" i="2"/>
  <c r="J186" i="2"/>
  <c r="I186" i="2"/>
  <c r="H186" i="2"/>
  <c r="G186" i="2"/>
  <c r="J185" i="2"/>
  <c r="I185" i="2"/>
  <c r="H185" i="2"/>
  <c r="G185" i="2"/>
  <c r="J184" i="2"/>
  <c r="I184" i="2"/>
  <c r="H184" i="2"/>
  <c r="G184" i="2"/>
  <c r="J183" i="2"/>
  <c r="I183" i="2"/>
  <c r="H183" i="2"/>
  <c r="G183" i="2"/>
  <c r="J182" i="2"/>
  <c r="I182" i="2"/>
  <c r="H182" i="2"/>
  <c r="G182" i="2"/>
  <c r="J181" i="2"/>
  <c r="I181" i="2"/>
  <c r="H181" i="2"/>
  <c r="G181" i="2"/>
  <c r="J180" i="2"/>
  <c r="I180" i="2"/>
  <c r="H180" i="2"/>
  <c r="G180" i="2"/>
  <c r="J179" i="2"/>
  <c r="I179" i="2"/>
  <c r="H179" i="2"/>
  <c r="G179" i="2"/>
  <c r="J178" i="2"/>
  <c r="I178" i="2"/>
  <c r="H178" i="2"/>
  <c r="G178" i="2"/>
  <c r="J177" i="2"/>
  <c r="I177" i="2"/>
  <c r="H177" i="2"/>
  <c r="G177" i="2"/>
  <c r="J176" i="2"/>
  <c r="I176" i="2"/>
  <c r="H176" i="2"/>
  <c r="G176" i="2"/>
  <c r="J175" i="2"/>
  <c r="I175" i="2"/>
  <c r="H175" i="2"/>
  <c r="G175" i="2"/>
  <c r="J174" i="2"/>
  <c r="I174" i="2"/>
  <c r="H174" i="2"/>
  <c r="G174" i="2"/>
  <c r="J173" i="2"/>
  <c r="I173" i="2"/>
  <c r="H173" i="2"/>
  <c r="G173" i="2"/>
  <c r="J172" i="2"/>
  <c r="I172" i="2"/>
  <c r="H172" i="2"/>
  <c r="G172" i="2"/>
  <c r="J171" i="2"/>
  <c r="I171" i="2"/>
  <c r="H171" i="2"/>
  <c r="G171" i="2"/>
  <c r="J170" i="2"/>
  <c r="I170" i="2"/>
  <c r="H170" i="2"/>
  <c r="G170" i="2"/>
  <c r="J169" i="2"/>
  <c r="I169" i="2"/>
  <c r="H169" i="2"/>
  <c r="G169" i="2"/>
  <c r="J168" i="2"/>
  <c r="I168" i="2"/>
  <c r="H168" i="2"/>
  <c r="G168" i="2"/>
  <c r="J167" i="2"/>
  <c r="I167" i="2"/>
  <c r="H167" i="2"/>
  <c r="G167" i="2"/>
  <c r="J166" i="2"/>
  <c r="I166" i="2"/>
  <c r="H166" i="2"/>
  <c r="G166" i="2"/>
  <c r="J165" i="2"/>
  <c r="I165" i="2"/>
  <c r="H165" i="2"/>
  <c r="G165" i="2"/>
  <c r="J164" i="2"/>
  <c r="I164" i="2"/>
  <c r="H164" i="2"/>
  <c r="G164" i="2"/>
  <c r="J163" i="2"/>
  <c r="I163" i="2"/>
  <c r="H163" i="2"/>
  <c r="G163" i="2"/>
  <c r="J162" i="2"/>
  <c r="I162" i="2"/>
  <c r="H162" i="2"/>
  <c r="G162" i="2"/>
  <c r="J160" i="2"/>
  <c r="I160" i="2"/>
  <c r="H160" i="2"/>
  <c r="G160" i="2"/>
  <c r="J159" i="2"/>
  <c r="I159" i="2"/>
  <c r="H159" i="2"/>
  <c r="G159" i="2"/>
  <c r="J158" i="2"/>
  <c r="I158" i="2"/>
  <c r="H158" i="2"/>
  <c r="G158" i="2"/>
  <c r="J157" i="2"/>
  <c r="I157" i="2"/>
  <c r="H157" i="2"/>
  <c r="G157" i="2"/>
  <c r="J156" i="2"/>
  <c r="I156" i="2"/>
  <c r="H156" i="2"/>
  <c r="G156" i="2"/>
  <c r="J155" i="2"/>
  <c r="I155" i="2"/>
  <c r="H155" i="2"/>
  <c r="G155" i="2"/>
  <c r="J154" i="2"/>
  <c r="I154" i="2"/>
  <c r="H154" i="2"/>
  <c r="G154" i="2"/>
  <c r="J153" i="2"/>
  <c r="I153" i="2"/>
  <c r="H153" i="2"/>
  <c r="G153" i="2"/>
  <c r="J152" i="2"/>
  <c r="I152" i="2"/>
  <c r="H152" i="2"/>
  <c r="G152" i="2"/>
  <c r="J151" i="2"/>
  <c r="I151" i="2"/>
  <c r="H151" i="2"/>
  <c r="G151" i="2"/>
  <c r="J150" i="2"/>
  <c r="I150" i="2"/>
  <c r="H150" i="2"/>
  <c r="G150" i="2"/>
  <c r="J149" i="2"/>
  <c r="I149" i="2"/>
  <c r="H149" i="2"/>
  <c r="G149" i="2"/>
  <c r="J148" i="2"/>
  <c r="I148" i="2"/>
  <c r="H148" i="2"/>
  <c r="G148" i="2"/>
  <c r="J147" i="2"/>
  <c r="I147" i="2"/>
  <c r="H147" i="2"/>
  <c r="G147" i="2"/>
  <c r="J146" i="2"/>
  <c r="I146" i="2"/>
  <c r="H146" i="2"/>
  <c r="G146" i="2"/>
  <c r="J145" i="2"/>
  <c r="I145" i="2"/>
  <c r="H145" i="2"/>
  <c r="G145" i="2"/>
  <c r="J144" i="2"/>
  <c r="I144" i="2"/>
  <c r="H144" i="2"/>
  <c r="G144" i="2"/>
  <c r="J143" i="2"/>
  <c r="I143" i="2"/>
  <c r="H143" i="2"/>
  <c r="G143" i="2"/>
  <c r="J142" i="2"/>
  <c r="I142" i="2"/>
  <c r="H142" i="2"/>
  <c r="G142" i="2"/>
  <c r="J141" i="2"/>
  <c r="I141" i="2"/>
  <c r="H141" i="2"/>
  <c r="G141" i="2"/>
  <c r="J140" i="2"/>
  <c r="I140" i="2"/>
  <c r="H140" i="2"/>
  <c r="G140" i="2"/>
  <c r="J139" i="2"/>
  <c r="I139" i="2"/>
  <c r="H139" i="2"/>
  <c r="G139" i="2"/>
  <c r="J137" i="2"/>
  <c r="I137" i="2"/>
  <c r="H137" i="2"/>
  <c r="G137" i="2"/>
  <c r="J136" i="2"/>
  <c r="I136" i="2"/>
  <c r="H136" i="2"/>
  <c r="G136" i="2"/>
  <c r="J135" i="2"/>
  <c r="I135" i="2"/>
  <c r="H135" i="2"/>
  <c r="G135" i="2"/>
  <c r="J134" i="2"/>
  <c r="I134" i="2"/>
  <c r="H134" i="2"/>
  <c r="G134" i="2"/>
  <c r="J133" i="2"/>
  <c r="I133" i="2"/>
  <c r="H133" i="2"/>
  <c r="G133" i="2"/>
  <c r="J132" i="2"/>
  <c r="I132" i="2"/>
  <c r="H132" i="2"/>
  <c r="G132" i="2"/>
  <c r="J131" i="2"/>
  <c r="I131" i="2"/>
  <c r="H131" i="2"/>
  <c r="G131" i="2"/>
  <c r="J130" i="2"/>
  <c r="I130" i="2"/>
  <c r="H130" i="2"/>
  <c r="G130" i="2"/>
  <c r="J129" i="2"/>
  <c r="I129" i="2"/>
  <c r="H129" i="2"/>
  <c r="G129" i="2"/>
  <c r="J128" i="2"/>
  <c r="I128" i="2"/>
  <c r="H128" i="2"/>
  <c r="G128" i="2"/>
  <c r="J127" i="2"/>
  <c r="I127" i="2"/>
  <c r="H127" i="2"/>
  <c r="G127" i="2"/>
  <c r="J126" i="2"/>
  <c r="I126" i="2"/>
  <c r="H126" i="2"/>
  <c r="G126" i="2"/>
  <c r="J125" i="2"/>
  <c r="I125" i="2"/>
  <c r="H125" i="2"/>
  <c r="G125" i="2"/>
  <c r="J124" i="2"/>
  <c r="I124" i="2"/>
  <c r="H124" i="2"/>
  <c r="G124" i="2"/>
  <c r="J122" i="2"/>
  <c r="I122" i="2"/>
  <c r="H122" i="2"/>
  <c r="G122" i="2"/>
  <c r="J121" i="2"/>
  <c r="I121" i="2"/>
  <c r="H121" i="2"/>
  <c r="G121" i="2"/>
  <c r="J120" i="2"/>
  <c r="I120" i="2"/>
  <c r="H120" i="2"/>
  <c r="G120" i="2"/>
  <c r="J119" i="2"/>
  <c r="I119" i="2"/>
  <c r="H119" i="2"/>
  <c r="G119" i="2"/>
  <c r="J118" i="2"/>
  <c r="I118" i="2"/>
  <c r="H118" i="2"/>
  <c r="G118" i="2"/>
  <c r="J117" i="2"/>
  <c r="I117" i="2"/>
  <c r="H117" i="2"/>
  <c r="G117" i="2"/>
  <c r="J116" i="2"/>
  <c r="I116" i="2"/>
  <c r="H116" i="2"/>
  <c r="G116" i="2"/>
  <c r="J115" i="2"/>
  <c r="I115" i="2"/>
  <c r="H115" i="2"/>
  <c r="G115" i="2"/>
  <c r="J114" i="2"/>
  <c r="I114" i="2"/>
  <c r="H114" i="2"/>
  <c r="G114" i="2"/>
  <c r="J112" i="2"/>
  <c r="I112" i="2"/>
  <c r="H112" i="2"/>
  <c r="G112" i="2"/>
  <c r="J111" i="2"/>
  <c r="I111" i="2"/>
  <c r="H111" i="2"/>
  <c r="G111" i="2"/>
  <c r="J110" i="2"/>
  <c r="I110" i="2"/>
  <c r="H110" i="2"/>
  <c r="G110" i="2"/>
  <c r="J109" i="2"/>
  <c r="I109" i="2"/>
  <c r="H109" i="2"/>
  <c r="G109" i="2"/>
  <c r="J108" i="2"/>
  <c r="I108" i="2"/>
  <c r="H108" i="2"/>
  <c r="G108" i="2"/>
  <c r="J107" i="2"/>
  <c r="I107" i="2"/>
  <c r="H107" i="2"/>
  <c r="G107" i="2"/>
  <c r="J106" i="2"/>
  <c r="I106" i="2"/>
  <c r="H106" i="2"/>
  <c r="G106" i="2"/>
  <c r="J105" i="2"/>
  <c r="I105" i="2"/>
  <c r="H105" i="2"/>
  <c r="G105" i="2"/>
  <c r="J104" i="2"/>
  <c r="I104" i="2"/>
  <c r="H104" i="2"/>
  <c r="G104" i="2"/>
  <c r="J103" i="2"/>
  <c r="I103" i="2"/>
  <c r="H103" i="2"/>
  <c r="G103" i="2"/>
  <c r="J102" i="2"/>
  <c r="I102" i="2"/>
  <c r="H102" i="2"/>
  <c r="G102" i="2"/>
  <c r="J101" i="2"/>
  <c r="I101" i="2"/>
  <c r="H101" i="2"/>
  <c r="G101" i="2"/>
  <c r="J100" i="2"/>
  <c r="I100" i="2"/>
  <c r="H100" i="2"/>
  <c r="G100" i="2"/>
  <c r="J99" i="2"/>
  <c r="I99" i="2"/>
  <c r="H99" i="2"/>
  <c r="G99" i="2"/>
  <c r="J98" i="2"/>
  <c r="I98" i="2"/>
  <c r="H98" i="2"/>
  <c r="G98" i="2"/>
  <c r="J97" i="2"/>
  <c r="I97" i="2"/>
  <c r="H97" i="2"/>
  <c r="G97" i="2"/>
  <c r="J96" i="2"/>
  <c r="I96" i="2"/>
  <c r="H96" i="2"/>
  <c r="G96" i="2"/>
  <c r="J95" i="2"/>
  <c r="I95" i="2"/>
  <c r="H95" i="2"/>
  <c r="G95" i="2"/>
  <c r="J94" i="2"/>
  <c r="I94" i="2"/>
  <c r="H94" i="2"/>
  <c r="G94" i="2"/>
  <c r="J93" i="2"/>
  <c r="I93" i="2"/>
  <c r="H93" i="2"/>
  <c r="G93" i="2"/>
  <c r="J92" i="2"/>
  <c r="I92" i="2"/>
  <c r="H92" i="2"/>
  <c r="G92" i="2"/>
  <c r="J91" i="2"/>
  <c r="I91" i="2"/>
  <c r="H91" i="2"/>
  <c r="G91" i="2"/>
  <c r="J90" i="2"/>
  <c r="I90" i="2"/>
  <c r="H90" i="2"/>
  <c r="G90" i="2"/>
  <c r="J87" i="2"/>
  <c r="I87" i="2"/>
  <c r="H87" i="2"/>
  <c r="G87" i="2"/>
  <c r="J86" i="2"/>
  <c r="I86" i="2"/>
  <c r="H86" i="2"/>
  <c r="G86" i="2"/>
  <c r="J85" i="2"/>
  <c r="I85" i="2"/>
  <c r="H85" i="2"/>
  <c r="G85" i="2"/>
  <c r="J84" i="2"/>
  <c r="I84" i="2"/>
  <c r="H84" i="2"/>
  <c r="G84" i="2"/>
  <c r="J83" i="2"/>
  <c r="I83" i="2"/>
  <c r="H83" i="2"/>
  <c r="G83" i="2"/>
  <c r="J82" i="2"/>
  <c r="I82" i="2"/>
  <c r="H82" i="2"/>
  <c r="G82" i="2"/>
  <c r="J81" i="2"/>
  <c r="I81" i="2"/>
  <c r="H81" i="2"/>
  <c r="G81" i="2"/>
  <c r="J79" i="2"/>
  <c r="I79" i="2"/>
  <c r="H79" i="2"/>
  <c r="G79" i="2"/>
  <c r="J78" i="2"/>
  <c r="I78" i="2"/>
  <c r="H78" i="2"/>
  <c r="G78" i="2"/>
  <c r="J77" i="2"/>
  <c r="I77" i="2"/>
  <c r="H77" i="2"/>
  <c r="G77" i="2"/>
  <c r="J76" i="2"/>
  <c r="I76" i="2"/>
  <c r="H76" i="2"/>
  <c r="G76" i="2"/>
  <c r="J75" i="2"/>
  <c r="I75" i="2"/>
  <c r="H75" i="2"/>
  <c r="G75" i="2"/>
  <c r="J74" i="2"/>
  <c r="I74" i="2"/>
  <c r="H74" i="2"/>
  <c r="G74" i="2"/>
  <c r="J73" i="2"/>
  <c r="I73" i="2"/>
  <c r="H73" i="2"/>
  <c r="G73" i="2"/>
  <c r="J72" i="2"/>
  <c r="I72" i="2"/>
  <c r="H72" i="2"/>
  <c r="G72" i="2"/>
  <c r="J71" i="2"/>
  <c r="I71" i="2"/>
  <c r="H71" i="2"/>
  <c r="G71" i="2"/>
  <c r="J70" i="2"/>
  <c r="I70" i="2"/>
  <c r="H70" i="2"/>
  <c r="G70" i="2"/>
  <c r="J69" i="2"/>
  <c r="I69" i="2"/>
  <c r="H69" i="2"/>
  <c r="G69" i="2"/>
  <c r="J68" i="2"/>
  <c r="I68" i="2"/>
  <c r="H68" i="2"/>
  <c r="G68" i="2"/>
  <c r="J67" i="2"/>
  <c r="I67" i="2"/>
  <c r="H67" i="2"/>
  <c r="G67" i="2"/>
  <c r="J66" i="2"/>
  <c r="I66" i="2"/>
  <c r="H66" i="2"/>
  <c r="G66" i="2"/>
  <c r="J65" i="2"/>
  <c r="I65" i="2"/>
  <c r="H65" i="2"/>
  <c r="G65" i="2"/>
  <c r="J63" i="2"/>
  <c r="I63" i="2"/>
  <c r="H63" i="2"/>
  <c r="G63" i="2"/>
  <c r="J62" i="2"/>
  <c r="I62" i="2"/>
  <c r="H62" i="2"/>
  <c r="G62" i="2"/>
  <c r="J61" i="2"/>
  <c r="I61" i="2"/>
  <c r="H61" i="2"/>
  <c r="G61" i="2"/>
  <c r="J59" i="2"/>
  <c r="I59" i="2"/>
  <c r="H59" i="2"/>
  <c r="G59" i="2"/>
  <c r="J58" i="2"/>
  <c r="I58" i="2"/>
  <c r="H58" i="2"/>
  <c r="G58" i="2"/>
  <c r="J57" i="2"/>
  <c r="I57" i="2"/>
  <c r="H57" i="2"/>
  <c r="G57" i="2"/>
  <c r="J56" i="2"/>
  <c r="I56" i="2"/>
  <c r="H56" i="2"/>
  <c r="G56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G123" i="2" l="1"/>
  <c r="G396" i="2"/>
  <c r="G8" i="2"/>
  <c r="G64" i="2"/>
  <c r="J191" i="2"/>
  <c r="J463" i="2"/>
  <c r="G161" i="2"/>
  <c r="G60" i="2"/>
  <c r="G241" i="2"/>
  <c r="G80" i="2"/>
  <c r="G55" i="2"/>
  <c r="G113" i="2"/>
  <c r="G191" i="2"/>
  <c r="J55" i="2"/>
  <c r="J138" i="2"/>
  <c r="H64" i="2"/>
  <c r="H80" i="2"/>
  <c r="H113" i="2"/>
  <c r="H123" i="2"/>
  <c r="H161" i="2"/>
  <c r="H241" i="2"/>
  <c r="H396" i="2"/>
  <c r="J16" i="2"/>
  <c r="J60" i="2"/>
  <c r="I60" i="2"/>
  <c r="I64" i="2"/>
  <c r="I80" i="2"/>
  <c r="I113" i="2"/>
  <c r="I123" i="2"/>
  <c r="I161" i="2"/>
  <c r="I241" i="2"/>
  <c r="I396" i="2"/>
  <c r="G89" i="2"/>
  <c r="G209" i="2"/>
  <c r="G228" i="2"/>
  <c r="G372" i="2"/>
  <c r="G410" i="2"/>
  <c r="G428" i="2"/>
  <c r="I209" i="2"/>
  <c r="G16" i="2"/>
  <c r="G138" i="2"/>
  <c r="G463" i="2"/>
  <c r="I8" i="2"/>
  <c r="I89" i="2"/>
  <c r="I372" i="2"/>
  <c r="I428" i="2"/>
  <c r="I138" i="2"/>
  <c r="J113" i="2"/>
  <c r="J123" i="2"/>
  <c r="J161" i="2"/>
  <c r="J241" i="2"/>
  <c r="J396" i="2"/>
  <c r="J80" i="2"/>
  <c r="H228" i="2"/>
  <c r="H410" i="2"/>
  <c r="I228" i="2"/>
  <c r="I410" i="2"/>
  <c r="J89" i="2"/>
  <c r="J209" i="2"/>
  <c r="J228" i="2"/>
  <c r="J372" i="2"/>
  <c r="J410" i="2"/>
  <c r="J428" i="2"/>
  <c r="J64" i="2"/>
  <c r="H8" i="2"/>
  <c r="H16" i="2"/>
  <c r="H55" i="2"/>
  <c r="H60" i="2"/>
  <c r="H89" i="2"/>
  <c r="H138" i="2"/>
  <c r="H191" i="2"/>
  <c r="H209" i="2"/>
  <c r="H372" i="2"/>
  <c r="H428" i="2"/>
  <c r="H463" i="2"/>
  <c r="J8" i="2"/>
  <c r="I16" i="2"/>
  <c r="I55" i="2"/>
  <c r="I191" i="2"/>
  <c r="I463" i="2"/>
  <c r="I516" i="2" l="1"/>
  <c r="H516" i="2"/>
  <c r="J516" i="2"/>
</calcChain>
</file>

<file path=xl/sharedStrings.xml><?xml version="1.0" encoding="utf-8"?>
<sst xmlns="http://schemas.openxmlformats.org/spreadsheetml/2006/main" count="1712" uniqueCount="1175">
  <si>
    <t>QTDE</t>
  </si>
  <si>
    <t>UN.</t>
  </si>
  <si>
    <t>UNITÁRIO MATERIAL</t>
  </si>
  <si>
    <t>UNITÁRIO MÃO DE OBRA</t>
  </si>
  <si>
    <t>TOTAL UNITÁRIO DO ITEM</t>
  </si>
  <si>
    <t>TOTAL MATERIAL ROTEIRO</t>
  </si>
  <si>
    <t>TOTAL MÃO DE OBRA ROTEIRO</t>
  </si>
  <si>
    <t>TOTAL GERAL ROTEIRO</t>
  </si>
  <si>
    <t>PRELIMINARES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</si>
  <si>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</si>
  <si>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</si>
  <si>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</si>
  <si>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</si>
  <si>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</si>
  <si>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</si>
  <si>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</si>
  <si>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</si>
  <si>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</si>
  <si>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</si>
  <si>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</si>
  <si>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Chamado Preventivo</t>
  </si>
  <si>
    <t>1.6</t>
  </si>
  <si>
    <t>Deslocamento Fluvial</t>
  </si>
  <si>
    <t>Km</t>
  </si>
  <si>
    <t>1.7</t>
  </si>
  <si>
    <t>UN</t>
  </si>
  <si>
    <t>IMPLANTAÇÃO / ADMINISTRAÇÃO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</si>
  <si>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</si>
  <si>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</si>
  <si>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</si>
  <si>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</si>
  <si>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</si>
  <si>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</si>
  <si>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</si>
  <si>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</si>
  <si>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</si>
  <si>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</si>
  <si>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</si>
  <si>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</si>
  <si>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</si>
  <si>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</si>
  <si>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</si>
  <si>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</si>
  <si>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</si>
  <si>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</si>
  <si>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</si>
  <si>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</si>
  <si>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</si>
  <si>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</si>
  <si>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</si>
  <si>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</si>
  <si>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</si>
  <si>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</si>
  <si>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</si>
  <si>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</si>
  <si>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</si>
  <si>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</si>
  <si>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</si>
  <si>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</si>
  <si>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</si>
  <si>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</si>
  <si>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</si>
  <si>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</si>
  <si>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</si>
  <si>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</si>
  <si>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</si>
  <si>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</si>
  <si>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</si>
  <si>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</si>
  <si>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</si>
  <si>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</si>
  <si>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</si>
  <si>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</si>
  <si>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</si>
  <si>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</si>
  <si>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</si>
  <si>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</si>
  <si>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</si>
  <si>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</si>
  <si>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</si>
  <si>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</si>
  <si>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</si>
  <si>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</si>
  <si>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</si>
  <si>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</si>
  <si>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</si>
  <si>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</si>
  <si>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</si>
  <si>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</si>
  <si>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</si>
  <si>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</si>
  <si>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</si>
  <si>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</si>
  <si>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</si>
  <si>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</si>
  <si>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</si>
  <si>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</si>
  <si>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</si>
  <si>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</si>
  <si>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</si>
  <si>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</si>
  <si>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</si>
  <si>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</si>
  <si>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</si>
  <si>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</si>
  <si>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</si>
  <si>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</si>
  <si>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</si>
  <si>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</si>
  <si>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</si>
  <si>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</si>
  <si>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</si>
  <si>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</si>
  <si>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</si>
  <si>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</si>
  <si>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</si>
  <si>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</si>
  <si>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</si>
  <si>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</si>
  <si>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</si>
  <si>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</si>
  <si>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</si>
  <si>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</si>
  <si>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</si>
  <si>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</si>
  <si>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</si>
  <si>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</si>
  <si>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</si>
  <si>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</si>
  <si>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</si>
  <si>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</si>
  <si>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</si>
  <si>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</si>
  <si>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</si>
  <si>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</si>
  <si>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</si>
  <si>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</si>
  <si>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</si>
  <si>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</si>
  <si>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</si>
  <si>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</si>
  <si>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</si>
  <si>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</si>
  <si>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</si>
  <si>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</si>
  <si>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</si>
  <si>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</si>
  <si>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</si>
  <si>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</si>
  <si>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</si>
  <si>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Fixação de telha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</si>
  <si>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</si>
  <si>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</si>
  <si>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</si>
  <si>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</si>
  <si>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</si>
  <si>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</si>
  <si>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</si>
  <si>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</si>
  <si>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</si>
  <si>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</si>
  <si>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</si>
  <si>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</si>
  <si>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</si>
  <si>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</si>
  <si>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</si>
  <si>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</si>
  <si>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</si>
  <si>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</si>
  <si>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</si>
  <si>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</si>
  <si>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</si>
  <si>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</si>
  <si>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</si>
  <si>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</si>
  <si>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</si>
  <si>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</si>
  <si>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</si>
  <si>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</si>
  <si>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</si>
  <si>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</si>
  <si>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</si>
  <si>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</si>
  <si>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</si>
  <si>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</si>
  <si>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</si>
  <si>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</si>
  <si>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</si>
  <si>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</si>
  <si>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</si>
  <si>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</si>
  <si>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</si>
  <si>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</si>
  <si>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</si>
  <si>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</si>
  <si>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</si>
  <si>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</si>
  <si>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</si>
  <si>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</si>
  <si>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</si>
  <si>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</si>
  <si>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</si>
  <si>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</si>
  <si>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</si>
  <si>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</si>
  <si>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</si>
  <si>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</si>
  <si>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</si>
  <si>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</si>
  <si>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</si>
  <si>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</si>
  <si>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</si>
  <si>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</si>
  <si>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</si>
  <si>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</si>
  <si>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</si>
  <si>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</si>
  <si>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</si>
  <si>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</si>
  <si>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</si>
  <si>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</si>
  <si>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</si>
  <si>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</si>
  <si>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</si>
  <si>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</si>
  <si>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</si>
  <si>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</si>
  <si>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</si>
  <si>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</si>
  <si>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</si>
  <si>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</si>
  <si>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</si>
  <si>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</si>
  <si>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</si>
  <si>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</si>
  <si>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</si>
  <si>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</si>
  <si>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</si>
  <si>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</si>
  <si>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</si>
  <si>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</si>
  <si>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</si>
  <si>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</si>
  <si>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</si>
  <si>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</si>
  <si>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</si>
  <si>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</si>
  <si>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</si>
  <si>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</si>
  <si>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</si>
  <si>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</si>
  <si>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</si>
  <si>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</si>
  <si>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</si>
  <si>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</si>
  <si>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</si>
  <si>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</si>
  <si>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</si>
  <si>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</si>
  <si>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</si>
  <si>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</si>
  <si>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</si>
  <si>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</si>
  <si>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</si>
  <si>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</si>
  <si>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</si>
  <si>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</si>
  <si>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</si>
  <si>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</si>
  <si>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</si>
  <si>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</si>
  <si>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</si>
  <si>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</si>
  <si>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</si>
  <si>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</si>
  <si>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</si>
  <si>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</si>
  <si>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</si>
  <si>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</si>
  <si>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</si>
  <si>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</si>
  <si>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</si>
  <si>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</si>
  <si>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</si>
  <si>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</si>
  <si>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</si>
  <si>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</si>
  <si>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</si>
  <si>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</si>
  <si>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</si>
  <si>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</si>
  <si>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</si>
  <si>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</si>
  <si>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</si>
  <si>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</si>
  <si>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</si>
  <si>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</si>
  <si>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</si>
  <si>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</si>
  <si>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</si>
  <si>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</si>
  <si>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</si>
  <si>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</si>
  <si>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</si>
  <si>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</si>
  <si>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</si>
  <si>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</si>
  <si>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</si>
  <si>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</si>
  <si>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</si>
  <si>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</si>
  <si>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</si>
  <si>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</si>
  <si>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</si>
  <si>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</si>
  <si>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</si>
  <si>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</si>
  <si>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</si>
  <si>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</si>
  <si>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</si>
  <si>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</si>
  <si>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</si>
  <si>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</si>
  <si>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</si>
  <si>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</si>
  <si>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</si>
  <si>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</si>
  <si>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</si>
  <si>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</si>
  <si>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</si>
  <si>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</si>
  <si>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</si>
  <si>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</si>
  <si>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</si>
  <si>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</si>
  <si>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</si>
  <si>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</si>
  <si>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</si>
  <si>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</si>
  <si>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</si>
  <si>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</si>
  <si>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</si>
  <si>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</si>
  <si>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</si>
  <si>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</si>
  <si>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</si>
  <si>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</si>
  <si>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</si>
  <si>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</si>
  <si>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</si>
  <si>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</si>
  <si>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</si>
  <si>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</si>
  <si>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</si>
  <si>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</si>
  <si>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</si>
  <si>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</si>
  <si>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</si>
  <si>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</si>
  <si>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</si>
  <si>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</si>
  <si>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</si>
  <si>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</si>
  <si>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</si>
  <si>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</si>
  <si>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</si>
  <si>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</si>
  <si>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</si>
  <si>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</si>
  <si>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</si>
  <si>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</si>
  <si>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</si>
  <si>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</si>
  <si>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</si>
  <si>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</si>
  <si>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</si>
  <si>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</si>
  <si>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</si>
  <si>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</si>
  <si>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</si>
  <si>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</si>
  <si>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</si>
  <si>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</si>
  <si>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</si>
  <si>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</si>
  <si>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</si>
  <si>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</si>
  <si>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</si>
  <si>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</si>
  <si>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</si>
  <si>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</si>
  <si>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</si>
  <si>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</si>
  <si>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</si>
  <si>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</si>
  <si>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</si>
  <si>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</si>
  <si>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</si>
  <si>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</si>
  <si>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</si>
  <si>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</si>
  <si>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</si>
  <si>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</si>
  <si>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</si>
  <si>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</si>
  <si>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</si>
  <si>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</si>
  <si>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</si>
  <si>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</si>
  <si>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</si>
  <si>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</si>
  <si>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</si>
  <si>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</si>
  <si>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</si>
  <si>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</si>
  <si>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</si>
  <si>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</si>
  <si>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</si>
  <si>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</si>
  <si>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</si>
  <si>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</si>
  <si>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</si>
  <si>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</si>
  <si>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</si>
  <si>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</si>
  <si>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</si>
  <si>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</si>
  <si>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</si>
  <si>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</si>
  <si>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</si>
  <si>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</si>
  <si>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</si>
  <si>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</si>
  <si>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</si>
  <si>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</si>
  <si>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</si>
  <si>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</si>
  <si>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 xml:space="preserve">UN 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</si>
  <si>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</si>
  <si>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</si>
  <si>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</si>
  <si>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</si>
  <si>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</si>
  <si>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</si>
  <si>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</si>
  <si>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</si>
  <si>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</si>
  <si>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</si>
  <si>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</si>
  <si>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</si>
  <si>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</si>
  <si>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</si>
  <si>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</si>
  <si>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</si>
  <si>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</si>
  <si>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</si>
  <si>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</si>
  <si>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</si>
  <si>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</si>
  <si>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</si>
  <si>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</si>
  <si>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</si>
  <si>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</si>
  <si>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</si>
  <si>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</si>
  <si>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</si>
  <si>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</si>
  <si>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</si>
  <si>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</si>
  <si>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</si>
  <si>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</si>
  <si>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</si>
  <si>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</si>
  <si>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</si>
  <si>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</si>
  <si>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</si>
  <si>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</si>
  <si>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</si>
  <si>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</si>
  <si>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</si>
  <si>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</si>
  <si>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</si>
  <si>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</si>
  <si>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</si>
  <si>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</si>
  <si>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</si>
  <si>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</si>
  <si>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</si>
  <si>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</si>
  <si>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</si>
  <si>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</si>
  <si>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</si>
  <si>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</si>
  <si>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</si>
  <si>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</si>
  <si>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</si>
  <si>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</si>
  <si>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</si>
  <si>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</si>
  <si>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</si>
  <si>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</si>
  <si>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</si>
  <si>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</si>
  <si>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</si>
  <si>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</si>
  <si>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</si>
  <si>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</si>
  <si>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</si>
  <si>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</si>
  <si>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</si>
  <si>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</si>
  <si>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</si>
  <si>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</si>
  <si>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</si>
  <si>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</si>
  <si>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</si>
  <si>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</si>
  <si>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</si>
  <si>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</si>
  <si>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</si>
  <si>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</si>
  <si>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</si>
  <si>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</si>
  <si>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</si>
  <si>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</si>
  <si>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</si>
  <si>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</si>
  <si>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</si>
  <si>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</si>
  <si>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</si>
  <si>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</si>
  <si>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</si>
  <si>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</si>
  <si>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</si>
  <si>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</si>
  <si>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</si>
  <si>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</si>
  <si>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</si>
  <si>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</si>
  <si>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</si>
  <si>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</si>
  <si>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</si>
  <si>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</si>
  <si>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</si>
  <si>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</si>
  <si>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</si>
  <si>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</si>
  <si>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</si>
  <si>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</si>
  <si>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</si>
  <si>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</si>
  <si>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</si>
  <si>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</si>
  <si>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</si>
  <si>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</si>
  <si>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</si>
  <si>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</si>
  <si>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</si>
  <si>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</si>
  <si>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</si>
  <si>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</si>
  <si>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</si>
  <si>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</si>
  <si>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</si>
  <si>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</si>
  <si>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</si>
  <si>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</si>
  <si>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</si>
  <si>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</si>
  <si>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</si>
  <si>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</si>
  <si>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</si>
  <si>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</si>
  <si>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</si>
  <si>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</si>
  <si>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</si>
  <si>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</si>
  <si>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</si>
  <si>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</si>
  <si>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</si>
  <si>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</si>
  <si>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</si>
  <si>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</si>
  <si>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</si>
  <si>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</si>
  <si>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</si>
  <si>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</si>
  <si>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</si>
  <si>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</si>
  <si>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</si>
  <si>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</si>
  <si>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</si>
  <si>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</si>
  <si>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</si>
  <si>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</si>
  <si>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</si>
  <si>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</si>
  <si>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</si>
  <si>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</si>
  <si>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</si>
  <si>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Contator de Potencia até 12A</t>
  </si>
  <si>
    <t>19.67</t>
  </si>
  <si>
    <t>Contator de Potencia até 45A</t>
  </si>
  <si>
    <t>19.68</t>
  </si>
  <si>
    <t>Contator de Potencia até 94A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</si>
  <si>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</si>
  <si>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</si>
  <si>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</si>
  <si>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</si>
  <si>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</si>
  <si>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</si>
  <si>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</si>
  <si>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Cabo de cobre flexivel anti-chama 450/750V / de 10 a 16mm2</t>
  </si>
  <si>
    <t>19.73</t>
  </si>
  <si>
    <t>Cabo de cobre flexivel anti-chama 450/750V / de 25 a 35mm2</t>
  </si>
  <si>
    <t>19.74</t>
  </si>
  <si>
    <t>Cabo de cobre flexivel anti-chama 450/750V / de 50 a 70mm2</t>
  </si>
  <si>
    <t>19.75</t>
  </si>
  <si>
    <t>Cabo de cobre flexível anti-chama 450/750V / de 95 a 150mm2</t>
  </si>
  <si>
    <t>19.76</t>
  </si>
  <si>
    <t>Cabo de cobre flexível anti-chama 450/750V / de 185 a 240mm2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</si>
  <si>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</si>
  <si>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</si>
  <si>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</si>
  <si>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</si>
  <si>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</si>
  <si>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</si>
  <si>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</si>
  <si>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</si>
  <si>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</si>
  <si>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</si>
  <si>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</si>
  <si>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</si>
  <si>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</si>
  <si>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</si>
  <si>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</si>
  <si>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</si>
  <si>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</si>
  <si>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</si>
  <si>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</si>
  <si>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</si>
  <si>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</si>
  <si>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</si>
  <si>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</si>
  <si>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</si>
  <si>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</si>
  <si>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</si>
  <si>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</si>
  <si>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</si>
  <si>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</si>
  <si>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</si>
  <si>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</si>
  <si>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</si>
  <si>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</si>
  <si>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</si>
  <si>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</si>
  <si>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</si>
  <si>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</si>
  <si>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</si>
  <si>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</si>
  <si>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</si>
  <si>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</si>
  <si>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</si>
  <si>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</si>
  <si>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</si>
  <si>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</si>
  <si>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</si>
  <si>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 xml:space="preserve">Caixa quebra vidro de emergência </t>
  </si>
  <si>
    <t>Botão Emulador (botão de saida)</t>
  </si>
  <si>
    <t>Suporte para fixação da fechadura</t>
  </si>
  <si>
    <t>Fonte de alimentação com carregador de bateria e placa ATM para Fechadura Eletromagnética força de tração 150kgf</t>
  </si>
  <si>
    <t>Fechadura Eletromagnética força de tração 150kgf</t>
  </si>
  <si>
    <t>Fechadura Elétrica com fonte de alimentação</t>
  </si>
  <si>
    <t>Instalação/Susbtituição de cabo coaxial</t>
  </si>
  <si>
    <t>No-Break e/ou banco de baterias - substuição/relocalização/instalação</t>
  </si>
  <si>
    <t>Aterramento / SPDA - revisão geral</t>
  </si>
  <si>
    <t>Aterramento / SPDA - Haste de aterramento em cobre 3/4"x3m com cabo e conector</t>
  </si>
  <si>
    <t>Encaixotamento e retirada de equipamentos diversos - Desocupação de Imóvel</t>
  </si>
  <si>
    <t>Manutenção em Bomba de água de 1/4 cv a 5cv</t>
  </si>
  <si>
    <t>Bomba de água de 1/4 cv</t>
  </si>
  <si>
    <t>Bomba de água de 1/2 cv</t>
  </si>
  <si>
    <t>Bomba de água de 1 cv</t>
  </si>
  <si>
    <t>Quadro de Telefonia (DG) - Manutenção</t>
  </si>
  <si>
    <t>Cabo Telefone CCI 50x10</t>
  </si>
  <si>
    <t>Cabo Telefone CCI 50x20</t>
  </si>
  <si>
    <t>Cabo Telefone CCI 50x30</t>
  </si>
  <si>
    <t>Acompanhamento de implantação de equipamentos</t>
  </si>
  <si>
    <t>Laudo de medição de nível de iluminamento</t>
  </si>
  <si>
    <t>Laudo de medição de resistência de aterramento</t>
  </si>
  <si>
    <t>Remoção de Infraestrutura elétrica e Lógica - Desocupação de Imóvel</t>
  </si>
  <si>
    <t>Remoção de Luminária - Desocupação de Imóvel</t>
  </si>
  <si>
    <t>Relé Fotoelétrico</t>
  </si>
  <si>
    <t>Luminária circular de embutir com foco orientável</t>
  </si>
  <si>
    <t>Adesivo para Fechadura Eletromagnética força de tração 150kgf</t>
  </si>
  <si>
    <t>Bateria 12 V - 7 Ah</t>
  </si>
  <si>
    <t>BATERIA 12V até 70AH</t>
  </si>
  <si>
    <t>Ponto lógico - manutenção - troca de cabo UTP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</si>
  <si>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</si>
  <si>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</si>
  <si>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</si>
  <si>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</si>
  <si>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</si>
  <si>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</si>
  <si>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</si>
  <si>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</si>
  <si>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</si>
  <si>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</si>
  <si>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</si>
  <si>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</si>
  <si>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</si>
  <si>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</si>
  <si>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</si>
  <si>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</si>
  <si>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</si>
  <si>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</si>
  <si>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</si>
  <si>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</si>
  <si>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</si>
  <si>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</si>
  <si>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</si>
  <si>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</si>
  <si>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</si>
  <si>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</si>
  <si>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</si>
  <si>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</si>
  <si>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</si>
  <si>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</si>
  <si>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</si>
  <si>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</si>
  <si>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</si>
  <si>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</si>
  <si>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</si>
  <si>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</si>
  <si>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</si>
  <si>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</si>
  <si>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</si>
  <si>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</si>
  <si>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</si>
  <si>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</si>
  <si>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</si>
  <si>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</si>
  <si>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</si>
  <si>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</si>
  <si>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</si>
  <si>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</si>
  <si>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</si>
  <si>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</si>
  <si>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</si>
  <si>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</si>
  <si>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</si>
  <si>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</si>
  <si>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</si>
  <si>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</si>
  <si>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</si>
  <si>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</si>
  <si>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</si>
  <si>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</si>
  <si>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</si>
  <si>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</si>
  <si>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</si>
  <si>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</si>
  <si>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</si>
  <si>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</si>
  <si>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</si>
  <si>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</si>
  <si>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</si>
  <si>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</si>
  <si>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</si>
  <si>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</si>
  <si>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</si>
  <si>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</si>
  <si>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</si>
  <si>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</si>
  <si>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</si>
  <si>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</si>
  <si>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</si>
  <si>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</si>
  <si>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</si>
  <si>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</si>
  <si>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</si>
  <si>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</si>
  <si>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</si>
  <si>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</si>
  <si>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</si>
  <si>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</si>
  <si>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</si>
  <si>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</si>
  <si>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</si>
  <si>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</si>
  <si>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</si>
  <si>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</si>
  <si>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</si>
  <si>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</si>
  <si>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</si>
  <si>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</si>
  <si>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</si>
  <si>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22.12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</si>
  <si>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</si>
  <si>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</si>
  <si>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</si>
  <si>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</si>
  <si>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</si>
  <si>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</si>
  <si>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</si>
  <si>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</si>
  <si>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</si>
  <si>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</si>
  <si>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</si>
  <si>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</si>
  <si>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</si>
  <si>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</si>
  <si>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</si>
  <si>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</si>
  <si>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</si>
  <si>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</si>
  <si>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</si>
  <si>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</si>
  <si>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</si>
  <si>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</si>
  <si>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</si>
  <si>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</si>
  <si>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</si>
  <si>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</si>
  <si>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</si>
  <si>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</si>
  <si>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</si>
  <si>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</si>
  <si>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</si>
  <si>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</si>
  <si>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</si>
  <si>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</si>
  <si>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</si>
  <si>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</si>
  <si>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</si>
  <si>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</si>
  <si>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</si>
  <si>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</si>
  <si>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</si>
  <si>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</si>
  <si>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</si>
  <si>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</si>
  <si>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</si>
  <si>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</si>
  <si>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</si>
  <si>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</si>
  <si>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</si>
  <si>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</si>
  <si>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</si>
  <si>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</si>
  <si>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</si>
  <si>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</si>
  <si>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</si>
  <si>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</si>
  <si>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</si>
  <si>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</si>
  <si>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</si>
  <si>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</si>
  <si>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</si>
  <si>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</si>
  <si>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</si>
  <si>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</si>
  <si>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</si>
  <si>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</si>
  <si>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</si>
  <si>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</si>
  <si>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</si>
  <si>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</si>
  <si>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</si>
  <si>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</si>
  <si>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</si>
  <si>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</si>
  <si>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</si>
  <si>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</si>
  <si>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</si>
  <si>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</si>
  <si>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</si>
  <si>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</si>
  <si>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M</t>
  </si>
  <si>
    <t>29.3</t>
  </si>
  <si>
    <t>Sinalização visual e tátil no acesso - PLACA 30x18 cm</t>
  </si>
  <si>
    <t>29.4</t>
  </si>
  <si>
    <t xml:space="preserve">Borda de piso fotoluminescente - autoadesivo (referência: Fita Antiderrapante Fosforescente Neon Safety-Walk 3M) - largura: 50mm </t>
  </si>
  <si>
    <t>29.5</t>
  </si>
  <si>
    <t>Alarme de emergência sem fio para sanitário de PPNE (botoeira/alarme sonoro e visual)</t>
  </si>
  <si>
    <t>CJ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</si>
  <si>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</si>
  <si>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</si>
  <si>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</si>
  <si>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</si>
  <si>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</si>
  <si>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</si>
  <si>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</si>
  <si>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</si>
  <si>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</si>
  <si>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</si>
  <si>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</si>
  <si>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</si>
  <si>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</si>
  <si>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</si>
  <si>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</si>
  <si>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</si>
  <si>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M²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</si>
  <si>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</si>
  <si>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</si>
  <si>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</si>
  <si>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</si>
  <si>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</si>
  <si>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</si>
  <si>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</si>
  <si>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</si>
  <si>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</si>
  <si>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</si>
  <si>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</si>
  <si>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</si>
  <si>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</si>
  <si>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</si>
  <si>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</si>
  <si>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</si>
  <si>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</si>
  <si>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</si>
  <si>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</si>
  <si>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</si>
  <si>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</si>
  <si>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</si>
  <si>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</si>
  <si>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</si>
  <si>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</si>
  <si>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</si>
  <si>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</si>
  <si>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</si>
  <si>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</si>
  <si>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</si>
  <si>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</si>
  <si>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</si>
  <si>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</si>
  <si>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</si>
  <si>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</si>
  <si>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</si>
  <si>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</si>
  <si>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</si>
  <si>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</si>
  <si>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</si>
  <si>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</si>
  <si>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</si>
  <si>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</si>
  <si>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</si>
  <si>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</si>
  <si>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</si>
  <si>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</si>
  <si>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</si>
  <si>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</si>
  <si>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</si>
  <si>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</si>
  <si>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</si>
  <si>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</si>
  <si>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</si>
  <si>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</si>
  <si>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</si>
  <si>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</si>
  <si>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</si>
  <si>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</si>
  <si>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</si>
  <si>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</si>
  <si>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</si>
  <si>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</si>
  <si>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</si>
  <si>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</si>
  <si>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</si>
  <si>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</si>
  <si>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</si>
  <si>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</si>
  <si>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</si>
  <si>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</si>
  <si>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</si>
  <si>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</si>
  <si>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</si>
  <si>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h</t>
  </si>
  <si>
    <t>29.51</t>
  </si>
  <si>
    <t>Manutenção Preventiva de Elementos de Sinalização LED - Padrão BB</t>
  </si>
  <si>
    <t>LIMPEZA E VERIFICAÇÃO FINAL</t>
  </si>
  <si>
    <t>TOTAL DO ORÇAMENTO COM BDI INCLUSO:</t>
  </si>
  <si>
    <t xml:space="preserve">Relação das Dependências do Rot - Campo Grande (MS) </t>
  </si>
  <si>
    <t xml:space="preserve">LOTE 07: MATO GROSSO DO SUL – Campo Grande e Aquidauana
</t>
  </si>
  <si>
    <t>PREFIXO</t>
  </si>
  <si>
    <t>DEPENDÊNCIAS</t>
  </si>
  <si>
    <t xml:space="preserve">DISTÂNCIA EM RELAÇÃO A CIDADE BASE - IDA E VOLTA (KM) </t>
  </si>
  <si>
    <t>ENDEREÇO</t>
  </si>
  <si>
    <t>MUNICÍPIO</t>
  </si>
  <si>
    <t xml:space="preserve">Relação das Dependências do Rot - Aquidauana (MS) </t>
  </si>
  <si>
    <t>AV.PRES.CASTELO BRANCO,194</t>
  </si>
  <si>
    <t>AFONSO PENA</t>
  </si>
  <si>
    <t>CAMPO GRANDE</t>
  </si>
  <si>
    <t>AV.AFONSO PENA,2202</t>
  </si>
  <si>
    <t>COXIM</t>
  </si>
  <si>
    <t>R.ANTONIO DE ALBUQUERQUE,248</t>
  </si>
  <si>
    <t>RIO VERDE M.GROSSO</t>
  </si>
  <si>
    <t>RIO VERDE DE MATO GROSSO</t>
  </si>
  <si>
    <t>R.BARAO DO RIO BRANCO,173</t>
  </si>
  <si>
    <t>SIDROLANDIA</t>
  </si>
  <si>
    <t>R.RIO GRANDE DO NORTE,160</t>
  </si>
  <si>
    <t>COSTA RICA</t>
  </si>
  <si>
    <t>AV.JOSE FERREIRA DA COSTA,1480</t>
  </si>
  <si>
    <t>CIDADE MORENA</t>
  </si>
  <si>
    <t>R.JOAO PEDRO DE SOUZA,1275</t>
  </si>
  <si>
    <t>ESTILO CAMPO GRANDE</t>
  </si>
  <si>
    <t>AV.DR.PAULO COELHO MACHADO,164</t>
  </si>
  <si>
    <t>ESTILO PANTANAL</t>
  </si>
  <si>
    <t>PEDRO GOMES</t>
  </si>
  <si>
    <t>R.BAHIA,545</t>
  </si>
  <si>
    <t>S.PUBLICO C.GRANDE</t>
  </si>
  <si>
    <t>AV.WALDIR DOS SANTOS PEREIRA,S/N</t>
  </si>
  <si>
    <t>CORP BANK MS</t>
  </si>
  <si>
    <t>R.QUINZE DE NOVEMBRO,2550</t>
  </si>
  <si>
    <t>SAO GABRIEL DO OESTE</t>
  </si>
  <si>
    <t>R.MINAS GERAIS,1305</t>
  </si>
  <si>
    <t>VIVENDAS</t>
  </si>
  <si>
    <t>AV AFONSO PENA 5572</t>
  </si>
  <si>
    <t>EMPRESA GUAICURUS</t>
  </si>
  <si>
    <t>AV.EDUARDO ELIAS ZAHRAN,2346</t>
  </si>
  <si>
    <t>AVENIDA BANDEIRANTES</t>
  </si>
  <si>
    <t>R.ARGEMIRO FIALHO,54</t>
  </si>
  <si>
    <t>AV.CORONEL ANTONINO</t>
  </si>
  <si>
    <t>AV.CEL.ANTONINO,194</t>
  </si>
  <si>
    <t>CHAPADAO DO SUL</t>
  </si>
  <si>
    <t>AV.ONZE,350</t>
  </si>
  <si>
    <t>JARDIM DOS ESTADOS</t>
  </si>
  <si>
    <t>R.MARACAJU,1564</t>
  </si>
  <si>
    <t>JULIO DE CASTILHOS</t>
  </si>
  <si>
    <t>AV JULIO DE CASTILHO, 1086</t>
  </si>
  <si>
    <t>SONORA</t>
  </si>
  <si>
    <t>AV.MARCELO MIRANDA SOARES,920</t>
  </si>
  <si>
    <t>EMPRESA CAMPO GRANDE</t>
  </si>
  <si>
    <t>R.MAL.CANDIDO MARIANO RONDON,1671</t>
  </si>
  <si>
    <t>MEX-C M O</t>
  </si>
  <si>
    <t>AV.DUQUE DE CAXIAS,1628</t>
  </si>
  <si>
    <t>FAB-BACG</t>
  </si>
  <si>
    <t>AV.DUQUE DE CAXIAS,2905</t>
  </si>
  <si>
    <t>TERENOS</t>
  </si>
  <si>
    <t>R.DR.ARY COELHO DE OLIVEIRA,70</t>
  </si>
  <si>
    <t>PARQUE DOS PODERES</t>
  </si>
  <si>
    <t>R.PRES.MANOEL F.DE CAMPOS SALES,1-C</t>
  </si>
  <si>
    <t>EXCLUSIVO CPO.GRANDE</t>
  </si>
  <si>
    <t>AV CASTELO BRANCO,194</t>
  </si>
  <si>
    <t>MORENINHAS</t>
  </si>
  <si>
    <t>R.FRAIBURGO,1340</t>
  </si>
  <si>
    <t>EMPRESA PANTANAL</t>
  </si>
  <si>
    <t>RUA TREZE DE MAIO 2691</t>
  </si>
  <si>
    <t>JARDIM TIJUCA-MS</t>
  </si>
  <si>
    <t>AV.MARECHAL DEODORO,2958</t>
  </si>
  <si>
    <t>AV.MASCARENHAS MORAE</t>
  </si>
  <si>
    <t>AV.MASCARENHAS DE MORAES,3075</t>
  </si>
  <si>
    <t>ESTILO E.DA CUNHA MS</t>
  </si>
  <si>
    <t>R.EUCLIDES DA CUNHA,525</t>
  </si>
  <si>
    <t>ESCR.EXC.PANTANAL</t>
  </si>
  <si>
    <t>CORUMBA</t>
  </si>
  <si>
    <t>R.TREZE DE JUNHO,914</t>
  </si>
  <si>
    <t>AQUIDAUANA</t>
  </si>
  <si>
    <t>R.MANOEL A.PAES DE BARROS,535</t>
  </si>
  <si>
    <t>GUIA LOPES DA LAGUNA</t>
  </si>
  <si>
    <t>AV.VISC.DE TAUNAY,608</t>
  </si>
  <si>
    <t>MIRANDA</t>
  </si>
  <si>
    <t>R.TIRADENTES,364</t>
  </si>
  <si>
    <t>PORTO MURTINHO</t>
  </si>
  <si>
    <t>PCA.THOMAZ LARANJEIRAS,34</t>
  </si>
  <si>
    <t>BONITO-MS</t>
  </si>
  <si>
    <t>BONITO</t>
  </si>
  <si>
    <t>R.LUIZ DA COSTA LEITE,2279</t>
  </si>
  <si>
    <t>NIOAQUE</t>
  </si>
  <si>
    <t>R.BENJAMIN CONSTANT,342</t>
  </si>
  <si>
    <t>DOIS IRMAOS BURITI</t>
  </si>
  <si>
    <t>DOIS IRMAOS DO BURITI</t>
  </si>
  <si>
    <t>AV.REGINALDO LEMES DA SILVA,564</t>
  </si>
  <si>
    <t>BODOQUENA</t>
  </si>
  <si>
    <t>R.TREZE DE MAIO,305</t>
  </si>
  <si>
    <t>Nº ITEM</t>
  </si>
  <si>
    <t>DESCRIÇÃO ITEM</t>
  </si>
  <si>
    <t>A interessada deverá prrencher os campos em amarelo abaixo.</t>
  </si>
  <si>
    <t xml:space="preserve">CONSERVAÇÃO PREDIAL  </t>
  </si>
  <si>
    <t xml:space="preserve">PROPONENTE : </t>
  </si>
  <si>
    <t>LOTE:</t>
  </si>
  <si>
    <t xml:space="preserve">MAFFENG ENGENHARIA E MANUTENÇÃO LTDA </t>
  </si>
  <si>
    <t xml:space="preserve">CNPJ: </t>
  </si>
  <si>
    <t>33.624.704/0001-94</t>
  </si>
  <si>
    <t>DESCONTO:</t>
  </si>
  <si>
    <t>07</t>
  </si>
  <si>
    <t>Desconto</t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</si>
  <si>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</si>
  <si>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</si>
  <si>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</si>
  <si>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</si>
  <si>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</si>
  <si>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</si>
  <si>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</si>
  <si>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</si>
  <si>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</si>
  <si>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</si>
  <si>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</si>
  <si>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</si>
  <si>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</si>
  <si>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</si>
  <si>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</si>
  <si>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Endereço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</si>
  <si>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</si>
  <si>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</si>
  <si>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</si>
  <si>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</si>
  <si>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</si>
  <si>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</si>
  <si>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</si>
  <si>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ITEM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</si>
  <si>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</si>
  <si>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</si>
  <si>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</si>
  <si>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</si>
  <si>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</si>
  <si>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</si>
  <si>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</si>
  <si>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</si>
  <si>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</si>
  <si>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</si>
  <si>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</si>
  <si>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</si>
  <si>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</si>
  <si>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</si>
  <si>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</si>
  <si>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</si>
  <si>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</si>
  <si>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</si>
  <si>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</si>
  <si>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</si>
  <si>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</si>
  <si>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</si>
  <si>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</si>
  <si>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</si>
  <si>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</si>
  <si>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</si>
  <si>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</si>
  <si>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</si>
  <si>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</si>
  <si>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</si>
  <si>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</si>
  <si>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</si>
  <si>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</si>
  <si>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</si>
  <si>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</si>
  <si>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</si>
  <si>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</si>
  <si>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</si>
  <si>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</si>
  <si>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</si>
  <si>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</si>
  <si>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</si>
  <si>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</si>
  <si>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</si>
  <si>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</si>
  <si>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</si>
  <si>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</si>
  <si>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</si>
  <si>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</si>
  <si>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</si>
  <si>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</si>
  <si>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Parecer do Responsável Técnico / Contratada</t>
  </si>
  <si>
    <r>
      <t xml:space="preserve">Sr. </t>
    </r>
    <r>
      <rPr>
        <b/>
        <sz val="10"/>
        <color rgb="FF000000"/>
        <rFont val="Calibri"/>
        <family val="2"/>
      </rPr>
      <t>ADMINISTRADOR PREDIAL</t>
    </r>
    <r>
      <rPr>
        <sz val="10"/>
        <color rgb="FF000000"/>
        <rFont val="Calibri"/>
        <family val="2"/>
      </rPr>
      <t>, antes de assinar o RAT (Relatório de Atendimento), deve-se observar que:</t>
    </r>
  </si>
  <si>
    <r>
      <t>O RAT deverá ser emitido em 3 vias, sendo: a 1</t>
    </r>
    <r>
      <rPr>
        <b/>
        <sz val="11"/>
        <color rgb="FF000000"/>
        <rFont val="Calibri"/>
        <family val="2"/>
      </rPr>
      <t>°</t>
    </r>
    <r>
      <rPr>
        <b/>
        <sz val="11"/>
        <color rgb="FF000000"/>
        <rFont val="Calibri"/>
        <family val="2"/>
      </rPr>
      <t xml:space="preserve"> Depêndencia Beneficiária, 2</t>
    </r>
    <r>
      <rPr>
        <b/>
        <sz val="11"/>
        <color rgb="FF000000"/>
        <rFont val="Calibri"/>
        <family val="2"/>
      </rPr>
      <t>°</t>
    </r>
    <r>
      <rPr>
        <b/>
        <sz val="11"/>
        <color rgb="FF000000"/>
        <rFont val="Calibri"/>
        <family val="2"/>
      </rPr>
      <t xml:space="preserve"> Empresa Contratada, e em 3</t>
    </r>
    <r>
      <rPr>
        <b/>
        <sz val="11"/>
        <color rgb="FF000000"/>
        <rFont val="Calibri"/>
        <family val="2"/>
      </rPr>
      <t>°</t>
    </r>
    <r>
      <rPr>
        <b/>
        <sz val="11"/>
        <color rgb="FF000000"/>
        <rFont val="Calibri"/>
        <family val="2"/>
      </rPr>
      <t xml:space="preserve"> CESUP Suprimentos</t>
    </r>
  </si>
  <si>
    <t>Laudo técnico fotográfico - Elementos de Sinalização - Padrão BB</t>
  </si>
  <si>
    <t xml:space="preserve"> 2024.7421.6122</t>
  </si>
  <si>
    <t>BANDEIRANTES</t>
  </si>
  <si>
    <t>R.DRA.JACIRA ONORIO LYRIO,1340 - - - - CEP: 0</t>
  </si>
  <si>
    <t>Preventiva</t>
  </si>
  <si>
    <t>Normal</t>
  </si>
  <si>
    <t>Laura</t>
  </si>
  <si>
    <t>Não</t>
  </si>
  <si>
    <t>Responsável</t>
  </si>
  <si>
    <t>F2190439 - SISTEMA</t>
  </si>
  <si>
    <t xml:space="preserve">Levantamento Preventivo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</si>
</sst>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0.000"/>
    <numFmt numFmtId="166" formatCode="#,##0.00000"/>
    <numFmt numFmtId="167" formatCode="&quot;R$&quot;\ #,##0.00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8"/>
      <color rgb="FF000000"/>
      <name val="Calibri"/>
      <family val="2"/>
    </font>
    <font>
      <sz val="8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000000"/>
      </patternFill>
    </fill>
    <fill>
      <patternFill patternType="solid">
        <fgColor rgb="FFD0CECE"/>
        <bgColor rgb="FF000000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FFFF00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FFFF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FF00"/>
      </left>
      <right/>
      <top/>
      <bottom/>
      <diagonal/>
    </border>
    <border>
      <left style="thick">
        <color rgb="FFFFFF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rgb="FFFFFF00"/>
      </right>
      <top style="thin">
        <color indexed="64"/>
      </top>
      <bottom/>
      <diagonal/>
    </border>
    <border>
      <left style="thick">
        <color rgb="FFFFFF00"/>
      </left>
      <right/>
      <top/>
      <bottom style="thin">
        <color indexed="64"/>
      </bottom>
      <diagonal/>
    </border>
    <border>
      <left/>
      <right style="thick">
        <color rgb="FFFFFF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</cellStyleXfs>
  <cellXfs count="265">
    <xf numFmtId="0" fontId="0" fillId="0" borderId="0" xfId="0"/>
    <xf numFmtId="49" fontId="5" fillId="2" borderId="0" xfId="1" applyNumberFormat="1" applyFont="1" applyFill="1" applyBorder="1" applyAlignment="1">
      <alignment horizontal="left" vertical="center"/>
    </xf>
    <xf numFmtId="10" fontId="8" fillId="3" borderId="0" xfId="2" applyNumberFormat="1" applyFont="1" applyFill="1" applyBorder="1" applyAlignment="1">
      <alignment horizontal="left" vertical="center" wrapText="1"/>
    </xf>
    <xf numFmtId="165" fontId="5" fillId="3" borderId="0" xfId="1" applyNumberFormat="1" applyFont="1" applyFill="1" applyBorder="1" applyAlignment="1">
      <alignment horizontal="right" vertical="center" wrapText="1"/>
    </xf>
    <xf numFmtId="4" fontId="5" fillId="3" borderId="0" xfId="1" applyNumberFormat="1" applyFont="1" applyFill="1" applyBorder="1" applyAlignment="1">
      <alignment horizontal="center" vertical="center" wrapText="1"/>
    </xf>
    <xf numFmtId="4" fontId="5" fillId="3" borderId="0" xfId="1" applyNumberFormat="1" applyFont="1" applyFill="1" applyBorder="1" applyAlignment="1">
      <alignment horizontal="right" vertical="center"/>
    </xf>
    <xf numFmtId="0" fontId="3" fillId="5" borderId="6" xfId="0" applyFont="1" applyFill="1" applyBorder="1" applyAlignment="1">
      <alignment horizontal="center" vertical="center"/>
    </xf>
    <xf numFmtId="2" fontId="3" fillId="5" borderId="6" xfId="0" applyNumberFormat="1" applyFont="1" applyFill="1" applyBorder="1" applyAlignment="1">
      <alignment horizontal="left" vertical="center" wrapText="1"/>
    </xf>
    <xf numFmtId="1" fontId="3" fillId="5" borderId="6" xfId="0" applyNumberFormat="1" applyFont="1" applyFill="1" applyBorder="1" applyAlignment="1">
      <alignment horizontal="center" vertical="center" wrapText="1"/>
    </xf>
    <xf numFmtId="2" fontId="3" fillId="5" borderId="6" xfId="0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/>
      <protection locked="0"/>
    </xf>
    <xf numFmtId="4" fontId="3" fillId="5" borderId="7" xfId="1" applyNumberFormat="1" applyFont="1" applyFill="1" applyBorder="1" applyAlignment="1" applyProtection="1">
      <alignment horizontal="center" vertical="center"/>
      <protection locked="0"/>
    </xf>
    <xf numFmtId="3" fontId="5" fillId="6" borderId="8" xfId="0" applyNumberFormat="1" applyFont="1" applyFill="1" applyBorder="1" applyAlignment="1">
      <alignment horizontal="center" vertical="center"/>
    </xf>
    <xf numFmtId="2" fontId="5" fillId="2" borderId="8" xfId="0" applyNumberFormat="1" applyFont="1" applyFill="1" applyBorder="1" applyAlignment="1">
      <alignment horizontal="justify" vertical="center" wrapText="1"/>
    </xf>
    <xf numFmtId="1" fontId="5" fillId="2" borderId="8" xfId="0" applyNumberFormat="1" applyFont="1" applyFill="1" applyBorder="1" applyAlignment="1">
      <alignment horizontal="center" vertical="center" wrapText="1"/>
    </xf>
    <xf numFmtId="4" fontId="5" fillId="2" borderId="8" xfId="0" applyNumberFormat="1" applyFont="1" applyFill="1" applyBorder="1" applyAlignment="1">
      <alignment horizontal="center" vertical="center" wrapText="1"/>
    </xf>
    <xf numFmtId="4" fontId="5" fillId="0" borderId="8" xfId="1" applyNumberFormat="1" applyFont="1" applyFill="1" applyBorder="1" applyAlignment="1" applyProtection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2" fontId="3" fillId="5" borderId="8" xfId="0" applyNumberFormat="1" applyFont="1" applyFill="1" applyBorder="1" applyAlignment="1">
      <alignment horizontal="left" vertical="center" wrapText="1"/>
    </xf>
    <xf numFmtId="2" fontId="4" fillId="5" borderId="8" xfId="0" applyNumberFormat="1" applyFont="1" applyFill="1" applyBorder="1" applyAlignment="1">
      <alignment horizontal="center" vertical="center" wrapText="1"/>
    </xf>
    <xf numFmtId="4" fontId="3" fillId="5" borderId="9" xfId="1" applyNumberFormat="1" applyFont="1" applyFill="1" applyBorder="1" applyAlignment="1" applyProtection="1">
      <alignment horizontal="center" vertical="center"/>
      <protection locked="0"/>
    </xf>
    <xf numFmtId="49" fontId="5" fillId="6" borderId="8" xfId="0" applyNumberFormat="1" applyFont="1" applyFill="1" applyBorder="1" applyAlignment="1">
      <alignment horizontal="center" vertical="center"/>
    </xf>
    <xf numFmtId="2" fontId="5" fillId="0" borderId="8" xfId="0" applyNumberFormat="1" applyFont="1" applyBorder="1" applyAlignment="1">
      <alignment horizontal="justify" vertical="center" wrapText="1"/>
    </xf>
    <xf numFmtId="4" fontId="5" fillId="0" borderId="8" xfId="0" applyNumberFormat="1" applyFont="1" applyBorder="1" applyAlignment="1">
      <alignment horizontal="left" vertical="center" wrapText="1"/>
    </xf>
    <xf numFmtId="4" fontId="5" fillId="0" borderId="8" xfId="0" applyNumberFormat="1" applyFont="1" applyBorder="1" applyAlignment="1">
      <alignment horizontal="center" vertical="center" wrapText="1"/>
    </xf>
    <xf numFmtId="0" fontId="3" fillId="5" borderId="8" xfId="3" applyFont="1" applyFill="1" applyBorder="1" applyAlignment="1">
      <alignment horizontal="center" vertical="center"/>
    </xf>
    <xf numFmtId="2" fontId="3" fillId="5" borderId="8" xfId="3" applyNumberFormat="1" applyFont="1" applyFill="1" applyBorder="1" applyAlignment="1">
      <alignment horizontal="left" vertical="center" wrapText="1"/>
    </xf>
    <xf numFmtId="49" fontId="5" fillId="6" borderId="8" xfId="3" applyNumberFormat="1" applyFont="1" applyFill="1" applyBorder="1" applyAlignment="1">
      <alignment horizontal="center" vertical="center"/>
    </xf>
    <xf numFmtId="2" fontId="3" fillId="5" borderId="8" xfId="3" applyNumberFormat="1" applyFont="1" applyFill="1" applyBorder="1" applyAlignment="1">
      <alignment horizontal="left" vertical="center"/>
    </xf>
    <xf numFmtId="4" fontId="3" fillId="5" borderId="6" xfId="1" applyNumberFormat="1" applyFont="1" applyFill="1" applyBorder="1" applyAlignment="1" applyProtection="1">
      <alignment horizontal="center" vertical="center"/>
    </xf>
    <xf numFmtId="4" fontId="5" fillId="5" borderId="8" xfId="1" applyNumberFormat="1" applyFont="1" applyFill="1" applyBorder="1" applyAlignment="1" applyProtection="1">
      <alignment horizontal="center" vertical="center"/>
      <protection locked="0"/>
    </xf>
    <xf numFmtId="4" fontId="5" fillId="5" borderId="9" xfId="1" applyNumberFormat="1" applyFont="1" applyFill="1" applyBorder="1" applyAlignment="1" applyProtection="1">
      <alignment horizontal="center" vertical="center"/>
      <protection locked="0"/>
    </xf>
    <xf numFmtId="1" fontId="5" fillId="0" borderId="8" xfId="0" applyNumberFormat="1" applyFont="1" applyBorder="1" applyAlignment="1">
      <alignment horizontal="center" vertical="center" wrapText="1"/>
    </xf>
    <xf numFmtId="14" fontId="0" fillId="0" borderId="0" xfId="0" applyNumberFormat="1"/>
    <xf numFmtId="4" fontId="0" fillId="0" borderId="0" xfId="0" applyNumberFormat="1"/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top" wrapText="1"/>
    </xf>
    <xf numFmtId="1" fontId="13" fillId="0" borderId="0" xfId="0" applyNumberFormat="1" applyFont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1" fontId="15" fillId="0" borderId="10" xfId="0" applyNumberFormat="1" applyFont="1" applyBorder="1" applyAlignment="1">
      <alignment horizontal="center" vertical="center" shrinkToFit="1"/>
    </xf>
    <xf numFmtId="0" fontId="16" fillId="0" borderId="10" xfId="0" applyFont="1" applyBorder="1" applyAlignment="1">
      <alignment horizontal="center" vertical="center" wrapText="1"/>
    </xf>
    <xf numFmtId="1" fontId="15" fillId="0" borderId="11" xfId="0" applyNumberFormat="1" applyFont="1" applyBorder="1" applyAlignment="1">
      <alignment horizontal="center" vertical="center" shrinkToFit="1"/>
    </xf>
    <xf numFmtId="0" fontId="16" fillId="0" borderId="1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1" fontId="15" fillId="0" borderId="14" xfId="0" applyNumberFormat="1" applyFont="1" applyBorder="1" applyAlignment="1">
      <alignment horizontal="center" vertical="center" shrinkToFit="1"/>
    </xf>
    <xf numFmtId="0" fontId="16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1" fontId="15" fillId="0" borderId="15" xfId="0" applyNumberFormat="1" applyFont="1" applyBorder="1" applyAlignment="1">
      <alignment horizontal="center" vertical="center" shrinkToFit="1"/>
    </xf>
    <xf numFmtId="0" fontId="16" fillId="0" borderId="8" xfId="0" applyFont="1" applyBorder="1" applyAlignment="1">
      <alignment horizontal="center" vertical="center" wrapText="1"/>
    </xf>
    <xf numFmtId="1" fontId="15" fillId="0" borderId="19" xfId="0" applyNumberFormat="1" applyFont="1" applyBorder="1" applyAlignment="1">
      <alignment horizontal="center" vertical="center" shrinkToFit="1"/>
    </xf>
    <xf numFmtId="0" fontId="16" fillId="0" borderId="20" xfId="0" applyFont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4" fontId="3" fillId="5" borderId="21" xfId="1" applyNumberFormat="1" applyFont="1" applyFill="1" applyBorder="1" applyAlignment="1" applyProtection="1">
      <alignment horizontal="center" vertical="center"/>
      <protection locked="0"/>
    </xf>
    <xf numFmtId="4" fontId="5" fillId="6" borderId="22" xfId="1" applyNumberFormat="1" applyFont="1" applyFill="1" applyBorder="1" applyAlignment="1" applyProtection="1">
      <alignment horizontal="center" vertical="center"/>
    </xf>
    <xf numFmtId="4" fontId="3" fillId="5" borderId="22" xfId="1" applyNumberFormat="1" applyFont="1" applyFill="1" applyBorder="1" applyAlignment="1" applyProtection="1">
      <alignment horizontal="center" vertical="center"/>
      <protection locked="0"/>
    </xf>
    <xf numFmtId="4" fontId="3" fillId="5" borderId="21" xfId="1" applyNumberFormat="1" applyFont="1" applyFill="1" applyBorder="1" applyAlignment="1" applyProtection="1">
      <alignment horizontal="center" vertical="center"/>
    </xf>
    <xf numFmtId="1" fontId="6" fillId="4" borderId="23" xfId="0" applyNumberFormat="1" applyFont="1" applyFill="1" applyBorder="1" applyAlignment="1" applyProtection="1">
      <alignment horizontal="center" vertical="center"/>
      <protection locked="0"/>
    </xf>
    <xf numFmtId="2" fontId="6" fillId="4" borderId="24" xfId="0" applyNumberFormat="1" applyFont="1" applyFill="1" applyBorder="1" applyAlignment="1">
      <alignment horizontal="center" vertical="center"/>
    </xf>
    <xf numFmtId="4" fontId="6" fillId="4" borderId="12" xfId="1" applyNumberFormat="1" applyFont="1" applyFill="1" applyBorder="1" applyAlignment="1" applyProtection="1">
      <alignment horizontal="center" vertical="center" wrapText="1"/>
    </xf>
    <xf numFmtId="4" fontId="6" fillId="4" borderId="25" xfId="1" applyNumberFormat="1" applyFont="1" applyFill="1" applyBorder="1" applyAlignment="1" applyProtection="1">
      <alignment horizontal="center" vertical="center" wrapText="1"/>
      <protection locked="0"/>
    </xf>
    <xf numFmtId="49" fontId="7" fillId="7" borderId="20" xfId="3" applyNumberFormat="1" applyFont="1" applyFill="1" applyBorder="1" applyAlignment="1">
      <alignment horizontal="left" vertical="center"/>
    </xf>
    <xf numFmtId="2" fontId="7" fillId="7" borderId="20" xfId="3" applyNumberFormat="1" applyFont="1" applyFill="1" applyBorder="1" applyAlignment="1">
      <alignment horizontal="left" vertical="center" wrapText="1"/>
    </xf>
    <xf numFmtId="1" fontId="7" fillId="7" borderId="20" xfId="3" applyNumberFormat="1" applyFont="1" applyFill="1" applyBorder="1" applyAlignment="1">
      <alignment horizontal="center" vertical="center" wrapText="1"/>
    </xf>
    <xf numFmtId="2" fontId="10" fillId="7" borderId="20" xfId="3" applyNumberFormat="1" applyFont="1" applyFill="1" applyBorder="1" applyAlignment="1">
      <alignment horizontal="center" vertical="center" wrapText="1"/>
    </xf>
    <xf numFmtId="4" fontId="7" fillId="7" borderId="20" xfId="4" applyNumberFormat="1" applyFont="1" applyFill="1" applyBorder="1" applyAlignment="1" applyProtection="1">
      <alignment horizontal="center" vertical="center"/>
    </xf>
    <xf numFmtId="4" fontId="11" fillId="7" borderId="26" xfId="4" applyNumberFormat="1" applyFont="1" applyFill="1" applyBorder="1" applyAlignment="1" applyProtection="1">
      <alignment horizontal="center" vertical="center"/>
    </xf>
    <xf numFmtId="4" fontId="11" fillId="7" borderId="27" xfId="4" applyNumberFormat="1" applyFont="1" applyFill="1" applyBorder="1" applyAlignment="1" applyProtection="1">
      <alignment horizontal="center" vertical="center"/>
    </xf>
    <xf numFmtId="49" fontId="6" fillId="4" borderId="5" xfId="0" applyNumberFormat="1" applyFont="1" applyFill="1" applyBorder="1" applyAlignment="1">
      <alignment horizontal="center" vertical="center"/>
    </xf>
    <xf numFmtId="2" fontId="6" fillId="4" borderId="5" xfId="0" applyNumberFormat="1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49" fontId="7" fillId="10" borderId="1" xfId="1" applyNumberFormat="1" applyFont="1" applyFill="1" applyBorder="1" applyAlignment="1" applyProtection="1">
      <alignment horizontal="left" vertical="center"/>
    </xf>
    <xf numFmtId="49" fontId="7" fillId="2" borderId="0" xfId="1" applyNumberFormat="1" applyFont="1" applyFill="1" applyBorder="1" applyAlignment="1" applyProtection="1">
      <alignment horizontal="left" vertical="center"/>
    </xf>
    <xf numFmtId="2" fontId="7" fillId="2" borderId="0" xfId="1" applyNumberFormat="1" applyFont="1" applyFill="1" applyBorder="1" applyAlignment="1" applyProtection="1">
      <alignment vertical="center"/>
    </xf>
    <xf numFmtId="2" fontId="7" fillId="9" borderId="0" xfId="1" applyNumberFormat="1" applyFont="1" applyFill="1" applyBorder="1" applyAlignment="1" applyProtection="1">
      <alignment horizontal="right" vertical="center"/>
    </xf>
    <xf numFmtId="49" fontId="7" fillId="9" borderId="0" xfId="1" applyNumberFormat="1" applyFont="1" applyFill="1" applyBorder="1" applyAlignment="1" applyProtection="1">
      <alignment horizontal="center" vertical="center"/>
    </xf>
    <xf numFmtId="2" fontId="7" fillId="2" borderId="3" xfId="1" applyNumberFormat="1" applyFont="1" applyFill="1" applyBorder="1" applyAlignment="1" applyProtection="1">
      <alignment vertical="center"/>
    </xf>
    <xf numFmtId="49" fontId="7" fillId="2" borderId="4" xfId="1" applyNumberFormat="1" applyFont="1" applyFill="1" applyBorder="1" applyAlignment="1" applyProtection="1">
      <alignment horizontal="left" vertical="center"/>
    </xf>
    <xf numFmtId="1" fontId="6" fillId="9" borderId="4" xfId="1" applyNumberFormat="1" applyFont="1" applyFill="1" applyBorder="1" applyAlignment="1" applyProtection="1">
      <alignment horizontal="center" vertical="center" wrapText="1"/>
    </xf>
    <xf numFmtId="49" fontId="5" fillId="2" borderId="4" xfId="1" applyNumberFormat="1" applyFont="1" applyFill="1" applyBorder="1" applyAlignment="1" applyProtection="1">
      <alignment horizontal="right" vertical="center"/>
    </xf>
    <xf numFmtId="4" fontId="6" fillId="2" borderId="4" xfId="1" applyNumberFormat="1" applyFont="1" applyFill="1" applyBorder="1" applyAlignment="1" applyProtection="1">
      <alignment horizontal="right" vertical="center"/>
    </xf>
    <xf numFmtId="10" fontId="6" fillId="2" borderId="5" xfId="2" applyNumberFormat="1" applyFont="1" applyFill="1" applyBorder="1" applyAlignment="1" applyProtection="1">
      <alignment horizontal="center" vertical="center"/>
    </xf>
    <xf numFmtId="4" fontId="6" fillId="4" borderId="30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/>
    </xf>
    <xf numFmtId="4" fontId="5" fillId="5" borderId="8" xfId="1" applyNumberFormat="1" applyFont="1" applyFill="1" applyBorder="1" applyAlignment="1">
      <alignment horizontal="center" vertical="center"/>
    </xf>
    <xf numFmtId="4" fontId="5" fillId="5" borderId="9" xfId="1" applyNumberFormat="1" applyFont="1" applyFill="1" applyBorder="1" applyAlignment="1">
      <alignment horizontal="center" vertical="center"/>
    </xf>
    <xf numFmtId="4" fontId="5" fillId="11" borderId="8" xfId="1" applyNumberFormat="1" applyFont="1" applyFill="1" applyBorder="1" applyAlignment="1">
      <alignment horizontal="center" vertical="center"/>
    </xf>
    <xf numFmtId="4" fontId="5" fillId="0" borderId="8" xfId="1" applyNumberFormat="1" applyFont="1" applyBorder="1" applyAlignment="1">
      <alignment horizontal="center" vertical="center"/>
    </xf>
    <xf numFmtId="4" fontId="3" fillId="5" borderId="7" xfId="1" applyNumberFormat="1" applyFont="1" applyFill="1" applyBorder="1" applyAlignment="1">
      <alignment horizontal="center" vertical="center"/>
    </xf>
    <xf numFmtId="10" fontId="0" fillId="0" borderId="0" xfId="2" applyNumberFormat="1" applyFont="1"/>
    <xf numFmtId="4" fontId="7" fillId="9" borderId="4" xfId="1" applyNumberFormat="1" applyFont="1" applyFill="1" applyBorder="1" applyAlignment="1" applyProtection="1">
      <alignment vertical="center"/>
    </xf>
    <xf numFmtId="49" fontId="7" fillId="9" borderId="4" xfId="1" applyNumberFormat="1" applyFont="1" applyFill="1" applyBorder="1" applyAlignment="1" applyProtection="1">
      <alignment horizontal="center" vertical="center"/>
      <protection locked="0"/>
    </xf>
    <xf numFmtId="4" fontId="5" fillId="9" borderId="8" xfId="1" applyNumberFormat="1" applyFont="1" applyFill="1" applyBorder="1" applyAlignment="1" applyProtection="1">
      <alignment horizontal="center" vertical="center"/>
      <protection locked="0"/>
    </xf>
    <xf numFmtId="4" fontId="5" fillId="9" borderId="9" xfId="1" applyNumberFormat="1" applyFont="1" applyFill="1" applyBorder="1" applyAlignment="1" applyProtection="1">
      <alignment horizontal="center" vertical="center"/>
      <protection locked="0"/>
    </xf>
    <xf numFmtId="4" fontId="5" fillId="9" borderId="8" xfId="1" applyNumberFormat="1" applyFont="1" applyFill="1" applyBorder="1" applyAlignment="1">
      <alignment horizontal="center" vertical="center"/>
    </xf>
    <xf numFmtId="4" fontId="5" fillId="9" borderId="9" xfId="1" applyNumberFormat="1" applyFont="1" applyFill="1" applyBorder="1" applyAlignment="1">
      <alignment horizontal="center" vertical="center"/>
    </xf>
    <xf numFmtId="166" fontId="5" fillId="9" borderId="8" xfId="1" applyNumberFormat="1" applyFont="1" applyFill="1" applyBorder="1" applyAlignment="1">
      <alignment horizontal="center" vertical="center"/>
    </xf>
    <xf numFmtId="166" fontId="5" fillId="9" borderId="9" xfId="1" applyNumberFormat="1" applyFont="1" applyFill="1" applyBorder="1" applyAlignment="1">
      <alignment horizontal="center" vertical="center"/>
    </xf>
    <xf numFmtId="0" fontId="22" fillId="0" borderId="41" xfId="0" applyFont="1" applyBorder="1" applyAlignment="1" applyProtection="1">
      <alignment horizontal="center" vertical="center"/>
      <protection locked="0"/>
    </xf>
    <xf numFmtId="0" fontId="22" fillId="12" borderId="8" xfId="0" applyFont="1" applyFill="1" applyBorder="1" applyAlignment="1">
      <alignment horizontal="center" vertical="center"/>
    </xf>
    <xf numFmtId="0" fontId="24" fillId="0" borderId="41" xfId="0" applyFont="1" applyBorder="1" applyAlignment="1" applyProtection="1">
      <alignment horizontal="center" vertical="center"/>
      <protection locked="0"/>
    </xf>
    <xf numFmtId="0" fontId="24" fillId="0" borderId="8" xfId="0" applyFont="1" applyBorder="1" applyAlignment="1">
      <alignment horizontal="center" vertical="center"/>
    </xf>
    <xf numFmtId="2" fontId="24" fillId="0" borderId="8" xfId="0" applyNumberFormat="1" applyFont="1" applyBorder="1" applyAlignment="1">
      <alignment horizontal="center" vertical="center"/>
    </xf>
    <xf numFmtId="0" fontId="22" fillId="12" borderId="41" xfId="0" applyFont="1" applyFill="1" applyBorder="1" applyAlignment="1">
      <alignment horizontal="center" vertical="center"/>
    </xf>
    <xf numFmtId="167" fontId="23" fillId="0" borderId="41" xfId="0" applyNumberFormat="1" applyFont="1" applyBorder="1" applyAlignment="1">
      <alignment horizontal="center" vertical="center"/>
    </xf>
    <xf numFmtId="167" fontId="23" fillId="0" borderId="22" xfId="0" applyNumberFormat="1" applyFont="1" applyBorder="1" applyAlignment="1">
      <alignment horizontal="center" vertical="center"/>
    </xf>
    <xf numFmtId="167" fontId="23" fillId="0" borderId="42" xfId="0" applyNumberFormat="1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2" fillId="12" borderId="31" xfId="0" applyFont="1" applyFill="1" applyBorder="1" applyAlignment="1">
      <alignment horizontal="center" vertical="center"/>
    </xf>
    <xf numFmtId="0" fontId="22" fillId="12" borderId="41" xfId="0" applyFont="1" applyFill="1" applyBorder="1" applyAlignment="1">
      <alignment horizontal="center"/>
    </xf>
    <xf numFmtId="167" fontId="23" fillId="0" borderId="8" xfId="0" applyNumberFormat="1" applyFont="1" applyBorder="1" applyAlignment="1">
      <alignment horizontal="center" vertical="center"/>
    </xf>
    <xf numFmtId="167" fontId="22" fillId="0" borderId="8" xfId="0" applyNumberFormat="1" applyFont="1" applyBorder="1" applyAlignment="1">
      <alignment horizontal="center" vertical="center"/>
    </xf>
    <xf numFmtId="0" fontId="19" fillId="0" borderId="0" xfId="0" applyFont="1"/>
    <xf numFmtId="3" fontId="24" fillId="0" borderId="41" xfId="0" applyNumberFormat="1" applyFont="1" applyBorder="1" applyAlignment="1" applyProtection="1">
      <alignment horizontal="center" vertical="center"/>
      <protection locked="0"/>
    </xf>
    <xf numFmtId="2" fontId="24" fillId="0" borderId="8" xfId="0" applyNumberFormat="1" applyFont="1" applyBorder="1" applyAlignment="1" applyProtection="1">
      <alignment horizontal="center" vertical="center"/>
      <protection locked="0"/>
    </xf>
    <xf numFmtId="0" fontId="29" fillId="0" borderId="8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2" fontId="24" fillId="0" borderId="22" xfId="0" applyNumberFormat="1" applyFont="1" applyBorder="1" applyAlignment="1">
      <alignment horizontal="center" vertical="center"/>
    </xf>
    <xf numFmtId="2" fontId="24" fillId="0" borderId="15" xfId="0" applyNumberFormat="1" applyFont="1" applyBorder="1" applyAlignment="1">
      <alignment horizontal="center" vertical="center"/>
    </xf>
    <xf numFmtId="14" fontId="22" fillId="0" borderId="27" xfId="0" applyNumberFormat="1" applyFont="1" applyBorder="1" applyAlignment="1" applyProtection="1">
      <alignment horizontal="center" vertical="center"/>
      <protection locked="0"/>
    </xf>
    <xf numFmtId="0" fontId="22" fillId="0" borderId="36" xfId="0" applyFont="1" applyBorder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22" fillId="0" borderId="29" xfId="0" applyFont="1" applyBorder="1" applyAlignment="1" applyProtection="1">
      <alignment horizontal="center" vertical="center"/>
      <protection locked="0"/>
    </xf>
    <xf numFmtId="14" fontId="22" fillId="0" borderId="35" xfId="0" applyNumberFormat="1" applyFont="1" applyBorder="1" applyAlignment="1" applyProtection="1">
      <alignment horizontal="center" vertical="center"/>
      <protection locked="0"/>
    </xf>
    <xf numFmtId="0" fontId="22" fillId="0" borderId="38" xfId="0" applyFont="1" applyBorder="1" applyAlignment="1" applyProtection="1">
      <alignment horizontal="center" vertical="center"/>
      <protection locked="0"/>
    </xf>
    <xf numFmtId="0" fontId="22" fillId="0" borderId="41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12" borderId="8" xfId="0" applyFont="1" applyFill="1" applyBorder="1" applyAlignment="1">
      <alignment horizontal="left"/>
    </xf>
    <xf numFmtId="0" fontId="22" fillId="0" borderId="41" xfId="0" applyFont="1" applyBorder="1" applyAlignment="1" applyProtection="1">
      <alignment horizontal="center"/>
      <protection locked="0"/>
    </xf>
    <xf numFmtId="0" fontId="22" fillId="0" borderId="8" xfId="0" applyFont="1" applyBorder="1" applyAlignment="1" applyProtection="1">
      <alignment horizontal="center"/>
      <protection locked="0"/>
    </xf>
    <xf numFmtId="0" fontId="22" fillId="0" borderId="36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12" borderId="41" xfId="0" applyFont="1" applyFill="1" applyBorder="1" applyAlignment="1">
      <alignment horizontal="center" vertical="center"/>
    </xf>
    <xf numFmtId="0" fontId="22" fillId="12" borderId="8" xfId="0" applyFont="1" applyFill="1" applyBorder="1" applyAlignment="1">
      <alignment horizontal="center" vertical="center"/>
    </xf>
    <xf numFmtId="0" fontId="22" fillId="12" borderId="42" xfId="0" applyFont="1" applyFill="1" applyBorder="1" applyAlignment="1">
      <alignment horizontal="center" vertical="center"/>
    </xf>
    <xf numFmtId="0" fontId="22" fillId="12" borderId="31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1" fillId="12" borderId="41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0" fontId="22" fillId="12" borderId="41" xfId="0" applyFont="1" applyFill="1" applyBorder="1" applyAlignment="1">
      <alignment horizontal="left"/>
    </xf>
    <xf numFmtId="0" fontId="22" fillId="12" borderId="22" xfId="0" applyFont="1" applyFill="1" applyBorder="1" applyAlignment="1">
      <alignment horizontal="left"/>
    </xf>
    <xf numFmtId="0" fontId="22" fillId="12" borderId="41" xfId="0" applyFont="1" applyFill="1" applyBorder="1" applyAlignment="1">
      <alignment horizontal="left" vertical="center"/>
    </xf>
    <xf numFmtId="0" fontId="22" fillId="12" borderId="8" xfId="0" applyFont="1" applyFill="1" applyBorder="1" applyAlignment="1">
      <alignment horizontal="left" vertical="center"/>
    </xf>
    <xf numFmtId="0" fontId="22" fillId="0" borderId="31" xfId="0" applyFont="1" applyBorder="1" applyAlignment="1" applyProtection="1">
      <alignment horizontal="left" vertical="center"/>
      <protection locked="0"/>
    </xf>
    <xf numFmtId="0" fontId="22" fillId="0" borderId="33" xfId="0" applyFont="1" applyBorder="1" applyAlignment="1" applyProtection="1">
      <alignment horizontal="left" vertical="center"/>
      <protection locked="0"/>
    </xf>
    <xf numFmtId="0" fontId="22" fillId="0" borderId="31" xfId="0" applyFont="1" applyBorder="1" applyAlignment="1" applyProtection="1">
      <alignment horizontal="center"/>
      <protection locked="0"/>
    </xf>
    <xf numFmtId="0" fontId="22" fillId="0" borderId="33" xfId="0" applyFont="1" applyBorder="1" applyAlignment="1" applyProtection="1">
      <alignment horizontal="center"/>
      <protection locked="0"/>
    </xf>
    <xf numFmtId="0" fontId="22" fillId="12" borderId="15" xfId="0" applyFont="1" applyFill="1" applyBorder="1" applyAlignment="1">
      <alignment horizontal="center" vertical="center" wrapText="1"/>
    </xf>
    <xf numFmtId="14" fontId="23" fillId="0" borderId="41" xfId="0" applyNumberFormat="1" applyFont="1" applyBorder="1" applyAlignment="1">
      <alignment horizontal="center" vertical="center"/>
    </xf>
    <xf numFmtId="14" fontId="23" fillId="0" borderId="8" xfId="0" applyNumberFormat="1" applyFont="1" applyBorder="1" applyAlignment="1">
      <alignment horizontal="center" vertical="center"/>
    </xf>
    <xf numFmtId="14" fontId="23" fillId="0" borderId="42" xfId="0" applyNumberFormat="1" applyFont="1" applyBorder="1" applyAlignment="1">
      <alignment horizontal="center" vertical="center"/>
    </xf>
    <xf numFmtId="167" fontId="23" fillId="0" borderId="33" xfId="0" applyNumberFormat="1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2" fillId="0" borderId="32" xfId="0" applyFont="1" applyBorder="1" applyAlignment="1" applyProtection="1">
      <alignment horizontal="left" vertical="center"/>
      <protection locked="0"/>
    </xf>
    <xf numFmtId="0" fontId="22" fillId="0" borderId="15" xfId="0" applyFont="1" applyBorder="1" applyAlignment="1" applyProtection="1">
      <alignment horizontal="left" vertical="center"/>
      <protection locked="0"/>
    </xf>
    <xf numFmtId="0" fontId="24" fillId="12" borderId="22" xfId="0" applyFont="1" applyFill="1" applyBorder="1" applyAlignment="1">
      <alignment horizontal="center" vertical="center"/>
    </xf>
    <xf numFmtId="0" fontId="24" fillId="12" borderId="33" xfId="0" applyFont="1" applyFill="1" applyBorder="1" applyAlignment="1">
      <alignment horizontal="center" vertical="center"/>
    </xf>
    <xf numFmtId="0" fontId="24" fillId="12" borderId="15" xfId="0" applyFont="1" applyFill="1" applyBorder="1" applyAlignment="1">
      <alignment horizontal="center" vertical="center"/>
    </xf>
    <xf numFmtId="0" fontId="22" fillId="12" borderId="33" xfId="0" applyFont="1" applyFill="1" applyBorder="1" applyAlignment="1">
      <alignment horizontal="left" vertical="center"/>
    </xf>
    <xf numFmtId="0" fontId="22" fillId="12" borderId="32" xfId="0" applyFont="1" applyFill="1" applyBorder="1" applyAlignment="1">
      <alignment horizontal="left" vertical="center"/>
    </xf>
    <xf numFmtId="0" fontId="22" fillId="12" borderId="0" xfId="0" applyFont="1" applyFill="1" applyAlignment="1">
      <alignment horizontal="left" vertical="center"/>
    </xf>
    <xf numFmtId="0" fontId="22" fillId="12" borderId="16" xfId="0" applyFont="1" applyFill="1" applyBorder="1" applyAlignment="1">
      <alignment horizontal="left" vertical="center"/>
    </xf>
    <xf numFmtId="0" fontId="22" fillId="0" borderId="37" xfId="0" applyFont="1" applyBorder="1" applyAlignment="1" applyProtection="1">
      <alignment horizontal="center" vertical="center"/>
      <protection locked="0"/>
    </xf>
    <xf numFmtId="0" fontId="22" fillId="0" borderId="35" xfId="0" applyFont="1" applyBorder="1" applyAlignment="1" applyProtection="1">
      <alignment horizontal="center" vertical="center"/>
      <protection locked="0"/>
    </xf>
    <xf numFmtId="0" fontId="22" fillId="0" borderId="19" xfId="0" applyFont="1" applyBorder="1" applyAlignment="1" applyProtection="1">
      <alignment horizontal="center" vertical="center"/>
      <protection locked="0"/>
    </xf>
    <xf numFmtId="0" fontId="25" fillId="0" borderId="8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2" fillId="12" borderId="31" xfId="0" applyFont="1" applyFill="1" applyBorder="1" applyAlignment="1">
      <alignment horizontal="left" vertical="center"/>
    </xf>
    <xf numFmtId="0" fontId="22" fillId="12" borderId="34" xfId="0" applyFont="1" applyFill="1" applyBorder="1" applyAlignment="1">
      <alignment horizontal="left" vertical="center"/>
    </xf>
    <xf numFmtId="0" fontId="23" fillId="0" borderId="31" xfId="0" applyFont="1" applyBorder="1" applyAlignment="1" applyProtection="1">
      <alignment horizontal="center" vertical="center"/>
      <protection locked="0"/>
    </xf>
    <xf numFmtId="0" fontId="23" fillId="0" borderId="32" xfId="0" applyFont="1" applyBorder="1" applyAlignment="1" applyProtection="1">
      <alignment horizontal="center" vertical="center"/>
      <protection locked="0"/>
    </xf>
    <xf numFmtId="14" fontId="22" fillId="0" borderId="0" xfId="0" applyNumberFormat="1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49" fontId="22" fillId="0" borderId="35" xfId="0" applyNumberFormat="1" applyFont="1" applyBorder="1" applyAlignment="1">
      <alignment horizontal="center" vertical="center"/>
    </xf>
    <xf numFmtId="49" fontId="22" fillId="0" borderId="36" xfId="0" applyNumberFormat="1" applyFont="1" applyBorder="1" applyAlignment="1">
      <alignment horizontal="center" vertical="center"/>
    </xf>
    <xf numFmtId="49" fontId="22" fillId="0" borderId="37" xfId="0" applyNumberFormat="1" applyFont="1" applyBorder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12" borderId="35" xfId="0" applyFont="1" applyFill="1" applyBorder="1" applyAlignment="1">
      <alignment horizontal="left"/>
    </xf>
    <xf numFmtId="0" fontId="22" fillId="12" borderId="36" xfId="0" applyFont="1" applyFill="1" applyBorder="1" applyAlignment="1">
      <alignment horizontal="left"/>
    </xf>
    <xf numFmtId="0" fontId="22" fillId="12" borderId="35" xfId="0" applyFont="1" applyFill="1" applyBorder="1" applyAlignment="1">
      <alignment horizontal="left" vertical="center"/>
    </xf>
    <xf numFmtId="0" fontId="22" fillId="12" borderId="36" xfId="0" applyFont="1" applyFill="1" applyBorder="1" applyAlignment="1">
      <alignment horizontal="left" vertical="center"/>
    </xf>
    <xf numFmtId="0" fontId="22" fillId="12" borderId="37" xfId="0" applyFont="1" applyFill="1" applyBorder="1" applyAlignment="1">
      <alignment horizontal="left" vertical="center"/>
    </xf>
    <xf numFmtId="0" fontId="22" fillId="12" borderId="38" xfId="0" applyFont="1" applyFill="1" applyBorder="1" applyAlignment="1">
      <alignment horizontal="left" vertical="center"/>
    </xf>
    <xf numFmtId="0" fontId="22" fillId="12" borderId="29" xfId="0" applyFont="1" applyFill="1" applyBorder="1" applyAlignment="1">
      <alignment horizontal="left" vertical="center"/>
    </xf>
    <xf numFmtId="0" fontId="22" fillId="12" borderId="39" xfId="0" applyFont="1" applyFill="1" applyBorder="1" applyAlignment="1">
      <alignment horizontal="left" vertical="center"/>
    </xf>
    <xf numFmtId="0" fontId="22" fillId="12" borderId="19" xfId="0" applyFont="1" applyFill="1" applyBorder="1" applyAlignment="1">
      <alignment horizontal="left"/>
    </xf>
    <xf numFmtId="0" fontId="22" fillId="12" borderId="38" xfId="0" applyFont="1" applyFill="1" applyBorder="1" applyAlignment="1">
      <alignment horizontal="left"/>
    </xf>
    <xf numFmtId="0" fontId="22" fillId="12" borderId="29" xfId="0" applyFont="1" applyFill="1" applyBorder="1" applyAlignment="1">
      <alignment horizontal="left"/>
    </xf>
    <xf numFmtId="0" fontId="22" fillId="12" borderId="40" xfId="0" applyFont="1" applyFill="1" applyBorder="1" applyAlignment="1">
      <alignment horizontal="left"/>
    </xf>
    <xf numFmtId="0" fontId="22" fillId="0" borderId="31" xfId="0" applyFont="1" applyBorder="1" applyAlignment="1" applyProtection="1">
      <alignment horizontal="center" vertical="center"/>
      <protection locked="0"/>
    </xf>
    <xf numFmtId="0" fontId="22" fillId="0" borderId="33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>
      <alignment horizontal="left" vertical="center"/>
    </xf>
    <xf numFmtId="0" fontId="22" fillId="0" borderId="33" xfId="0" applyFont="1" applyBorder="1" applyAlignment="1">
      <alignment horizontal="left" vertical="center"/>
    </xf>
    <xf numFmtId="0" fontId="22" fillId="0" borderId="32" xfId="0" applyFont="1" applyBorder="1" applyAlignment="1">
      <alignment horizontal="left" vertical="center"/>
    </xf>
    <xf numFmtId="0" fontId="22" fillId="0" borderId="31" xfId="0" applyFont="1" applyBorder="1" applyAlignment="1">
      <alignment horizontal="left" vertical="center"/>
    </xf>
    <xf numFmtId="0" fontId="22" fillId="0" borderId="15" xfId="0" applyFont="1" applyBorder="1" applyAlignment="1">
      <alignment horizontal="left" vertical="center"/>
    </xf>
    <xf numFmtId="0" fontId="22" fillId="12" borderId="15" xfId="0" applyFont="1" applyFill="1" applyBorder="1" applyAlignment="1">
      <alignment horizontal="left" vertical="center"/>
    </xf>
    <xf numFmtId="0" fontId="22" fillId="12" borderId="19" xfId="0" applyFont="1" applyFill="1" applyBorder="1" applyAlignment="1">
      <alignment horizontal="left" vertical="center"/>
    </xf>
    <xf numFmtId="14" fontId="22" fillId="0" borderId="31" xfId="0" applyNumberFormat="1" applyFont="1" applyBorder="1" applyAlignment="1" applyProtection="1">
      <alignment horizontal="center" vertical="center"/>
      <protection locked="0"/>
    </xf>
    <xf numFmtId="0" fontId="22" fillId="0" borderId="32" xfId="0" applyFont="1" applyBorder="1" applyAlignment="1" applyProtection="1">
      <alignment horizontal="center" vertical="center"/>
      <protection locked="0"/>
    </xf>
    <xf numFmtId="0" fontId="22" fillId="0" borderId="27" xfId="0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/>
    </xf>
    <xf numFmtId="0" fontId="19" fillId="0" borderId="29" xfId="0" applyFont="1" applyBorder="1" applyAlignment="1">
      <alignment horizontal="center"/>
    </xf>
    <xf numFmtId="0" fontId="19" fillId="0" borderId="40" xfId="0" applyFont="1" applyBorder="1" applyAlignment="1">
      <alignment horizontal="center"/>
    </xf>
    <xf numFmtId="0" fontId="22" fillId="12" borderId="6" xfId="0" applyFont="1" applyFill="1" applyBorder="1" applyAlignment="1">
      <alignment horizontal="center"/>
    </xf>
    <xf numFmtId="0" fontId="22" fillId="12" borderId="6" xfId="0" applyFont="1" applyFill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27" xfId="0" applyFont="1" applyBorder="1" applyAlignment="1">
      <alignment horizontal="center"/>
    </xf>
    <xf numFmtId="0" fontId="19" fillId="0" borderId="36" xfId="0" applyFont="1" applyBorder="1" applyAlignment="1">
      <alignment horizontal="center"/>
    </xf>
    <xf numFmtId="0" fontId="19" fillId="0" borderId="19" xfId="0" applyFont="1" applyBorder="1" applyAlignment="1">
      <alignment horizontal="center"/>
    </xf>
    <xf numFmtId="0" fontId="27" fillId="0" borderId="8" xfId="0" applyFont="1" applyBorder="1" applyAlignment="1">
      <alignment horizontal="justify"/>
    </xf>
    <xf numFmtId="0" fontId="27" fillId="0" borderId="20" xfId="0" applyFont="1" applyBorder="1" applyAlignment="1">
      <alignment horizontal="justify"/>
    </xf>
    <xf numFmtId="0" fontId="19" fillId="0" borderId="8" xfId="0" applyFont="1" applyBorder="1" applyAlignment="1">
      <alignment horizontal="center" vertical="center"/>
    </xf>
    <xf numFmtId="0" fontId="22" fillId="12" borderId="8" xfId="0" applyFont="1" applyFill="1" applyBorder="1" applyAlignment="1">
      <alignment horizontal="center" vertical="center" wrapText="1"/>
    </xf>
    <xf numFmtId="0" fontId="22" fillId="12" borderId="8" xfId="0" applyFont="1" applyFill="1" applyBorder="1" applyAlignment="1">
      <alignment horizontal="left" vertical="center" wrapText="1"/>
    </xf>
    <xf numFmtId="14" fontId="28" fillId="0" borderId="8" xfId="0" applyNumberFormat="1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2" fillId="13" borderId="8" xfId="0" applyFont="1" applyFill="1" applyBorder="1" applyAlignment="1">
      <alignment horizontal="left"/>
    </xf>
    <xf numFmtId="0" fontId="26" fillId="0" borderId="8" xfId="0" applyFont="1" applyBorder="1" applyAlignment="1">
      <alignment horizontal="left"/>
    </xf>
    <xf numFmtId="0" fontId="29" fillId="0" borderId="8" xfId="0" applyFont="1" applyBorder="1" applyAlignment="1">
      <alignment horizontal="left" vertical="center"/>
    </xf>
    <xf numFmtId="0" fontId="21" fillId="12" borderId="8" xfId="0" applyFont="1" applyFill="1" applyBorder="1" applyAlignment="1">
      <alignment horizontal="center" vertical="center" wrapText="1"/>
    </xf>
    <xf numFmtId="0" fontId="19" fillId="0" borderId="8" xfId="0" applyFont="1" applyBorder="1" applyAlignment="1" applyProtection="1">
      <alignment horizontal="center"/>
      <protection locked="0"/>
    </xf>
    <xf numFmtId="0" fontId="24" fillId="0" borderId="8" xfId="0" applyFont="1" applyBorder="1" applyAlignment="1">
      <alignment horizontal="center" vertical="center"/>
    </xf>
    <xf numFmtId="14" fontId="29" fillId="0" borderId="8" xfId="0" applyNumberFormat="1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49" fontId="29" fillId="0" borderId="8" xfId="0" applyNumberFormat="1" applyFont="1" applyBorder="1" applyAlignment="1">
      <alignment horizontal="center" vertical="center"/>
    </xf>
    <xf numFmtId="0" fontId="19" fillId="12" borderId="8" xfId="0" applyFont="1" applyFill="1" applyBorder="1" applyAlignment="1">
      <alignment horizontal="left"/>
    </xf>
    <xf numFmtId="1" fontId="7" fillId="10" borderId="1" xfId="1" applyNumberFormat="1" applyFont="1" applyFill="1" applyBorder="1" applyAlignment="1" applyProtection="1">
      <alignment horizontal="center" vertical="center"/>
    </xf>
    <xf numFmtId="1" fontId="7" fillId="10" borderId="2" xfId="1" applyNumberFormat="1" applyFont="1" applyFill="1" applyBorder="1" applyAlignment="1" applyProtection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wrapText="1"/>
    </xf>
  </cellXfs>
  <cellStyles count="5">
    <cellStyle name="Normal" xfId="0" builtinId="0"/>
    <cellStyle name="Normal 2" xfId="3" xr:uid="{00000000-0005-0000-0000-000001000000}"/>
    <cellStyle name="Porcentagem" xfId="2" builtinId="5"/>
    <cellStyle name="Vírgula" xfId="1" builtinId="3"/>
    <cellStyle name="Vírgula 2 2" xfId="4" xr:uid="{00000000-0005-0000-0000-000004000000}"/>
  </cellStyles>
  <dxfs count="3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1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center" vertical="center" textRotation="0" wrapText="0" indent="0" justifyLastLine="0" shrinkToFit="1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top style="medium">
          <color indexed="64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solid">
          <fgColor indexed="64"/>
          <bgColor theme="0"/>
        </patternFill>
      </fill>
      <alignment horizontal="justify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4" formatCode="#,##0.00"/>
      <fill>
        <patternFill patternType="solid">
          <fgColor indexed="31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403411</xdr:colOff>
      <xdr:row>61</xdr:row>
      <xdr:rowOff>145677</xdr:rowOff>
    </xdr:from>
    <xdr:to>
      <xdr:col>5</xdr:col>
      <xdr:colOff>740447</xdr:colOff>
      <xdr:row>73</xdr:row>
      <xdr:rowOff>241163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A4A248-DD57-BF21-0031-CE2E0AE7E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411" y="11071412"/>
          <a:ext cx="3372971" cy="2376411"/>
        </a:xfrm>
        <a:prstGeom prst="rect">
          <a:avLst/>
        </a:prstGeom>
      </xdr:spPr>
    </xdr:pic>
    <xdr:clientData/>
  </xdr:twoCellAnchor>
  <xdr:twoCellAnchor editAs="oneCell">
    <xdr:from>
      <xdr:col>5</xdr:col>
      <xdr:colOff>329039</xdr:colOff>
      <xdr:row>71</xdr:row>
      <xdr:rowOff>176364</xdr:rowOff>
    </xdr:from>
    <xdr:to>
      <xdr:col>8</xdr:col>
      <xdr:colOff>458135</xdr:colOff>
      <xdr:row>75</xdr:row>
      <xdr:rowOff>165521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4927E59-4C52-2353-9509-BE6549AE6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46397">
          <a:off x="4251098" y="15517217"/>
          <a:ext cx="3401213" cy="1591598"/>
        </a:xfrm>
        <a:prstGeom prst="rect">
          <a:avLst/>
        </a:prstGeom>
      </xdr:spPr>
    </xdr:pic>
    <xdr:clientData/>
  </xdr:twoCellAnchor>
  <xdr:twoCellAnchor editAs="oneCell">
    <xdr:from>
      <xdr:col>5</xdr:col>
      <xdr:colOff>1044052</xdr:colOff>
      <xdr:row>69</xdr:row>
      <xdr:rowOff>67235</xdr:rowOff>
    </xdr:from>
    <xdr:to>
      <xdr:col>8</xdr:col>
      <xdr:colOff>329283</xdr:colOff>
      <xdr:row>74</xdr:row>
      <xdr:rowOff>162459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8D45E8E-F8DB-4D9A-2287-58EFBF64C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66111" y="15049500"/>
          <a:ext cx="2557348" cy="1876959"/>
        </a:xfrm>
        <a:prstGeom prst="rect">
          <a:avLst/>
        </a:prstGeom>
      </xdr:spPr>
    </xdr:pic>
    <xdr:clientData/>
  </xdr:twoCellAnchor>
  <xdr:twoCellAnchor editAs="oneCell">
    <xdr:from>
      <xdr:col>8</xdr:col>
      <xdr:colOff>223850</xdr:colOff>
      <xdr:row>70</xdr:row>
      <xdr:rowOff>173944</xdr:rowOff>
    </xdr:from>
    <xdr:to>
      <xdr:col>16</xdr:col>
      <xdr:colOff>23167</xdr:colOff>
      <xdr:row>74</xdr:row>
      <xdr:rowOff>91525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0F80E63-2F84-4152-84BA-EC65F288F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8026" y="15335503"/>
          <a:ext cx="3049023" cy="15200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32</xdr:row>
      <xdr:rowOff>155864</xdr:rowOff>
    </xdr:from>
    <xdr:to>
      <xdr:col>5</xdr:col>
      <xdr:colOff>1346744</xdr:colOff>
      <xdr:row>44</xdr:row>
      <xdr:rowOff>107729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56B6B14-9478-4171-A3C7-93C6479EA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0" y="8832273"/>
          <a:ext cx="3372971" cy="2376411"/>
        </a:xfrm>
        <a:prstGeom prst="rect">
          <a:avLst/>
        </a:prstGeom>
      </xdr:spPr>
    </xdr:pic>
    <xdr:clientData/>
  </xdr:twoCellAnchor>
  <xdr:twoCellAnchor editAs="oneCell">
    <xdr:from>
      <xdr:col>5</xdr:col>
      <xdr:colOff>471402</xdr:colOff>
      <xdr:row>39</xdr:row>
      <xdr:rowOff>155863</xdr:rowOff>
    </xdr:from>
    <xdr:to>
      <xdr:col>8</xdr:col>
      <xdr:colOff>494816</xdr:colOff>
      <xdr:row>48</xdr:row>
      <xdr:rowOff>117615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FF91B2E-2089-4EBB-8E2D-274E3A196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1246397">
          <a:off x="3536720" y="10131136"/>
          <a:ext cx="3400460" cy="1520388"/>
        </a:xfrm>
        <a:prstGeom prst="rect">
          <a:avLst/>
        </a:prstGeom>
      </xdr:spPr>
    </xdr:pic>
    <xdr:clientData/>
  </xdr:twoCellAnchor>
  <xdr:twoCellAnchor editAs="oneCell">
    <xdr:from>
      <xdr:col>5</xdr:col>
      <xdr:colOff>1175732</xdr:colOff>
      <xdr:row>37</xdr:row>
      <xdr:rowOff>159672</xdr:rowOff>
    </xdr:from>
    <xdr:to>
      <xdr:col>8</xdr:col>
      <xdr:colOff>328688</xdr:colOff>
      <xdr:row>48</xdr:row>
      <xdr:rowOff>70422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8DB672E-11B4-43F7-9487-C2EB64510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1050" y="9788581"/>
          <a:ext cx="2530002" cy="1815750"/>
        </a:xfrm>
        <a:prstGeom prst="rect">
          <a:avLst/>
        </a:prstGeom>
      </xdr:spPr>
    </xdr:pic>
    <xdr:clientData/>
  </xdr:twoCellAnchor>
  <xdr:twoCellAnchor editAs="oneCell">
    <xdr:from>
      <xdr:col>8</xdr:col>
      <xdr:colOff>138546</xdr:colOff>
      <xdr:row>38</xdr:row>
      <xdr:rowOff>34636</xdr:rowOff>
    </xdr:from>
    <xdr:to>
      <xdr:col>15</xdr:col>
      <xdr:colOff>688036</xdr:colOff>
      <xdr:row>47</xdr:row>
      <xdr:rowOff>1737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2A1E401-DE1F-44AF-90B7-E7E8DB34D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-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0910" y="9836727"/>
          <a:ext cx="3043308" cy="15257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413505</xdr:colOff>
      <xdr:row>2</xdr:row>
      <xdr:rowOff>121629</xdr:rowOff>
    </xdr:from>
    <xdr:to>
      <xdr:col>9</xdr:col>
      <xdr:colOff>958382</xdr:colOff>
      <xdr:row>2</xdr:row>
      <xdr:rowOff>605971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091957" y="1028772"/>
          <a:ext cx="544877" cy="484342"/>
        </a:xfrm>
        <a:prstGeom prst="rect">
          <a:avLst/>
        </a:prstGeom>
        <a:ln w="63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</xdr:col>
      <xdr:colOff>1982862</xdr:colOff>
      <xdr:row>2</xdr:row>
      <xdr:rowOff>130024</xdr:rowOff>
    </xdr:from>
    <xdr:to>
      <xdr:col>1</xdr:col>
      <xdr:colOff>3490987</xdr:colOff>
      <xdr:row>3</xdr:row>
      <xdr:rowOff>196988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BA2FD9F-9646-B944-B446-E63DCA0B1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8576" y="1037167"/>
          <a:ext cx="1508125" cy="1231131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439E4C-4A97-5943-B4D2-F00EC8BFEF14}" name="Tabela3" displayName="Tabela3" ref="A7:J516" totalsRowShown="0" headerRowDxfId="32" dataDxfId="30" headerRowBorderDxfId="31" tableBorderDxfId="29" headerRowCellStyle="Vírgula" dataCellStyle="Vírgula">
  <autoFilter ref="A7:J516" xr:uid="{CB439E4C-4A97-5943-B4D2-F00EC8BFEF14}"/>
  <tableColumns count="10">
    <tableColumn id="1" xr3:uid="{5A083183-2E44-B647-8BD0-7B1C06A61709}" name="Nº ITEM" dataDxfId="28" dataCellStyle="Normal 2"/>
    <tableColumn id="2" xr3:uid="{5B5F0BFF-DBD4-A645-B39F-F90F164ADF9C}" name="DESCRIÇÃO ITEM" dataDxfId="27"/>
    <tableColumn id="3" xr3:uid="{D151FAA4-DD95-994B-BCC7-BFD579CC0670}" name="QTDE" dataDxfId="26"/>
    <tableColumn id="4" xr3:uid="{830AE5B4-3082-AC4C-BE84-A4288CB61388}" name="UN." dataDxfId="25"/>
    <tableColumn id="5" xr3:uid="{49059EF9-148F-AD40-AA76-B8FF4946C9D7}" name="UNITÁRIO MATERIAL" dataDxfId="24" dataCellStyle="Vírgula"/>
    <tableColumn id="6" xr3:uid="{5AE33CFC-AA9B-3244-9A46-663E7445F288}" name="UNITÁRIO MÃO DE OBRA" dataDxfId="23" dataCellStyle="Vírgula"/>
    <tableColumn id="7" xr3:uid="{618AA5C4-22FC-B84E-A7D3-031657380CCF}" name="TOTAL UNITÁRIO DO ITEM" dataDxfId="22" dataCellStyle="Vírgula"/>
    <tableColumn id="8" xr3:uid="{434386EC-4A4E-0544-913C-2F7972B72D77}" name="TOTAL MATERIAL ROTEIRO" dataDxfId="21" dataCellStyle="Vírgula"/>
    <tableColumn id="9" xr3:uid="{3F841637-82CC-D34C-AF50-96A449D3764B}" name="TOTAL MÃO DE OBRA ROTEIRO" dataDxfId="20" dataCellStyle="Vírgula"/>
    <tableColumn id="10" xr3:uid="{E5DCDCE4-4C47-3D48-8203-D74D98442173}" name="TOTAL GERAL ROTEIRO" dataDxfId="19" dataCellStyle="Vírgul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477EB-EABA-0741-811D-8C1C3C2382A4}" name="Tabela1" displayName="Tabela1" ref="A5:E54" totalsRowShown="0" headerRowDxfId="18" dataDxfId="16" headerRowBorderDxfId="17" tableBorderDxfId="15" totalsRowBorderDxfId="14">
  <autoFilter ref="A5:E54" xr:uid="{B6F477EB-EABA-0741-811D-8C1C3C2382A4}"/>
  <tableColumns count="5">
    <tableColumn id="1" xr3:uid="{7B022E6C-4469-3542-B1DD-A5629F034520}" name="PREFIXO" dataDxfId="13"/>
    <tableColumn id="2" xr3:uid="{3D93611B-DB8F-AA41-B832-CD227F754C3B}" name="DEPENDÊNCIAS" dataDxfId="12"/>
    <tableColumn id="3" xr3:uid="{08A5B000-7750-A444-AC3D-42ECA769C07D}" name="MUNICÍPIO" dataDxfId="11"/>
    <tableColumn id="4" xr3:uid="{68A5A96E-F7A4-FD45-886F-BFBA84807070}" name="DISTÂNCIA EM RELAÇÃO A CIDADE BASE - IDA E VOLTA (KM) " dataDxfId="10"/>
    <tableColumn id="5" xr3:uid="{B27EF25A-0D29-0E42-B684-C222BCC845C6}" name="ENDEREÇO" dataDxfId="9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17EF9E-CADD-B84B-9774-0D88480523C3}" name="Tabela2" displayName="Tabela2" ref="A60:E69" totalsRowShown="0" headerRowDxfId="8" dataDxfId="7" tableBorderDxfId="6">
  <autoFilter ref="A60:E69" xr:uid="{9F17EF9E-CADD-B84B-9774-0D88480523C3}"/>
  <tableColumns count="5">
    <tableColumn id="1" xr3:uid="{A7924605-6DAB-0746-B0B8-4319A89AADA7}" name="PREFIXO" dataDxfId="5"/>
    <tableColumn id="2" xr3:uid="{00482247-B921-BC46-AEAA-5A25CDCA17F3}" name="DEPENDÊNCIAS" dataDxfId="4"/>
    <tableColumn id="3" xr3:uid="{8D46E40A-9C5F-C44E-A083-44968AB6A4B5}" name="MUNICÍPIO" dataDxfId="3"/>
    <tableColumn id="4" xr3:uid="{8E3E91D6-B209-724D-94E5-00F365758F74}" name="DISTÂNCIA EM RELAÇÃO A CIDADE BASE - IDA E VOLTA (KM) " dataDxfId="2"/>
    <tableColumn id="5" xr3:uid="{7581CA2B-82DE-E24B-8F5A-467304A8F6DF}" name="ENDEREÇO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E459-1055-3B4D-90A1-504C6B5C9EA0}">
  <sheetPr>
    <pageSetUpPr fitToPage="1"/>
  </sheetPr>
  <dimension ref="A1:P78"/>
  <sheetViews>
    <sheetView tabSelected="1" zoomScale="85" zoomScaleNormal="85" zoomScaleSheetLayoutView="85" workbookViewId="0">
      <selection activeCell="T73" sqref="T73"/>
    </sheetView>
  </sheetViews>
  <sheetFormatPr defaultColWidth="11.44140625" defaultRowHeight="14.4" x14ac:dyDescent="0.3"/>
  <cols>
    <col min="6" max="6" width="18.109375" bestFit="1" customWidth="1"/>
    <col min="8" max="8" width="18.109375" bestFit="1" customWidth="1"/>
    <col min="11" max="11" width="11.44140625" customWidth="1"/>
    <col min="12" max="14" width="11.44140625" hidden="1" customWidth="1"/>
    <col min="15" max="15" width="30.44140625" hidden="1" customWidth="1"/>
    <col min="16" max="16" width="13.109375" bestFit="1" customWidth="1"/>
  </cols>
  <sheetData>
    <row r="1" spans="1:16" ht="15.6" x14ac:dyDescent="0.3">
      <c r="A1" s="174" t="s">
        <v>1086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6" ht="15.6" x14ac:dyDescent="0.3">
      <c r="A2" s="175" t="s">
        <v>1087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</row>
    <row r="3" spans="1:16" x14ac:dyDescent="0.3">
      <c r="A3" s="176" t="s">
        <v>1088</v>
      </c>
      <c r="B3" s="167"/>
      <c r="C3" s="176" t="s">
        <v>1089</v>
      </c>
      <c r="D3" s="166"/>
      <c r="E3" s="167"/>
      <c r="F3" s="177" t="s">
        <v>1090</v>
      </c>
      <c r="G3" s="168"/>
      <c r="H3" s="168"/>
      <c r="I3" s="149" t="s">
        <v>1091</v>
      </c>
      <c r="J3" s="149"/>
      <c r="K3" s="149"/>
      <c r="L3" s="149"/>
      <c r="M3" s="149"/>
      <c r="N3" s="149"/>
      <c r="O3" s="149"/>
      <c r="P3" s="149"/>
    </row>
    <row r="4" spans="1:16" ht="21" x14ac:dyDescent="0.3">
      <c r="A4" s="178"/>
      <c r="B4" s="179"/>
      <c r="C4" s="180"/>
      <c r="D4" s="181"/>
      <c r="E4" s="181"/>
      <c r="F4" s="182" t="s">
        <v>1165</v>
      </c>
      <c r="G4" s="183"/>
      <c r="H4" s="184"/>
      <c r="I4" s="185" t="s">
        <v>1092</v>
      </c>
      <c r="J4" s="186"/>
      <c r="K4" s="186"/>
      <c r="L4" s="186"/>
      <c r="M4" s="186"/>
      <c r="N4" s="186"/>
      <c r="O4" s="186"/>
      <c r="P4" s="187"/>
    </row>
    <row r="5" spans="1:16" x14ac:dyDescent="0.3">
      <c r="A5" s="188" t="s">
        <v>1093</v>
      </c>
      <c r="B5" s="189"/>
      <c r="C5" s="190" t="s">
        <v>1094</v>
      </c>
      <c r="D5" s="191"/>
      <c r="E5" s="192"/>
      <c r="F5" s="190" t="s">
        <v>1095</v>
      </c>
      <c r="G5" s="191"/>
      <c r="H5" s="191"/>
      <c r="I5" s="188" t="s">
        <v>1096</v>
      </c>
      <c r="J5" s="189"/>
      <c r="K5" s="189"/>
      <c r="L5" s="189"/>
      <c r="M5" s="189"/>
      <c r="N5" s="189"/>
      <c r="O5" s="189"/>
      <c r="P5" s="196"/>
    </row>
    <row r="6" spans="1:16" x14ac:dyDescent="0.3">
      <c r="A6" s="197" t="s">
        <v>1097</v>
      </c>
      <c r="B6" s="198"/>
      <c r="C6" s="193"/>
      <c r="D6" s="194"/>
      <c r="E6" s="195"/>
      <c r="F6" s="177" t="s">
        <v>1098</v>
      </c>
      <c r="G6" s="168"/>
      <c r="H6" s="168"/>
      <c r="I6" s="197" t="s">
        <v>1099</v>
      </c>
      <c r="J6" s="198"/>
      <c r="K6" s="198"/>
      <c r="L6" s="198"/>
      <c r="M6" s="198"/>
      <c r="N6" s="198"/>
      <c r="O6" s="198"/>
      <c r="P6" s="199"/>
    </row>
    <row r="7" spans="1:16" x14ac:dyDescent="0.3">
      <c r="A7" s="200" t="s">
        <v>1171</v>
      </c>
      <c r="B7" s="201"/>
      <c r="C7" s="210"/>
      <c r="D7" s="201"/>
      <c r="E7" s="211"/>
      <c r="F7" s="171" t="s">
        <v>1168</v>
      </c>
      <c r="G7" s="126"/>
      <c r="H7" s="126"/>
      <c r="I7" s="200" t="s">
        <v>1169</v>
      </c>
      <c r="J7" s="201"/>
      <c r="K7" s="201"/>
      <c r="L7" s="201"/>
      <c r="M7" s="201"/>
      <c r="N7" s="201"/>
      <c r="O7" s="201"/>
      <c r="P7" s="202"/>
    </row>
    <row r="8" spans="1:16" x14ac:dyDescent="0.3">
      <c r="A8" s="176" t="s">
        <v>1100</v>
      </c>
      <c r="B8" s="166"/>
      <c r="C8" s="166"/>
      <c r="D8" s="166"/>
      <c r="E8" s="167"/>
      <c r="F8" s="190" t="s">
        <v>1101</v>
      </c>
      <c r="G8" s="191"/>
      <c r="H8" s="191"/>
      <c r="I8" s="191"/>
      <c r="J8" s="191"/>
      <c r="K8" s="191"/>
      <c r="L8" s="191"/>
      <c r="M8" s="191"/>
      <c r="N8" s="191"/>
      <c r="O8" s="191"/>
      <c r="P8" s="209"/>
    </row>
    <row r="9" spans="1:16" x14ac:dyDescent="0.3">
      <c r="A9" s="101"/>
      <c r="B9" s="203" t="str">
        <f>IFERROR(UPPER(VLOOKUP(A9,Prefixos!A5:E69,2,0)),"")</f>
        <v/>
      </c>
      <c r="C9" s="204"/>
      <c r="D9" s="204"/>
      <c r="E9" s="205"/>
      <c r="F9" s="206" t="str">
        <f>IFERROR(UPPER(VLOOKUP(A9,Prefixos!A5:E69,5,0)),"")</f>
        <v/>
      </c>
      <c r="G9" s="204"/>
      <c r="H9" s="204"/>
      <c r="I9" s="204"/>
      <c r="J9" s="204"/>
      <c r="K9" s="204"/>
      <c r="L9" s="204"/>
      <c r="M9" s="204"/>
      <c r="N9" s="204"/>
      <c r="O9" s="204"/>
      <c r="P9" s="207"/>
    </row>
    <row r="10" spans="1:16" x14ac:dyDescent="0.3">
      <c r="A10" s="176" t="s">
        <v>1102</v>
      </c>
      <c r="B10" s="166"/>
      <c r="C10" s="166"/>
      <c r="D10" s="166"/>
      <c r="E10" s="167"/>
      <c r="F10" s="176" t="s">
        <v>1103</v>
      </c>
      <c r="G10" s="166"/>
      <c r="H10" s="166"/>
      <c r="I10" s="166"/>
      <c r="J10" s="166"/>
      <c r="K10" s="166"/>
      <c r="L10" s="166"/>
      <c r="M10" s="166"/>
      <c r="N10" s="166"/>
      <c r="O10" s="166"/>
      <c r="P10" s="208"/>
    </row>
    <row r="11" spans="1:16" x14ac:dyDescent="0.3">
      <c r="A11" s="150" t="s">
        <v>1172</v>
      </c>
      <c r="B11" s="151"/>
      <c r="C11" s="151"/>
      <c r="D11" s="151"/>
      <c r="E11" s="161"/>
      <c r="F11" s="151" t="s">
        <v>1173</v>
      </c>
      <c r="G11" s="151"/>
      <c r="H11" s="151"/>
      <c r="I11" s="151"/>
      <c r="J11" s="151"/>
      <c r="K11" s="151"/>
      <c r="L11" s="151"/>
      <c r="M11" s="151"/>
      <c r="N11" s="151"/>
      <c r="O11" s="151"/>
      <c r="P11" s="162"/>
    </row>
    <row r="12" spans="1:16" ht="18" x14ac:dyDescent="0.3">
      <c r="A12" s="163" t="s">
        <v>1104</v>
      </c>
      <c r="B12" s="164"/>
      <c r="C12" s="164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164"/>
      <c r="P12" s="165"/>
    </row>
    <row r="13" spans="1:16" x14ac:dyDescent="0.3">
      <c r="A13" s="166" t="s">
        <v>1105</v>
      </c>
      <c r="B13" s="166"/>
      <c r="C13" s="166"/>
      <c r="D13" s="166"/>
      <c r="E13" s="166"/>
      <c r="F13" s="166"/>
      <c r="G13" s="166"/>
      <c r="H13" s="166"/>
      <c r="I13" s="167"/>
      <c r="J13" s="168" t="s">
        <v>1106</v>
      </c>
      <c r="K13" s="168"/>
      <c r="L13" s="168"/>
      <c r="M13" s="168"/>
      <c r="N13" s="168"/>
      <c r="O13" s="168"/>
      <c r="P13" s="169"/>
    </row>
    <row r="14" spans="1:16" ht="30.6" customHeight="1" x14ac:dyDescent="0.3">
      <c r="A14" s="126" t="s">
        <v>1174</v>
      </c>
      <c r="B14" s="126"/>
      <c r="C14" s="126"/>
      <c r="D14" s="126"/>
      <c r="E14" s="126"/>
      <c r="F14" s="126"/>
      <c r="G14" s="126"/>
      <c r="H14" s="126"/>
      <c r="I14" s="170"/>
      <c r="J14" s="171">
        <v>4</v>
      </c>
      <c r="K14" s="126"/>
      <c r="L14" s="126"/>
      <c r="M14" s="126"/>
      <c r="N14" s="126"/>
      <c r="O14" s="126"/>
      <c r="P14" s="172"/>
    </row>
    <row r="15" spans="1:16" ht="36.6" customHeight="1" x14ac:dyDescent="0.3">
      <c r="A15" s="173" t="s">
        <v>1107</v>
      </c>
      <c r="B15" s="173"/>
      <c r="C15" s="173"/>
      <c r="D15" s="173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</row>
    <row r="16" spans="1:16" ht="15.6" x14ac:dyDescent="0.3">
      <c r="A16" s="145" t="s">
        <v>1108</v>
      </c>
      <c r="B16" s="145"/>
      <c r="C16" s="145"/>
      <c r="D16" s="145"/>
      <c r="E16" s="145"/>
      <c r="F16" s="145"/>
      <c r="G16" s="145"/>
      <c r="H16" s="145"/>
      <c r="I16" s="145"/>
      <c r="J16" s="145"/>
      <c r="K16" s="145"/>
      <c r="L16" s="145"/>
      <c r="M16" s="145"/>
      <c r="N16" s="145"/>
      <c r="O16" s="145"/>
      <c r="P16" s="145"/>
    </row>
    <row r="17" spans="1:16" x14ac:dyDescent="0.3">
      <c r="A17" s="102" t="s">
        <v>1109</v>
      </c>
      <c r="B17" s="140" t="s">
        <v>1110</v>
      </c>
      <c r="C17" s="140"/>
      <c r="D17" s="140"/>
      <c r="E17" s="140"/>
      <c r="F17" s="140"/>
      <c r="G17" s="140"/>
      <c r="H17" s="102" t="s">
        <v>1111</v>
      </c>
      <c r="I17" s="102" t="s">
        <v>1112</v>
      </c>
      <c r="J17" s="140" t="s">
        <v>1113</v>
      </c>
      <c r="K17" s="140"/>
      <c r="L17" s="102" t="s">
        <v>1114</v>
      </c>
      <c r="M17" s="102" t="s">
        <v>1115</v>
      </c>
      <c r="N17" s="102" t="s">
        <v>1116</v>
      </c>
      <c r="O17" s="102" t="s">
        <v>1117</v>
      </c>
      <c r="P17" s="102" t="s">
        <v>1118</v>
      </c>
    </row>
    <row r="18" spans="1:16" ht="18" x14ac:dyDescent="0.3">
      <c r="A18" s="117" t="s">
        <v>12</v>
      </c>
      <c r="B18" s="120" t="str">
        <f>IFERROR(UPPER(VLOOKUP(A18,Tabela3[#All],2,0)),"")</f>
        <v>DESLOCAMENTO</v>
      </c>
      <c r="C18" s="121"/>
      <c r="D18" s="121"/>
      <c r="E18" s="121"/>
      <c r="F18" s="121"/>
      <c r="G18" s="122"/>
      <c r="H18" s="118"/>
      <c r="I18" s="104" t="str">
        <f>IFERROR(VLOOKUP(A18,Tabela3[#All],4,0),"")</f>
        <v>km</v>
      </c>
      <c r="J18" s="123">
        <f>IFERROR(VLOOKUP(A18,Tabela3[#All],7,0),"")</f>
        <v>2.6</v>
      </c>
      <c r="K18" s="124"/>
      <c r="L18" s="105">
        <f>IFERROR(VLOOKUP(A18,Tabela3[#All],5,0),"")</f>
        <v>2.12</v>
      </c>
      <c r="M18" s="105">
        <f>IFERROR(VLOOKUP(A18,Tabela3[#All],6,0),"")</f>
        <v>0.48</v>
      </c>
      <c r="N18" s="105">
        <f t="shared" ref="N18:N19" si="0">L18*H18</f>
        <v>0</v>
      </c>
      <c r="O18" s="105">
        <f t="shared" ref="O18:O19" si="1">M18*H18</f>
        <v>0</v>
      </c>
      <c r="P18" s="105">
        <f>IFERROR(J18*H18,"")</f>
        <v>0</v>
      </c>
    </row>
    <row r="19" spans="1:16" ht="18" x14ac:dyDescent="0.3">
      <c r="A19" s="103"/>
      <c r="B19" s="120" t="str">
        <f>IFERROR(UPPER(VLOOKUP(A19,Tabela3[#All],2,0)),"")</f>
        <v/>
      </c>
      <c r="C19" s="121"/>
      <c r="D19" s="121"/>
      <c r="E19" s="121"/>
      <c r="F19" s="121"/>
      <c r="G19" s="122"/>
      <c r="H19" s="118"/>
      <c r="I19" s="104" t="str">
        <f>IFERROR(VLOOKUP(A19,Tabela3[#All],4,0),"")</f>
        <v/>
      </c>
      <c r="J19" s="123" t="str">
        <f>IFERROR(VLOOKUP(A19,Tabela3[#All],7,0),"")</f>
        <v/>
      </c>
      <c r="K19" s="124"/>
      <c r="L19" s="105" t="str">
        <f>IFERROR(VLOOKUP(A19,Tabela3[#All],5,0),"")</f>
        <v/>
      </c>
      <c r="M19" s="105" t="str">
        <f>IFERROR(VLOOKUP(A19,Tabela3[#All],6,0),"")</f>
        <v/>
      </c>
      <c r="N19" s="105" t="e">
        <f t="shared" si="0"/>
        <v>#VALUE!</v>
      </c>
      <c r="O19" s="105" t="e">
        <f t="shared" si="1"/>
        <v>#VALUE!</v>
      </c>
      <c r="P19" s="105" t="str">
        <f t="shared" ref="P19" si="2">IFERROR(J19*H19,"")</f>
        <v/>
      </c>
    </row>
    <row r="20" spans="1:16" ht="18" x14ac:dyDescent="0.3">
      <c r="A20" s="117"/>
      <c r="B20" s="120" t="str">
        <f>IFERROR(UPPER(VLOOKUP(A20,Tabela3[#All],2,0)),"")</f>
        <v/>
      </c>
      <c r="C20" s="121"/>
      <c r="D20" s="121"/>
      <c r="E20" s="121"/>
      <c r="F20" s="121"/>
      <c r="G20" s="122"/>
      <c r="H20" s="118"/>
      <c r="I20" s="104" t="str">
        <f>IFERROR(VLOOKUP(A20,Tabela3[#All],4,0),"")</f>
        <v/>
      </c>
      <c r="J20" s="123" t="str">
        <f>IFERROR(VLOOKUP(A20,Tabela3[#All],7,0),"")</f>
        <v/>
      </c>
      <c r="K20" s="124"/>
      <c r="L20" s="105" t="str">
        <f>IFERROR(VLOOKUP(A20,Tabela3[#All],5,0),"")</f>
        <v/>
      </c>
      <c r="M20" s="105" t="str">
        <f>IFERROR(VLOOKUP(A20,Tabela3[#All],6,0),"")</f>
        <v/>
      </c>
      <c r="N20" s="105" t="e">
        <f t="shared" ref="N20:N25" si="3">L20*H20</f>
        <v>#VALUE!</v>
      </c>
      <c r="O20" s="105" t="e">
        <f t="shared" ref="O20:O25" si="4">M20*H20</f>
        <v>#VALUE!</v>
      </c>
      <c r="P20" s="105" t="str">
        <f>IFERROR(J20*H20,"")</f>
        <v/>
      </c>
    </row>
    <row r="21" spans="1:16" ht="18" x14ac:dyDescent="0.3">
      <c r="A21" s="103"/>
      <c r="B21" s="120" t="str">
        <f>IFERROR(UPPER(VLOOKUP(A21,Tabela3[#All],2,0)),"")</f>
        <v/>
      </c>
      <c r="C21" s="121"/>
      <c r="D21" s="121"/>
      <c r="E21" s="121"/>
      <c r="F21" s="121"/>
      <c r="G21" s="122"/>
      <c r="H21" s="118"/>
      <c r="I21" s="104" t="str">
        <f>IFERROR(VLOOKUP(A21,Tabela3[#All],4,0),"")</f>
        <v/>
      </c>
      <c r="J21" s="123" t="str">
        <f>IFERROR(VLOOKUP(A21,Tabela3[#All],7,0),"")</f>
        <v/>
      </c>
      <c r="K21" s="124"/>
      <c r="L21" s="105" t="str">
        <f>IFERROR(VLOOKUP(A21,Tabela3[#All],5,0),"")</f>
        <v/>
      </c>
      <c r="M21" s="105" t="str">
        <f>IFERROR(VLOOKUP(A21,Tabela3[#All],6,0),"")</f>
        <v/>
      </c>
      <c r="N21" s="105" t="e">
        <f t="shared" si="3"/>
        <v>#VALUE!</v>
      </c>
      <c r="O21" s="105" t="e">
        <f t="shared" si="4"/>
        <v>#VALUE!</v>
      </c>
      <c r="P21" s="105" t="str">
        <f t="shared" ref="P21:P25" si="5">IFERROR(J21*H21,"")</f>
        <v/>
      </c>
    </row>
    <row r="22" spans="1:16" ht="18" x14ac:dyDescent="0.3">
      <c r="A22" s="103"/>
      <c r="B22" s="120" t="str">
        <f>IFERROR(UPPER(VLOOKUP(A22,Tabela3[#All],2,0)),"")</f>
        <v/>
      </c>
      <c r="C22" s="121"/>
      <c r="D22" s="121"/>
      <c r="E22" s="121"/>
      <c r="F22" s="121"/>
      <c r="G22" s="122"/>
      <c r="H22" s="118"/>
      <c r="I22" s="104" t="str">
        <f>IFERROR(VLOOKUP(A22,Tabela3[#All],4,0),"")</f>
        <v/>
      </c>
      <c r="J22" s="123" t="str">
        <f>IFERROR(VLOOKUP(A22,Tabela3[#All],7,0),"")</f>
        <v/>
      </c>
      <c r="K22" s="124"/>
      <c r="L22" s="105" t="str">
        <f>IFERROR(VLOOKUP(A22,Tabela3[#All],5,0),"")</f>
        <v/>
      </c>
      <c r="M22" s="105" t="str">
        <f>IFERROR(VLOOKUP(A22,Tabela3[#All],6,0),"")</f>
        <v/>
      </c>
      <c r="N22" s="105" t="e">
        <f t="shared" si="3"/>
        <v>#VALUE!</v>
      </c>
      <c r="O22" s="105" t="e">
        <f t="shared" si="4"/>
        <v>#VALUE!</v>
      </c>
      <c r="P22" s="105" t="str">
        <f t="shared" si="5"/>
        <v/>
      </c>
    </row>
    <row r="23" spans="1:16" ht="18" x14ac:dyDescent="0.3">
      <c r="A23" s="103"/>
      <c r="B23" s="120" t="str">
        <f>IFERROR(UPPER(VLOOKUP(A23,Tabela3[#All],2,0)),"")</f>
        <v/>
      </c>
      <c r="C23" s="121"/>
      <c r="D23" s="121"/>
      <c r="E23" s="121"/>
      <c r="F23" s="121"/>
      <c r="G23" s="122"/>
      <c r="H23" s="118"/>
      <c r="I23" s="104" t="str">
        <f>IFERROR(VLOOKUP(A23,Tabela3[#All],4,0),"")</f>
        <v/>
      </c>
      <c r="J23" s="123" t="str">
        <f>IFERROR(VLOOKUP(A23,Tabela3[#All],7,0),"")</f>
        <v/>
      </c>
      <c r="K23" s="124"/>
      <c r="L23" s="105" t="str">
        <f>IFERROR(VLOOKUP(A23,Tabela3[#All],5,0),"")</f>
        <v/>
      </c>
      <c r="M23" s="105" t="str">
        <f>IFERROR(VLOOKUP(A23,Tabela3[#All],6,0),"")</f>
        <v/>
      </c>
      <c r="N23" s="105" t="e">
        <f t="shared" si="3"/>
        <v>#VALUE!</v>
      </c>
      <c r="O23" s="105" t="e">
        <f t="shared" si="4"/>
        <v>#VALUE!</v>
      </c>
      <c r="P23" s="105" t="str">
        <f t="shared" si="5"/>
        <v/>
      </c>
    </row>
    <row r="24" spans="1:16" ht="18" x14ac:dyDescent="0.3">
      <c r="A24" s="103"/>
      <c r="B24" s="120" t="str">
        <f>IFERROR(UPPER(VLOOKUP(A24,Tabela3[#All],2,0)),"")</f>
        <v/>
      </c>
      <c r="C24" s="121"/>
      <c r="D24" s="121"/>
      <c r="E24" s="121"/>
      <c r="F24" s="121"/>
      <c r="G24" s="122"/>
      <c r="H24" s="118"/>
      <c r="I24" s="104" t="str">
        <f>IFERROR(VLOOKUP(A24,Tabela3[#All],4,0),"")</f>
        <v/>
      </c>
      <c r="J24" s="123" t="str">
        <f>IFERROR(VLOOKUP(A24,Tabela3[#All],7,0),"")</f>
        <v/>
      </c>
      <c r="K24" s="124"/>
      <c r="L24" s="105" t="str">
        <f>IFERROR(VLOOKUP(A24,Tabela3[#All],5,0),"")</f>
        <v/>
      </c>
      <c r="M24" s="105" t="str">
        <f>IFERROR(VLOOKUP(A24,Tabela3[#All],6,0),"")</f>
        <v/>
      </c>
      <c r="N24" s="105" t="e">
        <f t="shared" si="3"/>
        <v>#VALUE!</v>
      </c>
      <c r="O24" s="105" t="e">
        <f t="shared" si="4"/>
        <v>#VALUE!</v>
      </c>
      <c r="P24" s="105" t="str">
        <f t="shared" si="5"/>
        <v/>
      </c>
    </row>
    <row r="25" spans="1:16" ht="18" x14ac:dyDescent="0.3">
      <c r="A25" s="103"/>
      <c r="B25" s="120" t="str">
        <f>IFERROR(UPPER(VLOOKUP(A25,Tabela3[#All],2,0)),"")</f>
        <v/>
      </c>
      <c r="C25" s="121"/>
      <c r="D25" s="121"/>
      <c r="E25" s="121"/>
      <c r="F25" s="121"/>
      <c r="G25" s="122"/>
      <c r="H25" s="118"/>
      <c r="I25" s="104" t="str">
        <f>IFERROR(VLOOKUP(A25,Tabela3[#All],4,0),"")</f>
        <v/>
      </c>
      <c r="J25" s="123" t="str">
        <f>IFERROR(VLOOKUP(A25,Tabela3[#All],7,0),"")</f>
        <v/>
      </c>
      <c r="K25" s="124"/>
      <c r="L25" s="105" t="str">
        <f>IFERROR(VLOOKUP(A25,Tabela3[#All],5,0),"")</f>
        <v/>
      </c>
      <c r="M25" s="105" t="str">
        <f>IFERROR(VLOOKUP(A25,Tabela3[#All],6,0),"")</f>
        <v/>
      </c>
      <c r="N25" s="105" t="e">
        <f t="shared" si="3"/>
        <v>#VALUE!</v>
      </c>
      <c r="O25" s="105" t="e">
        <f t="shared" si="4"/>
        <v>#VALUE!</v>
      </c>
      <c r="P25" s="105" t="str">
        <f t="shared" si="5"/>
        <v/>
      </c>
    </row>
    <row r="26" spans="1:16" ht="18" x14ac:dyDescent="0.3">
      <c r="A26" s="103"/>
      <c r="B26" s="120" t="str">
        <f>IFERROR(UPPER(VLOOKUP(A26,Tabela3[#All],2,0)),"")</f>
        <v/>
      </c>
      <c r="C26" s="121"/>
      <c r="D26" s="121"/>
      <c r="E26" s="121"/>
      <c r="F26" s="121"/>
      <c r="G26" s="122"/>
      <c r="H26" s="118"/>
      <c r="I26" s="104" t="str">
        <f>IFERROR(VLOOKUP(A26,Tabela3[#All],4,0),"")</f>
        <v/>
      </c>
      <c r="J26" s="123" t="str">
        <f>IFERROR(VLOOKUP(A26,Tabela3[#All],7,0),"")</f>
        <v/>
      </c>
      <c r="K26" s="124"/>
      <c r="L26" s="105" t="str">
        <f>IFERROR(VLOOKUP(A26,Tabela3[#All],5,0),"")</f>
        <v/>
      </c>
      <c r="M26" s="105" t="str">
        <f>IFERROR(VLOOKUP(A26,Tabela3[#All],6,0),"")</f>
        <v/>
      </c>
      <c r="N26" s="105" t="e">
        <f t="shared" ref="N26:N33" si="6">L26*H26</f>
        <v>#VALUE!</v>
      </c>
      <c r="O26" s="105" t="e">
        <f t="shared" ref="O26:O33" si="7">M26*H26</f>
        <v>#VALUE!</v>
      </c>
      <c r="P26" s="105" t="str">
        <f t="shared" ref="P26:P27" si="8">IFERROR(J26*H26,"")</f>
        <v/>
      </c>
    </row>
    <row r="27" spans="1:16" ht="18" x14ac:dyDescent="0.3">
      <c r="A27" s="103"/>
      <c r="B27" s="120" t="str">
        <f>IFERROR(UPPER(VLOOKUP(A27,Tabela3[#All],2,0)),"")</f>
        <v/>
      </c>
      <c r="C27" s="121"/>
      <c r="D27" s="121"/>
      <c r="E27" s="121"/>
      <c r="F27" s="121"/>
      <c r="G27" s="122"/>
      <c r="H27" s="118"/>
      <c r="I27" s="104" t="str">
        <f>IFERROR(VLOOKUP(A27,Tabela3[#All],4,0),"")</f>
        <v/>
      </c>
      <c r="J27" s="123" t="str">
        <f>IFERROR(VLOOKUP(A27,Tabela3[#All],7,0),"")</f>
        <v/>
      </c>
      <c r="K27" s="124"/>
      <c r="L27" s="105" t="str">
        <f>IFERROR(VLOOKUP(A27,Tabela3[#All],5,0),"")</f>
        <v/>
      </c>
      <c r="M27" s="105" t="str">
        <f>IFERROR(VLOOKUP(A27,Tabela3[#All],6,0),"")</f>
        <v/>
      </c>
      <c r="N27" s="105" t="e">
        <f t="shared" si="6"/>
        <v>#VALUE!</v>
      </c>
      <c r="O27" s="105" t="e">
        <f t="shared" si="7"/>
        <v>#VALUE!</v>
      </c>
      <c r="P27" s="105" t="str">
        <f t="shared" si="8"/>
        <v/>
      </c>
    </row>
    <row r="28" spans="1:16" ht="18" x14ac:dyDescent="0.3">
      <c r="A28" s="117"/>
      <c r="B28" s="120" t="str">
        <f>IFERROR(UPPER(VLOOKUP(A28,Tabela3[#All],2,0)),"")</f>
        <v/>
      </c>
      <c r="C28" s="121"/>
      <c r="D28" s="121"/>
      <c r="E28" s="121"/>
      <c r="F28" s="121"/>
      <c r="G28" s="122"/>
      <c r="H28" s="118"/>
      <c r="I28" s="104" t="str">
        <f>IFERROR(VLOOKUP(A28,Tabela3[#All],4,0),"")</f>
        <v/>
      </c>
      <c r="J28" s="123" t="str">
        <f>IFERROR(VLOOKUP(A28,Tabela3[#All],7,0),"")</f>
        <v/>
      </c>
      <c r="K28" s="124"/>
      <c r="L28" s="105" t="str">
        <f>IFERROR(VLOOKUP(A28,Tabela3[#All],5,0),"")</f>
        <v/>
      </c>
      <c r="M28" s="105" t="str">
        <f>IFERROR(VLOOKUP(A28,Tabela3[#All],6,0),"")</f>
        <v/>
      </c>
      <c r="N28" s="105" t="e">
        <f t="shared" si="6"/>
        <v>#VALUE!</v>
      </c>
      <c r="O28" s="105" t="e">
        <f t="shared" si="7"/>
        <v>#VALUE!</v>
      </c>
      <c r="P28" s="105" t="str">
        <f>IFERROR(J28*H28,"")</f>
        <v/>
      </c>
    </row>
    <row r="29" spans="1:16" ht="18" x14ac:dyDescent="0.3">
      <c r="A29" s="103"/>
      <c r="B29" s="120" t="str">
        <f>IFERROR(UPPER(VLOOKUP(A29,Tabela3[#All],2,0)),"")</f>
        <v/>
      </c>
      <c r="C29" s="121"/>
      <c r="D29" s="121"/>
      <c r="E29" s="121"/>
      <c r="F29" s="121"/>
      <c r="G29" s="122"/>
      <c r="H29" s="118"/>
      <c r="I29" s="104" t="str">
        <f>IFERROR(VLOOKUP(A29,Tabela3[#All],4,0),"")</f>
        <v/>
      </c>
      <c r="J29" s="123" t="str">
        <f>IFERROR(VLOOKUP(A29,Tabela3[#All],7,0),"")</f>
        <v/>
      </c>
      <c r="K29" s="124"/>
      <c r="L29" s="105" t="str">
        <f>IFERROR(VLOOKUP(A29,Tabela3[#All],5,0),"")</f>
        <v/>
      </c>
      <c r="M29" s="105" t="str">
        <f>IFERROR(VLOOKUP(A29,Tabela3[#All],6,0),"")</f>
        <v/>
      </c>
      <c r="N29" s="105" t="e">
        <f t="shared" si="6"/>
        <v>#VALUE!</v>
      </c>
      <c r="O29" s="105" t="e">
        <f t="shared" si="7"/>
        <v>#VALUE!</v>
      </c>
      <c r="P29" s="105" t="str">
        <f t="shared" ref="P29:P36" si="9">IFERROR(J29*H29,"")</f>
        <v/>
      </c>
    </row>
    <row r="30" spans="1:16" ht="18" x14ac:dyDescent="0.3">
      <c r="A30" s="103"/>
      <c r="B30" s="120" t="str">
        <f>IFERROR(UPPER(VLOOKUP(A30,Tabela3[#All],2,0)),"")</f>
        <v/>
      </c>
      <c r="C30" s="121"/>
      <c r="D30" s="121"/>
      <c r="E30" s="121"/>
      <c r="F30" s="121"/>
      <c r="G30" s="122"/>
      <c r="H30" s="118"/>
      <c r="I30" s="104" t="str">
        <f>IFERROR(VLOOKUP(A30,Tabela3[#All],4,0),"")</f>
        <v/>
      </c>
      <c r="J30" s="123" t="str">
        <f>IFERROR(VLOOKUP(A30,Tabela3[#All],7,0),"")</f>
        <v/>
      </c>
      <c r="K30" s="124"/>
      <c r="L30" s="105" t="str">
        <f>IFERROR(VLOOKUP(A30,Tabela3[#All],5,0),"")</f>
        <v/>
      </c>
      <c r="M30" s="105" t="str">
        <f>IFERROR(VLOOKUP(A30,Tabela3[#All],6,0),"")</f>
        <v/>
      </c>
      <c r="N30" s="105" t="e">
        <f t="shared" si="6"/>
        <v>#VALUE!</v>
      </c>
      <c r="O30" s="105" t="e">
        <f t="shared" si="7"/>
        <v>#VALUE!</v>
      </c>
      <c r="P30" s="105" t="str">
        <f t="shared" si="9"/>
        <v/>
      </c>
    </row>
    <row r="31" spans="1:16" ht="18" x14ac:dyDescent="0.3">
      <c r="A31" s="103"/>
      <c r="B31" s="120" t="str">
        <f>IFERROR(UPPER(VLOOKUP(A31,Tabela3[#All],2,0)),"")</f>
        <v/>
      </c>
      <c r="C31" s="121"/>
      <c r="D31" s="121"/>
      <c r="E31" s="121"/>
      <c r="F31" s="121"/>
      <c r="G31" s="122"/>
      <c r="H31" s="118"/>
      <c r="I31" s="104" t="str">
        <f>IFERROR(VLOOKUP(A31,Tabela3[#All],4,0),"")</f>
        <v/>
      </c>
      <c r="J31" s="123" t="str">
        <f>IFERROR(VLOOKUP(A31,Tabela3[#All],7,0),"")</f>
        <v/>
      </c>
      <c r="K31" s="124"/>
      <c r="L31" s="105" t="str">
        <f>IFERROR(VLOOKUP(A31,Tabela3[#All],5,0),"")</f>
        <v/>
      </c>
      <c r="M31" s="105" t="str">
        <f>IFERROR(VLOOKUP(A31,Tabela3[#All],6,0),"")</f>
        <v/>
      </c>
      <c r="N31" s="105" t="e">
        <f t="shared" si="6"/>
        <v>#VALUE!</v>
      </c>
      <c r="O31" s="105" t="e">
        <f t="shared" si="7"/>
        <v>#VALUE!</v>
      </c>
      <c r="P31" s="105" t="str">
        <f t="shared" si="9"/>
        <v/>
      </c>
    </row>
    <row r="32" spans="1:16" ht="18" x14ac:dyDescent="0.3">
      <c r="A32" s="103"/>
      <c r="B32" s="120" t="str">
        <f>IFERROR(UPPER(VLOOKUP(A32,Tabela3[#All],2,0)),"")</f>
        <v/>
      </c>
      <c r="C32" s="121"/>
      <c r="D32" s="121"/>
      <c r="E32" s="121"/>
      <c r="F32" s="121"/>
      <c r="G32" s="122"/>
      <c r="H32" s="118"/>
      <c r="I32" s="104" t="str">
        <f>IFERROR(VLOOKUP(A32,Tabela3[#All],4,0),"")</f>
        <v/>
      </c>
      <c r="J32" s="123" t="str">
        <f>IFERROR(VLOOKUP(A32,Tabela3[#All],7,0),"")</f>
        <v/>
      </c>
      <c r="K32" s="124"/>
      <c r="L32" s="105" t="str">
        <f>IFERROR(VLOOKUP(A32,Tabela3[#All],5,0),"")</f>
        <v/>
      </c>
      <c r="M32" s="105" t="str">
        <f>IFERROR(VLOOKUP(A32,Tabela3[#All],6,0),"")</f>
        <v/>
      </c>
      <c r="N32" s="105" t="e">
        <f t="shared" si="6"/>
        <v>#VALUE!</v>
      </c>
      <c r="O32" s="105" t="e">
        <f t="shared" si="7"/>
        <v>#VALUE!</v>
      </c>
      <c r="P32" s="105" t="str">
        <f t="shared" si="9"/>
        <v/>
      </c>
    </row>
    <row r="33" spans="1:16" ht="18" x14ac:dyDescent="0.3">
      <c r="A33" s="103"/>
      <c r="B33" s="120" t="str">
        <f>IFERROR(UPPER(VLOOKUP(A33,Tabela3[#All],2,0)),"")</f>
        <v/>
      </c>
      <c r="C33" s="121"/>
      <c r="D33" s="121"/>
      <c r="E33" s="121"/>
      <c r="F33" s="121"/>
      <c r="G33" s="122"/>
      <c r="H33" s="118"/>
      <c r="I33" s="104" t="str">
        <f>IFERROR(VLOOKUP(A33,Tabela3[#All],4,0),"")</f>
        <v/>
      </c>
      <c r="J33" s="123" t="str">
        <f>IFERROR(VLOOKUP(A33,Tabela3[#All],7,0),"")</f>
        <v/>
      </c>
      <c r="K33" s="124"/>
      <c r="L33" s="105" t="str">
        <f>IFERROR(VLOOKUP(A33,Tabela3[#All],5,0),"")</f>
        <v/>
      </c>
      <c r="M33" s="105" t="str">
        <f>IFERROR(VLOOKUP(A33,Tabela3[#All],6,0),"")</f>
        <v/>
      </c>
      <c r="N33" s="105" t="e">
        <f t="shared" si="6"/>
        <v>#VALUE!</v>
      </c>
      <c r="O33" s="105" t="e">
        <f t="shared" si="7"/>
        <v>#VALUE!</v>
      </c>
      <c r="P33" s="105" t="str">
        <f t="shared" si="9"/>
        <v/>
      </c>
    </row>
    <row r="34" spans="1:16" ht="18" x14ac:dyDescent="0.3">
      <c r="A34" s="103"/>
      <c r="B34" s="120" t="str">
        <f>IFERROR(UPPER(VLOOKUP(A34,Tabela3[#All],2,0)),"")</f>
        <v/>
      </c>
      <c r="C34" s="121"/>
      <c r="D34" s="121"/>
      <c r="E34" s="121"/>
      <c r="F34" s="121"/>
      <c r="G34" s="122"/>
      <c r="H34" s="118"/>
      <c r="I34" s="104" t="str">
        <f>IFERROR(VLOOKUP(A34,Tabela3[#All],4,0),"")</f>
        <v/>
      </c>
      <c r="J34" s="123" t="str">
        <f>IFERROR(VLOOKUP(A34,Tabela3[#All],7,0),"")</f>
        <v/>
      </c>
      <c r="K34" s="124"/>
      <c r="L34" s="105" t="str">
        <f>IFERROR(VLOOKUP(A34,Tabela3[#All],5,0),"")</f>
        <v/>
      </c>
      <c r="M34" s="105" t="str">
        <f>IFERROR(VLOOKUP(A34,Tabela3[#All],6,0),"")</f>
        <v/>
      </c>
      <c r="N34" s="105" t="e">
        <f t="shared" ref="N34:N36" si="10">L34*H34</f>
        <v>#VALUE!</v>
      </c>
      <c r="O34" s="105" t="e">
        <f t="shared" ref="O34:O36" si="11">M34*H34</f>
        <v>#VALUE!</v>
      </c>
      <c r="P34" s="105" t="str">
        <f t="shared" si="9"/>
        <v/>
      </c>
    </row>
    <row r="35" spans="1:16" ht="18" x14ac:dyDescent="0.3">
      <c r="A35" s="103"/>
      <c r="B35" s="120" t="str">
        <f>IFERROR(UPPER(VLOOKUP(A35,Tabela3[#All],2,0)),"")</f>
        <v/>
      </c>
      <c r="C35" s="121"/>
      <c r="D35" s="121"/>
      <c r="E35" s="121"/>
      <c r="F35" s="121"/>
      <c r="G35" s="122"/>
      <c r="H35" s="118"/>
      <c r="I35" s="104" t="str">
        <f>IFERROR(VLOOKUP(A35,Tabela3[#All],4,0),"")</f>
        <v/>
      </c>
      <c r="J35" s="123" t="str">
        <f>IFERROR(VLOOKUP(A35,Tabela3[#All],7,0),"")</f>
        <v/>
      </c>
      <c r="K35" s="124"/>
      <c r="L35" s="105" t="str">
        <f>IFERROR(VLOOKUP(A35,Tabela3[#All],5,0),"")</f>
        <v/>
      </c>
      <c r="M35" s="105" t="str">
        <f>IFERROR(VLOOKUP(A35,Tabela3[#All],6,0),"")</f>
        <v/>
      </c>
      <c r="N35" s="105" t="e">
        <f t="shared" ref="N35" si="12">L35*H35</f>
        <v>#VALUE!</v>
      </c>
      <c r="O35" s="105" t="e">
        <f t="shared" ref="O35" si="13">M35*H35</f>
        <v>#VALUE!</v>
      </c>
      <c r="P35" s="105" t="str">
        <f t="shared" ref="P35" si="14">IFERROR(J35*H35,"")</f>
        <v/>
      </c>
    </row>
    <row r="36" spans="1:16" ht="18" x14ac:dyDescent="0.3">
      <c r="A36" s="103"/>
      <c r="B36" s="120" t="str">
        <f>IFERROR(UPPER(VLOOKUP(A36,Tabela3[#All],2,0)),"")</f>
        <v/>
      </c>
      <c r="C36" s="121"/>
      <c r="D36" s="121"/>
      <c r="E36" s="121"/>
      <c r="F36" s="121"/>
      <c r="G36" s="122"/>
      <c r="H36" s="118"/>
      <c r="I36" s="104" t="str">
        <f>IFERROR(VLOOKUP(A36,Tabela3[#All],4,0),"")</f>
        <v/>
      </c>
      <c r="J36" s="123" t="str">
        <f>IFERROR(VLOOKUP(A36,Tabela3[#All],7,0),"")</f>
        <v/>
      </c>
      <c r="K36" s="124"/>
      <c r="L36" s="105" t="str">
        <f>IFERROR(VLOOKUP(A36,Tabela3[#All],5,0),"")</f>
        <v/>
      </c>
      <c r="M36" s="105" t="str">
        <f>IFERROR(VLOOKUP(A36,Tabela3[#All],6,0),"")</f>
        <v/>
      </c>
      <c r="N36" s="105" t="e">
        <f t="shared" si="10"/>
        <v>#VALUE!</v>
      </c>
      <c r="O36" s="105" t="e">
        <f t="shared" si="11"/>
        <v>#VALUE!</v>
      </c>
      <c r="P36" s="105" t="str">
        <f t="shared" si="9"/>
        <v/>
      </c>
    </row>
    <row r="37" spans="1:16" ht="18" x14ac:dyDescent="0.3">
      <c r="A37" s="103"/>
      <c r="B37" s="120" t="str">
        <f>IFERROR(UPPER(VLOOKUP(A37,Tabela3[#All],2,0)),"")</f>
        <v/>
      </c>
      <c r="C37" s="121"/>
      <c r="D37" s="121"/>
      <c r="E37" s="121"/>
      <c r="F37" s="121"/>
      <c r="G37" s="122"/>
      <c r="H37" s="118"/>
      <c r="I37" s="104" t="str">
        <f>IFERROR(VLOOKUP(A37,Tabela3[#All],4,0),"")</f>
        <v/>
      </c>
      <c r="J37" s="123" t="str">
        <f>IFERROR(VLOOKUP(A37,Tabela3[#All],7,0),"")</f>
        <v/>
      </c>
      <c r="K37" s="124"/>
      <c r="L37" s="105" t="str">
        <f>IFERROR(VLOOKUP(A37,Tabela3[#All],5,0),"")</f>
        <v/>
      </c>
      <c r="M37" s="105" t="str">
        <f>IFERROR(VLOOKUP(A37,Tabela3[#All],6,0),"")</f>
        <v/>
      </c>
      <c r="N37" s="105" t="e">
        <f t="shared" ref="N37:N55" si="15">L37*H37</f>
        <v>#VALUE!</v>
      </c>
      <c r="O37" s="105" t="e">
        <f t="shared" ref="O37:O55" si="16">M37*H37</f>
        <v>#VALUE!</v>
      </c>
      <c r="P37" s="105" t="str">
        <f t="shared" ref="P37:P38" si="17">IFERROR(J37*H37,"")</f>
        <v/>
      </c>
    </row>
    <row r="38" spans="1:16" ht="18" x14ac:dyDescent="0.3">
      <c r="A38" s="103"/>
      <c r="B38" s="120" t="str">
        <f>IFERROR(UPPER(VLOOKUP(A38,Tabela3[#All],2,0)),"")</f>
        <v/>
      </c>
      <c r="C38" s="121"/>
      <c r="D38" s="121"/>
      <c r="E38" s="121"/>
      <c r="F38" s="121"/>
      <c r="G38" s="122"/>
      <c r="H38" s="118"/>
      <c r="I38" s="104" t="str">
        <f>IFERROR(VLOOKUP(A38,Tabela3[#All],4,0),"")</f>
        <v/>
      </c>
      <c r="J38" s="123" t="str">
        <f>IFERROR(VLOOKUP(A38,Tabela3[#All],7,0),"")</f>
        <v/>
      </c>
      <c r="K38" s="124"/>
      <c r="L38" s="105" t="str">
        <f>IFERROR(VLOOKUP(A38,Tabela3[#All],5,0),"")</f>
        <v/>
      </c>
      <c r="M38" s="105" t="str">
        <f>IFERROR(VLOOKUP(A38,Tabela3[#All],6,0),"")</f>
        <v/>
      </c>
      <c r="N38" s="105" t="e">
        <f t="shared" si="15"/>
        <v>#VALUE!</v>
      </c>
      <c r="O38" s="105" t="e">
        <f t="shared" si="16"/>
        <v>#VALUE!</v>
      </c>
      <c r="P38" s="105" t="str">
        <f t="shared" si="17"/>
        <v/>
      </c>
    </row>
    <row r="39" spans="1:16" ht="18" x14ac:dyDescent="0.3">
      <c r="A39" s="117"/>
      <c r="B39" s="120" t="str">
        <f>IFERROR(UPPER(VLOOKUP(A39,Tabela3[#All],2,0)),"")</f>
        <v/>
      </c>
      <c r="C39" s="121"/>
      <c r="D39" s="121"/>
      <c r="E39" s="121"/>
      <c r="F39" s="121"/>
      <c r="G39" s="122"/>
      <c r="H39" s="118"/>
      <c r="I39" s="104" t="str">
        <f>IFERROR(VLOOKUP(A39,Tabela3[#All],4,0),"")</f>
        <v/>
      </c>
      <c r="J39" s="123" t="str">
        <f>IFERROR(VLOOKUP(A39,Tabela3[#All],7,0),"")</f>
        <v/>
      </c>
      <c r="K39" s="124"/>
      <c r="L39" s="105" t="str">
        <f>IFERROR(VLOOKUP(A39,Tabela3[#All],5,0),"")</f>
        <v/>
      </c>
      <c r="M39" s="105" t="str">
        <f>IFERROR(VLOOKUP(A39,Tabela3[#All],6,0),"")</f>
        <v/>
      </c>
      <c r="N39" s="105" t="e">
        <f t="shared" si="15"/>
        <v>#VALUE!</v>
      </c>
      <c r="O39" s="105" t="e">
        <f t="shared" si="16"/>
        <v>#VALUE!</v>
      </c>
      <c r="P39" s="105" t="str">
        <f>IFERROR(J39*H39,"")</f>
        <v/>
      </c>
    </row>
    <row r="40" spans="1:16" ht="18" x14ac:dyDescent="0.3">
      <c r="A40" s="103"/>
      <c r="B40" s="120" t="str">
        <f>IFERROR(UPPER(VLOOKUP(A40,Tabela3[#All],2,0)),"")</f>
        <v/>
      </c>
      <c r="C40" s="121"/>
      <c r="D40" s="121"/>
      <c r="E40" s="121"/>
      <c r="F40" s="121"/>
      <c r="G40" s="122"/>
      <c r="H40" s="118"/>
      <c r="I40" s="104" t="str">
        <f>IFERROR(VLOOKUP(A40,Tabela3[#All],4,0),"")</f>
        <v/>
      </c>
      <c r="J40" s="123" t="str">
        <f>IFERROR(VLOOKUP(A40,Tabela3[#All],7,0),"")</f>
        <v/>
      </c>
      <c r="K40" s="124"/>
      <c r="L40" s="105" t="str">
        <f>IFERROR(VLOOKUP(A40,Tabela3[#All],5,0),"")</f>
        <v/>
      </c>
      <c r="M40" s="105" t="str">
        <f>IFERROR(VLOOKUP(A40,Tabela3[#All],6,0),"")</f>
        <v/>
      </c>
      <c r="N40" s="105" t="e">
        <f t="shared" si="15"/>
        <v>#VALUE!</v>
      </c>
      <c r="O40" s="105" t="e">
        <f t="shared" si="16"/>
        <v>#VALUE!</v>
      </c>
      <c r="P40" s="105" t="str">
        <f t="shared" ref="P40:P46" si="18">IFERROR(J40*H40,"")</f>
        <v/>
      </c>
    </row>
    <row r="41" spans="1:16" ht="18" x14ac:dyDescent="0.3">
      <c r="A41" s="103"/>
      <c r="B41" s="120" t="str">
        <f>IFERROR(UPPER(VLOOKUP(A41,Tabela3[#All],2,0)),"")</f>
        <v/>
      </c>
      <c r="C41" s="121"/>
      <c r="D41" s="121"/>
      <c r="E41" s="121"/>
      <c r="F41" s="121"/>
      <c r="G41" s="122"/>
      <c r="H41" s="118"/>
      <c r="I41" s="104" t="str">
        <f>IFERROR(VLOOKUP(A41,Tabela3[#All],4,0),"")</f>
        <v/>
      </c>
      <c r="J41" s="123" t="str">
        <f>IFERROR(VLOOKUP(A41,Tabela3[#All],7,0),"")</f>
        <v/>
      </c>
      <c r="K41" s="124"/>
      <c r="L41" s="105" t="str">
        <f>IFERROR(VLOOKUP(A41,Tabela3[#All],5,0),"")</f>
        <v/>
      </c>
      <c r="M41" s="105" t="str">
        <f>IFERROR(VLOOKUP(A41,Tabela3[#All],6,0),"")</f>
        <v/>
      </c>
      <c r="N41" s="105" t="e">
        <f t="shared" si="15"/>
        <v>#VALUE!</v>
      </c>
      <c r="O41" s="105" t="e">
        <f t="shared" si="16"/>
        <v>#VALUE!</v>
      </c>
      <c r="P41" s="105" t="str">
        <f t="shared" si="18"/>
        <v/>
      </c>
    </row>
    <row r="42" spans="1:16" ht="18" x14ac:dyDescent="0.3">
      <c r="A42" s="103"/>
      <c r="B42" s="120" t="str">
        <f>IFERROR(UPPER(VLOOKUP(A42,Tabela3[#All],2,0)),"")</f>
        <v/>
      </c>
      <c r="C42" s="121"/>
      <c r="D42" s="121"/>
      <c r="E42" s="121"/>
      <c r="F42" s="121"/>
      <c r="G42" s="122"/>
      <c r="H42" s="118"/>
      <c r="I42" s="104" t="str">
        <f>IFERROR(VLOOKUP(A42,Tabela3[#All],4,0),"")</f>
        <v/>
      </c>
      <c r="J42" s="123" t="str">
        <f>IFERROR(VLOOKUP(A42,Tabela3[#All],7,0),"")</f>
        <v/>
      </c>
      <c r="K42" s="124"/>
      <c r="L42" s="105" t="str">
        <f>IFERROR(VLOOKUP(A42,Tabela3[#All],5,0),"")</f>
        <v/>
      </c>
      <c r="M42" s="105" t="str">
        <f>IFERROR(VLOOKUP(A42,Tabela3[#All],6,0),"")</f>
        <v/>
      </c>
      <c r="N42" s="105" t="e">
        <f t="shared" si="15"/>
        <v>#VALUE!</v>
      </c>
      <c r="O42" s="105" t="e">
        <f t="shared" si="16"/>
        <v>#VALUE!</v>
      </c>
      <c r="P42" s="105" t="str">
        <f t="shared" si="18"/>
        <v/>
      </c>
    </row>
    <row r="43" spans="1:16" ht="18" x14ac:dyDescent="0.3">
      <c r="A43" s="103"/>
      <c r="B43" s="120" t="str">
        <f>IFERROR(UPPER(VLOOKUP(A43,Tabela3[#All],2,0)),"")</f>
        <v/>
      </c>
      <c r="C43" s="121"/>
      <c r="D43" s="121"/>
      <c r="E43" s="121"/>
      <c r="F43" s="121"/>
      <c r="G43" s="122"/>
      <c r="H43" s="118"/>
      <c r="I43" s="104" t="str">
        <f>IFERROR(VLOOKUP(A43,Tabela3[#All],4,0),"")</f>
        <v/>
      </c>
      <c r="J43" s="123" t="str">
        <f>IFERROR(VLOOKUP(A43,Tabela3[#All],7,0),"")</f>
        <v/>
      </c>
      <c r="K43" s="124"/>
      <c r="L43" s="105" t="str">
        <f>IFERROR(VLOOKUP(A43,Tabela3[#All],5,0),"")</f>
        <v/>
      </c>
      <c r="M43" s="105" t="str">
        <f>IFERROR(VLOOKUP(A43,Tabela3[#All],6,0),"")</f>
        <v/>
      </c>
      <c r="N43" s="105" t="e">
        <f t="shared" si="15"/>
        <v>#VALUE!</v>
      </c>
      <c r="O43" s="105" t="e">
        <f t="shared" si="16"/>
        <v>#VALUE!</v>
      </c>
      <c r="P43" s="105" t="str">
        <f t="shared" si="18"/>
        <v/>
      </c>
    </row>
    <row r="44" spans="1:16" ht="18" x14ac:dyDescent="0.3">
      <c r="A44" s="103"/>
      <c r="B44" s="120" t="str">
        <f>IFERROR(UPPER(VLOOKUP(A44,Tabela3[#All],2,0)),"")</f>
        <v/>
      </c>
      <c r="C44" s="121"/>
      <c r="D44" s="121"/>
      <c r="E44" s="121"/>
      <c r="F44" s="121"/>
      <c r="G44" s="122"/>
      <c r="H44" s="118"/>
      <c r="I44" s="104" t="str">
        <f>IFERROR(VLOOKUP(A44,Tabela3[#All],4,0),"")</f>
        <v/>
      </c>
      <c r="J44" s="123" t="str">
        <f>IFERROR(VLOOKUP(A44,Tabela3[#All],7,0),"")</f>
        <v/>
      </c>
      <c r="K44" s="124"/>
      <c r="L44" s="105" t="str">
        <f>IFERROR(VLOOKUP(A44,Tabela3[#All],5,0),"")</f>
        <v/>
      </c>
      <c r="M44" s="105" t="str">
        <f>IFERROR(VLOOKUP(A44,Tabela3[#All],6,0),"")</f>
        <v/>
      </c>
      <c r="N44" s="105" t="e">
        <f t="shared" si="15"/>
        <v>#VALUE!</v>
      </c>
      <c r="O44" s="105" t="e">
        <f t="shared" si="16"/>
        <v>#VALUE!</v>
      </c>
      <c r="P44" s="105" t="str">
        <f t="shared" si="18"/>
        <v/>
      </c>
    </row>
    <row r="45" spans="1:16" ht="18" x14ac:dyDescent="0.3">
      <c r="A45" s="103"/>
      <c r="B45" s="120" t="str">
        <f>IFERROR(UPPER(VLOOKUP(A45,Tabela3[#All],2,0)),"")</f>
        <v/>
      </c>
      <c r="C45" s="121"/>
      <c r="D45" s="121"/>
      <c r="E45" s="121"/>
      <c r="F45" s="121"/>
      <c r="G45" s="122"/>
      <c r="H45" s="118"/>
      <c r="I45" s="104" t="str">
        <f>IFERROR(VLOOKUP(A45,Tabela3[#All],4,0),"")</f>
        <v/>
      </c>
      <c r="J45" s="123" t="str">
        <f>IFERROR(VLOOKUP(A45,Tabela3[#All],7,0),"")</f>
        <v/>
      </c>
      <c r="K45" s="124"/>
      <c r="L45" s="105" t="str">
        <f>IFERROR(VLOOKUP(A45,Tabela3[#All],5,0),"")</f>
        <v/>
      </c>
      <c r="M45" s="105" t="str">
        <f>IFERROR(VLOOKUP(A45,Tabela3[#All],6,0),"")</f>
        <v/>
      </c>
      <c r="N45" s="105" t="e">
        <f t="shared" si="15"/>
        <v>#VALUE!</v>
      </c>
      <c r="O45" s="105" t="e">
        <f t="shared" si="16"/>
        <v>#VALUE!</v>
      </c>
      <c r="P45" s="105" t="str">
        <f t="shared" si="18"/>
        <v/>
      </c>
    </row>
    <row r="46" spans="1:16" ht="18" x14ac:dyDescent="0.3">
      <c r="A46" s="103"/>
      <c r="B46" s="120" t="str">
        <f>IFERROR(UPPER(VLOOKUP(A46,Tabela3[#All],2,0)),"")</f>
        <v/>
      </c>
      <c r="C46" s="121"/>
      <c r="D46" s="121"/>
      <c r="E46" s="121"/>
      <c r="F46" s="121"/>
      <c r="G46" s="122"/>
      <c r="H46" s="118"/>
      <c r="I46" s="104" t="str">
        <f>IFERROR(VLOOKUP(A46,Tabela3[#All],4,0),"")</f>
        <v/>
      </c>
      <c r="J46" s="123" t="str">
        <f>IFERROR(VLOOKUP(A46,Tabela3[#All],7,0),"")</f>
        <v/>
      </c>
      <c r="K46" s="124"/>
      <c r="L46" s="105" t="str">
        <f>IFERROR(VLOOKUP(A46,Tabela3[#All],5,0),"")</f>
        <v/>
      </c>
      <c r="M46" s="105" t="str">
        <f>IFERROR(VLOOKUP(A46,Tabela3[#All],6,0),"")</f>
        <v/>
      </c>
      <c r="N46" s="105" t="e">
        <f t="shared" si="15"/>
        <v>#VALUE!</v>
      </c>
      <c r="O46" s="105" t="e">
        <f t="shared" si="16"/>
        <v>#VALUE!</v>
      </c>
      <c r="P46" s="105" t="str">
        <f t="shared" si="18"/>
        <v/>
      </c>
    </row>
    <row r="47" spans="1:16" ht="18" x14ac:dyDescent="0.3">
      <c r="A47" s="117"/>
      <c r="B47" s="120" t="str">
        <f>IFERROR(UPPER(VLOOKUP(A47,Tabela3[#All],2,0)),"")</f>
        <v/>
      </c>
      <c r="C47" s="121"/>
      <c r="D47" s="121"/>
      <c r="E47" s="121"/>
      <c r="F47" s="121"/>
      <c r="G47" s="122"/>
      <c r="H47" s="118"/>
      <c r="I47" s="104" t="str">
        <f>IFERROR(VLOOKUP(A47,Tabela3[#All],4,0),"")</f>
        <v/>
      </c>
      <c r="J47" s="123" t="str">
        <f>IFERROR(VLOOKUP(A47,Tabela3[#All],7,0),"")</f>
        <v/>
      </c>
      <c r="K47" s="124"/>
      <c r="L47" s="105" t="str">
        <f>IFERROR(VLOOKUP(A47,Tabela3[#All],5,0),"")</f>
        <v/>
      </c>
      <c r="M47" s="105" t="str">
        <f>IFERROR(VLOOKUP(A47,Tabela3[#All],6,0),"")</f>
        <v/>
      </c>
      <c r="N47" s="105" t="e">
        <f t="shared" si="15"/>
        <v>#VALUE!</v>
      </c>
      <c r="O47" s="105" t="e">
        <f t="shared" si="16"/>
        <v>#VALUE!</v>
      </c>
      <c r="P47" s="105" t="str">
        <f>IFERROR(J47*H47,"")</f>
        <v/>
      </c>
    </row>
    <row r="48" spans="1:16" ht="18" x14ac:dyDescent="0.3">
      <c r="A48" s="103"/>
      <c r="B48" s="120" t="str">
        <f>IFERROR(UPPER(VLOOKUP(A48,Tabela3[#All],2,0)),"")</f>
        <v/>
      </c>
      <c r="C48" s="121"/>
      <c r="D48" s="121"/>
      <c r="E48" s="121"/>
      <c r="F48" s="121"/>
      <c r="G48" s="122"/>
      <c r="H48" s="118"/>
      <c r="I48" s="104" t="str">
        <f>IFERROR(VLOOKUP(A48,Tabela3[#All],4,0),"")</f>
        <v/>
      </c>
      <c r="J48" s="123" t="str">
        <f>IFERROR(VLOOKUP(A48,Tabela3[#All],7,0),"")</f>
        <v/>
      </c>
      <c r="K48" s="124"/>
      <c r="L48" s="105" t="str">
        <f>IFERROR(VLOOKUP(A48,Tabela3[#All],5,0),"")</f>
        <v/>
      </c>
      <c r="M48" s="105" t="str">
        <f>IFERROR(VLOOKUP(A48,Tabela3[#All],6,0),"")</f>
        <v/>
      </c>
      <c r="N48" s="105" t="e">
        <f t="shared" si="15"/>
        <v>#VALUE!</v>
      </c>
      <c r="O48" s="105" t="e">
        <f t="shared" si="16"/>
        <v>#VALUE!</v>
      </c>
      <c r="P48" s="105" t="str">
        <f t="shared" ref="P48:P56" si="19">IFERROR(J48*H48,"")</f>
        <v/>
      </c>
    </row>
    <row r="49" spans="1:16" ht="18" x14ac:dyDescent="0.3">
      <c r="A49" s="103"/>
      <c r="B49" s="120" t="str">
        <f>IFERROR(UPPER(VLOOKUP(A49,Tabela3[#All],2,0)),"")</f>
        <v/>
      </c>
      <c r="C49" s="121"/>
      <c r="D49" s="121"/>
      <c r="E49" s="121"/>
      <c r="F49" s="121"/>
      <c r="G49" s="122"/>
      <c r="H49" s="118"/>
      <c r="I49" s="104" t="str">
        <f>IFERROR(VLOOKUP(A49,Tabela3[#All],4,0),"")</f>
        <v/>
      </c>
      <c r="J49" s="123" t="str">
        <f>IFERROR(VLOOKUP(A49,Tabela3[#All],7,0),"")</f>
        <v/>
      </c>
      <c r="K49" s="124"/>
      <c r="L49" s="105" t="str">
        <f>IFERROR(VLOOKUP(A49,Tabela3[#All],5,0),"")</f>
        <v/>
      </c>
      <c r="M49" s="105" t="str">
        <f>IFERROR(VLOOKUP(A49,Tabela3[#All],6,0),"")</f>
        <v/>
      </c>
      <c r="N49" s="105" t="e">
        <f t="shared" si="15"/>
        <v>#VALUE!</v>
      </c>
      <c r="O49" s="105" t="e">
        <f t="shared" si="16"/>
        <v>#VALUE!</v>
      </c>
      <c r="P49" s="105" t="str">
        <f t="shared" si="19"/>
        <v/>
      </c>
    </row>
    <row r="50" spans="1:16" ht="18" x14ac:dyDescent="0.3">
      <c r="A50" s="103"/>
      <c r="B50" s="120" t="str">
        <f>IFERROR(UPPER(VLOOKUP(A50,Tabela3[#All],2,0)),"")</f>
        <v/>
      </c>
      <c r="C50" s="121"/>
      <c r="D50" s="121"/>
      <c r="E50" s="121"/>
      <c r="F50" s="121"/>
      <c r="G50" s="122"/>
      <c r="H50" s="118"/>
      <c r="I50" s="104" t="str">
        <f>IFERROR(VLOOKUP(A50,Tabela3[#All],4,0),"")</f>
        <v/>
      </c>
      <c r="J50" s="123" t="str">
        <f>IFERROR(VLOOKUP(A50,Tabela3[#All],7,0),"")</f>
        <v/>
      </c>
      <c r="K50" s="124"/>
      <c r="L50" s="105" t="str">
        <f>IFERROR(VLOOKUP(A50,Tabela3[#All],5,0),"")</f>
        <v/>
      </c>
      <c r="M50" s="105" t="str">
        <f>IFERROR(VLOOKUP(A50,Tabela3[#All],6,0),"")</f>
        <v/>
      </c>
      <c r="N50" s="105" t="e">
        <f t="shared" si="15"/>
        <v>#VALUE!</v>
      </c>
      <c r="O50" s="105" t="e">
        <f t="shared" si="16"/>
        <v>#VALUE!</v>
      </c>
      <c r="P50" s="105" t="str">
        <f t="shared" si="19"/>
        <v/>
      </c>
    </row>
    <row r="51" spans="1:16" ht="18" x14ac:dyDescent="0.3">
      <c r="A51" s="103"/>
      <c r="B51" s="120" t="str">
        <f>IFERROR(UPPER(VLOOKUP(A51,Tabela3[#All],2,0)),"")</f>
        <v/>
      </c>
      <c r="C51" s="121"/>
      <c r="D51" s="121"/>
      <c r="E51" s="121"/>
      <c r="F51" s="121"/>
      <c r="G51" s="122"/>
      <c r="H51" s="118"/>
      <c r="I51" s="104" t="str">
        <f>IFERROR(VLOOKUP(A51,Tabela3[#All],4,0),"")</f>
        <v/>
      </c>
      <c r="J51" s="123" t="str">
        <f>IFERROR(VLOOKUP(A51,Tabela3[#All],7,0),"")</f>
        <v/>
      </c>
      <c r="K51" s="124"/>
      <c r="L51" s="105" t="str">
        <f>IFERROR(VLOOKUP(A51,Tabela3[#All],5,0),"")</f>
        <v/>
      </c>
      <c r="M51" s="105" t="str">
        <f>IFERROR(VLOOKUP(A51,Tabela3[#All],6,0),"")</f>
        <v/>
      </c>
      <c r="N51" s="105" t="e">
        <f t="shared" si="15"/>
        <v>#VALUE!</v>
      </c>
      <c r="O51" s="105" t="e">
        <f t="shared" si="16"/>
        <v>#VALUE!</v>
      </c>
      <c r="P51" s="105" t="str">
        <f t="shared" si="19"/>
        <v/>
      </c>
    </row>
    <row r="52" spans="1:16" ht="18" x14ac:dyDescent="0.3">
      <c r="A52" s="103"/>
      <c r="B52" s="120" t="str">
        <f>IFERROR(UPPER(VLOOKUP(A52,Tabela3[#All],2,0)),"")</f>
        <v/>
      </c>
      <c r="C52" s="121"/>
      <c r="D52" s="121"/>
      <c r="E52" s="121"/>
      <c r="F52" s="121"/>
      <c r="G52" s="122"/>
      <c r="H52" s="118"/>
      <c r="I52" s="104" t="str">
        <f>IFERROR(VLOOKUP(A52,Tabela3[#All],4,0),"")</f>
        <v/>
      </c>
      <c r="J52" s="123" t="str">
        <f>IFERROR(VLOOKUP(A52,Tabela3[#All],7,0),"")</f>
        <v/>
      </c>
      <c r="K52" s="124"/>
      <c r="L52" s="105" t="str">
        <f>IFERROR(VLOOKUP(A52,Tabela3[#All],5,0),"")</f>
        <v/>
      </c>
      <c r="M52" s="105" t="str">
        <f>IFERROR(VLOOKUP(A52,Tabela3[#All],6,0),"")</f>
        <v/>
      </c>
      <c r="N52" s="105" t="e">
        <f t="shared" si="15"/>
        <v>#VALUE!</v>
      </c>
      <c r="O52" s="105" t="e">
        <f t="shared" si="16"/>
        <v>#VALUE!</v>
      </c>
      <c r="P52" s="105" t="str">
        <f t="shared" si="19"/>
        <v/>
      </c>
    </row>
    <row r="53" spans="1:16" ht="18" x14ac:dyDescent="0.3">
      <c r="A53" s="103"/>
      <c r="B53" s="120" t="str">
        <f>IFERROR(UPPER(VLOOKUP(A53,Tabela3[#All],2,0)),"")</f>
        <v/>
      </c>
      <c r="C53" s="121"/>
      <c r="D53" s="121"/>
      <c r="E53" s="121"/>
      <c r="F53" s="121"/>
      <c r="G53" s="122"/>
      <c r="H53" s="118"/>
      <c r="I53" s="104" t="str">
        <f>IFERROR(VLOOKUP(A53,Tabela3[#All],4,0),"")</f>
        <v/>
      </c>
      <c r="J53" s="123" t="str">
        <f>IFERROR(VLOOKUP(A53,Tabela3[#All],7,0),"")</f>
        <v/>
      </c>
      <c r="K53" s="124"/>
      <c r="L53" s="105" t="str">
        <f>IFERROR(VLOOKUP(A53,Tabela3[#All],5,0),"")</f>
        <v/>
      </c>
      <c r="M53" s="105" t="str">
        <f>IFERROR(VLOOKUP(A53,Tabela3[#All],6,0),"")</f>
        <v/>
      </c>
      <c r="N53" s="105" t="e">
        <f t="shared" si="15"/>
        <v>#VALUE!</v>
      </c>
      <c r="O53" s="105" t="e">
        <f t="shared" si="16"/>
        <v>#VALUE!</v>
      </c>
      <c r="P53" s="105" t="str">
        <f t="shared" si="19"/>
        <v/>
      </c>
    </row>
    <row r="54" spans="1:16" ht="18" x14ac:dyDescent="0.3">
      <c r="A54" s="103"/>
      <c r="B54" s="120" t="str">
        <f>IFERROR(UPPER(VLOOKUP(A54,Tabela3[#All],2,0)),"")</f>
        <v/>
      </c>
      <c r="C54" s="121"/>
      <c r="D54" s="121"/>
      <c r="E54" s="121"/>
      <c r="F54" s="121"/>
      <c r="G54" s="122"/>
      <c r="H54" s="118"/>
      <c r="I54" s="104" t="str">
        <f>IFERROR(VLOOKUP(A54,Tabela3[#All],4,0),"")</f>
        <v/>
      </c>
      <c r="J54" s="123" t="str">
        <f>IFERROR(VLOOKUP(A54,Tabela3[#All],7,0),"")</f>
        <v/>
      </c>
      <c r="K54" s="124"/>
      <c r="L54" s="105" t="str">
        <f>IFERROR(VLOOKUP(A54,Tabela3[#All],5,0),"")</f>
        <v/>
      </c>
      <c r="M54" s="105" t="str">
        <f>IFERROR(VLOOKUP(A54,Tabela3[#All],6,0),"")</f>
        <v/>
      </c>
      <c r="N54" s="105" t="e">
        <f t="shared" si="15"/>
        <v>#VALUE!</v>
      </c>
      <c r="O54" s="105" t="e">
        <f t="shared" si="16"/>
        <v>#VALUE!</v>
      </c>
      <c r="P54" s="105" t="str">
        <f t="shared" si="19"/>
        <v/>
      </c>
    </row>
    <row r="55" spans="1:16" ht="18" x14ac:dyDescent="0.3">
      <c r="A55" s="103"/>
      <c r="B55" s="120" t="str">
        <f>IFERROR(UPPER(VLOOKUP(A55,Tabela3[#All],2,0)),"")</f>
        <v/>
      </c>
      <c r="C55" s="121"/>
      <c r="D55" s="121"/>
      <c r="E55" s="121"/>
      <c r="F55" s="121"/>
      <c r="G55" s="122"/>
      <c r="H55" s="118"/>
      <c r="I55" s="104" t="str">
        <f>IFERROR(VLOOKUP(A55,Tabela3[#All],4,0),"")</f>
        <v/>
      </c>
      <c r="J55" s="123" t="str">
        <f>IFERROR(VLOOKUP(A55,Tabela3[#All],7,0),"")</f>
        <v/>
      </c>
      <c r="K55" s="124"/>
      <c r="L55" s="105" t="str">
        <f>IFERROR(VLOOKUP(A55,Tabela3[#All],5,0),"")</f>
        <v/>
      </c>
      <c r="M55" s="105" t="str">
        <f>IFERROR(VLOOKUP(A55,Tabela3[#All],6,0),"")</f>
        <v/>
      </c>
      <c r="N55" s="105" t="e">
        <f t="shared" si="15"/>
        <v>#VALUE!</v>
      </c>
      <c r="O55" s="105" t="e">
        <f t="shared" si="16"/>
        <v>#VALUE!</v>
      </c>
      <c r="P55" s="105" t="str">
        <f t="shared" si="19"/>
        <v/>
      </c>
    </row>
    <row r="56" spans="1:16" ht="18" x14ac:dyDescent="0.3">
      <c r="A56" s="103"/>
      <c r="B56" s="120" t="str">
        <f>IFERROR(UPPER(VLOOKUP(A56,Tabela3[#All],2,0)),"")</f>
        <v/>
      </c>
      <c r="C56" s="121"/>
      <c r="D56" s="121"/>
      <c r="E56" s="121"/>
      <c r="F56" s="121"/>
      <c r="G56" s="122"/>
      <c r="H56" s="118"/>
      <c r="I56" s="104" t="str">
        <f>IFERROR(VLOOKUP(A56,Tabela3[#All],4,0),"")</f>
        <v/>
      </c>
      <c r="J56" s="123" t="str">
        <f>IFERROR(VLOOKUP(A56,Tabela3[#All],7,0),"")</f>
        <v/>
      </c>
      <c r="K56" s="124"/>
      <c r="L56" s="105" t="str">
        <f>IFERROR(VLOOKUP(A56,Tabela3[#All],5,0),"")</f>
        <v/>
      </c>
      <c r="M56" s="105" t="str">
        <f>IFERROR(VLOOKUP(A56,Tabela3[#All],6,0),"")</f>
        <v/>
      </c>
      <c r="N56" s="105" t="e">
        <f t="shared" ref="N56" si="20">L56*H56</f>
        <v>#VALUE!</v>
      </c>
      <c r="O56" s="105" t="e">
        <f t="shared" ref="O56" si="21">M56*H56</f>
        <v>#VALUE!</v>
      </c>
      <c r="P56" s="105" t="str">
        <f t="shared" si="19"/>
        <v/>
      </c>
    </row>
    <row r="57" spans="1:16" ht="18" x14ac:dyDescent="0.3">
      <c r="A57" s="103"/>
      <c r="B57" s="120" t="str">
        <f>IFERROR(UPPER(VLOOKUP(A57,Tabela3[#All],2,0)),"")</f>
        <v/>
      </c>
      <c r="C57" s="121"/>
      <c r="D57" s="121"/>
      <c r="E57" s="121"/>
      <c r="F57" s="121"/>
      <c r="G57" s="122"/>
      <c r="H57" s="118"/>
      <c r="I57" s="104" t="str">
        <f>IFERROR(VLOOKUP(A57,Tabela3[#All],4,0),"")</f>
        <v/>
      </c>
      <c r="J57" s="123" t="str">
        <f>IFERROR(VLOOKUP(A57,Tabela3[#All],7,0),"")</f>
        <v/>
      </c>
      <c r="K57" s="124"/>
      <c r="L57" s="105" t="str">
        <f>IFERROR(VLOOKUP(A57,Tabela3[#All],5,0),"")</f>
        <v/>
      </c>
      <c r="M57" s="105" t="str">
        <f>IFERROR(VLOOKUP(A57,Tabela3[#All],6,0),"")</f>
        <v/>
      </c>
      <c r="N57" s="105" t="e">
        <f t="shared" ref="N57" si="22">L57*H57</f>
        <v>#VALUE!</v>
      </c>
      <c r="O57" s="105" t="e">
        <f t="shared" ref="O57" si="23">M57*H57</f>
        <v>#VALUE!</v>
      </c>
      <c r="P57" s="105" t="str">
        <f t="shared" ref="P57" si="24">IFERROR(J57*H57,"")</f>
        <v/>
      </c>
    </row>
    <row r="58" spans="1:16" ht="15.6" x14ac:dyDescent="0.3">
      <c r="A58" s="144" t="s">
        <v>1119</v>
      </c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5"/>
    </row>
    <row r="59" spans="1:16" x14ac:dyDescent="0.3">
      <c r="A59" s="139" t="s">
        <v>1120</v>
      </c>
      <c r="B59" s="140"/>
      <c r="C59" s="140"/>
      <c r="D59" s="140"/>
      <c r="E59" s="141"/>
      <c r="F59" s="142" t="s">
        <v>1121</v>
      </c>
      <c r="G59" s="143"/>
      <c r="H59" s="143"/>
      <c r="I59" s="142" t="s">
        <v>1122</v>
      </c>
      <c r="J59" s="143"/>
      <c r="K59" s="143"/>
      <c r="L59" s="143"/>
      <c r="M59" s="143"/>
      <c r="N59" s="143"/>
      <c r="O59" s="143"/>
      <c r="P59" s="154"/>
    </row>
    <row r="60" spans="1:16" ht="21" x14ac:dyDescent="0.3">
      <c r="A60" s="155">
        <f>E75</f>
        <v>0</v>
      </c>
      <c r="B60" s="156"/>
      <c r="C60" s="156"/>
      <c r="D60" s="156"/>
      <c r="E60" s="157"/>
      <c r="F60" s="107" t="e">
        <f>SUM(N18:N57)</f>
        <v>#VALUE!</v>
      </c>
      <c r="G60" s="108" t="s">
        <v>1123</v>
      </c>
      <c r="H60" s="109" t="e">
        <f>SUM(O18:O57)</f>
        <v>#VALUE!</v>
      </c>
      <c r="I60" s="158" t="e">
        <f>H60+F60</f>
        <v>#VALUE!</v>
      </c>
      <c r="J60" s="159"/>
      <c r="K60" s="159"/>
      <c r="L60" s="159"/>
      <c r="M60" s="159"/>
      <c r="N60" s="159"/>
      <c r="O60" s="159"/>
      <c r="P60" s="160"/>
    </row>
    <row r="61" spans="1:16" x14ac:dyDescent="0.3">
      <c r="A61" s="133" t="s">
        <v>1124</v>
      </c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</row>
    <row r="62" spans="1:16" x14ac:dyDescent="0.3">
      <c r="A62" s="134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</row>
    <row r="63" spans="1:16" x14ac:dyDescent="0.3">
      <c r="A63" s="134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</row>
    <row r="64" spans="1:16" x14ac:dyDescent="0.3">
      <c r="A64" s="134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</row>
    <row r="65" spans="1:16" x14ac:dyDescent="0.3">
      <c r="A65" s="110"/>
      <c r="B65" s="136" t="s">
        <v>1125</v>
      </c>
      <c r="C65" s="136"/>
      <c r="D65" s="136"/>
      <c r="E65" s="136"/>
      <c r="F65" s="136"/>
      <c r="G65" s="111"/>
      <c r="H65" s="136" t="s">
        <v>1126</v>
      </c>
      <c r="I65" s="136"/>
      <c r="J65" s="136"/>
      <c r="K65" s="136"/>
      <c r="L65" s="136"/>
      <c r="M65" s="136"/>
      <c r="N65" s="136"/>
      <c r="O65" s="136"/>
      <c r="P65" s="136"/>
    </row>
    <row r="66" spans="1:16" x14ac:dyDescent="0.3">
      <c r="A66" s="110"/>
      <c r="B66" s="137"/>
      <c r="C66" s="137"/>
      <c r="D66" s="137"/>
      <c r="E66" s="137"/>
      <c r="F66" s="137"/>
      <c r="G66" s="111"/>
      <c r="H66" s="137"/>
      <c r="I66" s="137"/>
      <c r="J66" s="137"/>
      <c r="K66" s="137"/>
      <c r="L66" s="137"/>
      <c r="M66" s="137"/>
      <c r="N66" s="137"/>
      <c r="O66" s="137"/>
      <c r="P66" s="137"/>
    </row>
    <row r="67" spans="1:16" x14ac:dyDescent="0.3">
      <c r="A67" s="110"/>
      <c r="B67" s="137"/>
      <c r="C67" s="137"/>
      <c r="D67" s="137"/>
      <c r="E67" s="137"/>
      <c r="F67" s="137"/>
      <c r="G67" s="111"/>
      <c r="H67" s="137"/>
      <c r="I67" s="137"/>
      <c r="J67" s="137"/>
      <c r="K67" s="137"/>
      <c r="L67" s="137"/>
      <c r="M67" s="137"/>
      <c r="N67" s="137"/>
      <c r="O67" s="137"/>
      <c r="P67" s="137"/>
    </row>
    <row r="68" spans="1:16" x14ac:dyDescent="0.3">
      <c r="A68" s="110"/>
      <c r="B68" s="137"/>
      <c r="C68" s="137"/>
      <c r="D68" s="137"/>
      <c r="E68" s="137"/>
      <c r="F68" s="137"/>
      <c r="G68" s="111"/>
      <c r="H68" s="137"/>
      <c r="I68" s="137"/>
      <c r="J68" s="137"/>
      <c r="K68" s="137"/>
      <c r="L68" s="137"/>
      <c r="M68" s="137"/>
      <c r="N68" s="137"/>
      <c r="O68" s="137"/>
      <c r="P68" s="137"/>
    </row>
    <row r="69" spans="1:16" x14ac:dyDescent="0.3">
      <c r="A69" s="110"/>
      <c r="B69" s="138" t="s">
        <v>1127</v>
      </c>
      <c r="C69" s="138"/>
      <c r="D69" s="138"/>
      <c r="E69" s="138"/>
      <c r="F69" s="138"/>
      <c r="H69" s="138" t="s">
        <v>1128</v>
      </c>
      <c r="I69" s="138"/>
      <c r="J69" s="138"/>
      <c r="K69" s="138"/>
      <c r="L69" s="138"/>
      <c r="M69" s="138"/>
      <c r="N69" s="138"/>
      <c r="O69" s="138"/>
      <c r="P69" s="138"/>
    </row>
    <row r="70" spans="1:16" x14ac:dyDescent="0.3">
      <c r="A70" s="110"/>
      <c r="B70" s="111"/>
      <c r="C70" s="111"/>
      <c r="D70" s="111"/>
      <c r="E70" s="111"/>
      <c r="F70" s="111"/>
      <c r="G70" s="111"/>
      <c r="H70" s="111"/>
      <c r="I70" s="110"/>
      <c r="J70" s="111"/>
      <c r="K70" s="111"/>
      <c r="L70" s="110"/>
      <c r="M70" s="110"/>
      <c r="N70" s="110"/>
      <c r="O70" s="110"/>
      <c r="P70" s="110"/>
    </row>
    <row r="71" spans="1:16" x14ac:dyDescent="0.3">
      <c r="A71" s="146" t="s">
        <v>1129</v>
      </c>
      <c r="B71" s="133"/>
      <c r="C71" s="133"/>
      <c r="D71" s="133"/>
      <c r="E71" s="133"/>
      <c r="F71" s="133"/>
      <c r="G71" s="133"/>
      <c r="H71" s="147"/>
      <c r="I71" s="148" t="s">
        <v>1130</v>
      </c>
      <c r="J71" s="149"/>
      <c r="K71" s="149"/>
      <c r="L71" s="149"/>
      <c r="M71" s="149"/>
      <c r="N71" s="149"/>
      <c r="O71" s="149"/>
      <c r="P71" s="149"/>
    </row>
    <row r="72" spans="1:16" x14ac:dyDescent="0.3">
      <c r="A72" s="150" t="s">
        <v>1170</v>
      </c>
      <c r="B72" s="151"/>
      <c r="C72" s="151"/>
      <c r="D72" s="151"/>
      <c r="E72" s="151"/>
      <c r="F72" s="151"/>
      <c r="G72" s="151"/>
      <c r="H72" s="151"/>
      <c r="I72" s="134"/>
      <c r="J72" s="135"/>
      <c r="K72" s="135"/>
      <c r="L72" s="135"/>
      <c r="M72" s="135"/>
      <c r="N72" s="135"/>
      <c r="O72" s="135"/>
      <c r="P72" s="135"/>
    </row>
    <row r="73" spans="1:16" x14ac:dyDescent="0.3">
      <c r="A73" s="146" t="s">
        <v>1131</v>
      </c>
      <c r="B73" s="133"/>
      <c r="C73" s="133"/>
      <c r="D73" s="133"/>
      <c r="E73" s="133"/>
      <c r="F73" s="133"/>
      <c r="G73" s="133"/>
      <c r="H73" s="147"/>
      <c r="I73" s="134"/>
      <c r="J73" s="135"/>
      <c r="K73" s="135"/>
      <c r="L73" s="135"/>
      <c r="M73" s="135"/>
      <c r="N73" s="135"/>
      <c r="O73" s="135"/>
      <c r="P73" s="135"/>
    </row>
    <row r="74" spans="1:16" ht="84" customHeight="1" x14ac:dyDescent="0.3">
      <c r="A74" s="152"/>
      <c r="B74" s="153"/>
      <c r="C74" s="153"/>
      <c r="D74" s="153"/>
      <c r="E74" s="153"/>
      <c r="F74" s="153"/>
      <c r="G74" s="153"/>
      <c r="H74" s="153"/>
      <c r="I74" s="134"/>
      <c r="J74" s="135"/>
      <c r="K74" s="135"/>
      <c r="L74" s="135"/>
      <c r="M74" s="135"/>
      <c r="N74" s="135"/>
      <c r="O74" s="135"/>
      <c r="P74" s="135"/>
    </row>
    <row r="75" spans="1:16" x14ac:dyDescent="0.3">
      <c r="A75" s="106" t="s">
        <v>1132</v>
      </c>
      <c r="B75" s="125"/>
      <c r="C75" s="126"/>
      <c r="D75" s="112" t="s">
        <v>1132</v>
      </c>
      <c r="E75" s="129"/>
      <c r="F75" s="126"/>
      <c r="G75" s="126"/>
      <c r="H75" s="126"/>
      <c r="I75" s="131" t="s">
        <v>1133</v>
      </c>
      <c r="J75" s="132"/>
      <c r="K75" s="132"/>
      <c r="L75" s="132"/>
      <c r="M75" s="132"/>
      <c r="N75" s="132"/>
      <c r="O75" s="132"/>
      <c r="P75" s="132"/>
    </row>
    <row r="76" spans="1:16" x14ac:dyDescent="0.3">
      <c r="A76" s="113" t="s">
        <v>1134</v>
      </c>
      <c r="B76" s="127"/>
      <c r="C76" s="128"/>
      <c r="D76" s="112" t="s">
        <v>1135</v>
      </c>
      <c r="E76" s="130"/>
      <c r="F76" s="128"/>
      <c r="G76" s="128"/>
      <c r="H76" s="128"/>
      <c r="I76" s="131" t="s">
        <v>1136</v>
      </c>
      <c r="J76" s="132"/>
      <c r="K76" s="132"/>
      <c r="L76" s="132"/>
      <c r="M76" s="132"/>
      <c r="N76" s="132"/>
      <c r="O76" s="132"/>
      <c r="P76" s="132"/>
    </row>
    <row r="77" spans="1:16" x14ac:dyDescent="0.3">
      <c r="A77" s="110"/>
      <c r="B77" s="111"/>
      <c r="C77" s="111"/>
      <c r="D77" s="111"/>
      <c r="E77" s="111"/>
      <c r="F77" s="111"/>
      <c r="G77" s="111"/>
      <c r="H77" s="111"/>
      <c r="I77" s="110"/>
      <c r="J77" s="111"/>
      <c r="K77" s="111"/>
      <c r="L77" s="110"/>
      <c r="M77" s="110"/>
      <c r="N77" s="110"/>
      <c r="O77" s="110"/>
      <c r="P77" s="110"/>
    </row>
    <row r="78" spans="1:16" x14ac:dyDescent="0.3">
      <c r="A78" s="137" t="s">
        <v>1137</v>
      </c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</row>
  </sheetData>
  <mergeCells count="141">
    <mergeCell ref="B36:G36"/>
    <mergeCell ref="J36:K36"/>
    <mergeCell ref="J31:K31"/>
    <mergeCell ref="B32:G32"/>
    <mergeCell ref="J32:K32"/>
    <mergeCell ref="B33:G33"/>
    <mergeCell ref="J33:K33"/>
    <mergeCell ref="B35:G35"/>
    <mergeCell ref="J35:K35"/>
    <mergeCell ref="B31:G31"/>
    <mergeCell ref="A5:B5"/>
    <mergeCell ref="C5:E6"/>
    <mergeCell ref="F5:H5"/>
    <mergeCell ref="I5:P5"/>
    <mergeCell ref="A6:B6"/>
    <mergeCell ref="F6:H6"/>
    <mergeCell ref="I6:P6"/>
    <mergeCell ref="B34:G34"/>
    <mergeCell ref="J34:K34"/>
    <mergeCell ref="I7:P7"/>
    <mergeCell ref="B9:E9"/>
    <mergeCell ref="F9:P9"/>
    <mergeCell ref="A10:E10"/>
    <mergeCell ref="F10:P10"/>
    <mergeCell ref="A8:E8"/>
    <mergeCell ref="F8:P8"/>
    <mergeCell ref="A7:B7"/>
    <mergeCell ref="C7:E7"/>
    <mergeCell ref="F7:H7"/>
    <mergeCell ref="B22:G22"/>
    <mergeCell ref="J22:K22"/>
    <mergeCell ref="B23:G23"/>
    <mergeCell ref="J23:K23"/>
    <mergeCell ref="B24:G24"/>
    <mergeCell ref="A1:P1"/>
    <mergeCell ref="A2:P2"/>
    <mergeCell ref="A3:B3"/>
    <mergeCell ref="C3:E3"/>
    <mergeCell ref="F3:H3"/>
    <mergeCell ref="I3:P3"/>
    <mergeCell ref="A4:B4"/>
    <mergeCell ref="C4:E4"/>
    <mergeCell ref="F4:H4"/>
    <mergeCell ref="I4:P4"/>
    <mergeCell ref="J24:K24"/>
    <mergeCell ref="A11:E11"/>
    <mergeCell ref="F11:P11"/>
    <mergeCell ref="B21:G21"/>
    <mergeCell ref="J21:K21"/>
    <mergeCell ref="A12:P12"/>
    <mergeCell ref="A13:I13"/>
    <mergeCell ref="J13:P13"/>
    <mergeCell ref="A14:I14"/>
    <mergeCell ref="J14:P14"/>
    <mergeCell ref="A15:P15"/>
    <mergeCell ref="A16:P16"/>
    <mergeCell ref="B17:G17"/>
    <mergeCell ref="J17:K17"/>
    <mergeCell ref="B20:G20"/>
    <mergeCell ref="J20:K20"/>
    <mergeCell ref="J26:K26"/>
    <mergeCell ref="B27:G27"/>
    <mergeCell ref="J27:K27"/>
    <mergeCell ref="B28:G28"/>
    <mergeCell ref="J28:K28"/>
    <mergeCell ref="B29:G29"/>
    <mergeCell ref="J29:K29"/>
    <mergeCell ref="B30:G30"/>
    <mergeCell ref="J30:K30"/>
    <mergeCell ref="A78:P78"/>
    <mergeCell ref="A71:H71"/>
    <mergeCell ref="I71:P71"/>
    <mergeCell ref="A72:H72"/>
    <mergeCell ref="I72:P74"/>
    <mergeCell ref="A73:H73"/>
    <mergeCell ref="A74:H74"/>
    <mergeCell ref="I59:P59"/>
    <mergeCell ref="A60:E60"/>
    <mergeCell ref="I60:P60"/>
    <mergeCell ref="B57:G57"/>
    <mergeCell ref="J57:K57"/>
    <mergeCell ref="B18:G18"/>
    <mergeCell ref="J18:K18"/>
    <mergeCell ref="B19:G19"/>
    <mergeCell ref="J19:K19"/>
    <mergeCell ref="B37:G37"/>
    <mergeCell ref="J37:K37"/>
    <mergeCell ref="B75:C76"/>
    <mergeCell ref="E75:H76"/>
    <mergeCell ref="I75:P75"/>
    <mergeCell ref="I76:P76"/>
    <mergeCell ref="A61:P61"/>
    <mergeCell ref="A62:P64"/>
    <mergeCell ref="B65:F68"/>
    <mergeCell ref="H65:P68"/>
    <mergeCell ref="B69:F69"/>
    <mergeCell ref="H69:P69"/>
    <mergeCell ref="A59:E59"/>
    <mergeCell ref="F59:H59"/>
    <mergeCell ref="B25:G25"/>
    <mergeCell ref="J25:K25"/>
    <mergeCell ref="A58:P58"/>
    <mergeCell ref="B26:G26"/>
    <mergeCell ref="B38:G38"/>
    <mergeCell ref="J38:K38"/>
    <mergeCell ref="B39:G39"/>
    <mergeCell ref="J39:K39"/>
    <mergeCell ref="B40:G40"/>
    <mergeCell ref="J40:K40"/>
    <mergeCell ref="B41:G41"/>
    <mergeCell ref="J41:K41"/>
    <mergeCell ref="B42:G42"/>
    <mergeCell ref="J42:K42"/>
    <mergeCell ref="B43:G43"/>
    <mergeCell ref="J43:K43"/>
    <mergeCell ref="B44:G44"/>
    <mergeCell ref="J44:K44"/>
    <mergeCell ref="B45:G45"/>
    <mergeCell ref="J45:K45"/>
    <mergeCell ref="B46:G46"/>
    <mergeCell ref="J46:K46"/>
    <mergeCell ref="B47:G47"/>
    <mergeCell ref="J47:K47"/>
    <mergeCell ref="B53:G53"/>
    <mergeCell ref="J53:K53"/>
    <mergeCell ref="B54:G54"/>
    <mergeCell ref="J54:K54"/>
    <mergeCell ref="B55:G55"/>
    <mergeCell ref="J55:K55"/>
    <mergeCell ref="B56:G56"/>
    <mergeCell ref="J56:K56"/>
    <mergeCell ref="B48:G48"/>
    <mergeCell ref="J48:K48"/>
    <mergeCell ref="B49:G49"/>
    <mergeCell ref="J49:K49"/>
    <mergeCell ref="B50:G50"/>
    <mergeCell ref="J50:K50"/>
    <mergeCell ref="B51:G51"/>
    <mergeCell ref="J51:K51"/>
    <mergeCell ref="B52:G52"/>
    <mergeCell ref="J52:K52"/>
  </mergeCells>
  <conditionalFormatting sqref="A18:A57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scale="5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56E9-4341-844F-945E-3F2F439779C8}">
  <sheetPr>
    <pageSetUpPr fitToPage="1"/>
  </sheetPr>
  <dimension ref="A1:P49"/>
  <sheetViews>
    <sheetView view="pageBreakPreview" zoomScale="55" zoomScaleNormal="100" zoomScaleSheetLayoutView="55" workbookViewId="0">
      <selection activeCell="V45" sqref="V45:V47"/>
    </sheetView>
  </sheetViews>
  <sheetFormatPr defaultColWidth="11.44140625" defaultRowHeight="14.4" x14ac:dyDescent="0.3"/>
  <cols>
    <col min="1" max="1" width="11.44140625" style="116"/>
    <col min="2" max="4" width="9.44140625" style="116" customWidth="1"/>
    <col min="5" max="5" width="5.44140625" style="116" customWidth="1"/>
    <col min="6" max="6" width="21.109375" style="116" customWidth="1"/>
    <col min="7" max="7" width="7.5546875" style="116" customWidth="1"/>
    <col min="8" max="8" width="20.44140625" style="116" customWidth="1"/>
    <col min="9" max="11" width="12.109375" style="116" customWidth="1"/>
    <col min="12" max="15" width="9.109375" style="116" hidden="1" customWidth="1"/>
    <col min="16" max="16" width="11.109375" style="116" customWidth="1"/>
  </cols>
  <sheetData>
    <row r="1" spans="1:16" ht="21.75" customHeight="1" x14ac:dyDescent="0.3">
      <c r="A1" s="174" t="s">
        <v>1086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1:16" ht="21.75" customHeight="1" x14ac:dyDescent="0.3">
      <c r="A2" s="175" t="s">
        <v>1138</v>
      </c>
      <c r="B2" s="175"/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</row>
    <row r="3" spans="1:16" x14ac:dyDescent="0.3">
      <c r="A3" s="149" t="s">
        <v>1088</v>
      </c>
      <c r="B3" s="149"/>
      <c r="C3" s="149" t="s">
        <v>1089</v>
      </c>
      <c r="D3" s="149"/>
      <c r="E3" s="149"/>
      <c r="F3" s="149" t="s">
        <v>1090</v>
      </c>
      <c r="G3" s="149"/>
      <c r="H3" s="149"/>
      <c r="I3" s="149" t="s">
        <v>1091</v>
      </c>
      <c r="J3" s="149"/>
      <c r="K3" s="149"/>
      <c r="L3" s="149"/>
      <c r="M3" s="149"/>
      <c r="N3" s="149"/>
      <c r="O3" s="149"/>
      <c r="P3" s="149"/>
    </row>
    <row r="4" spans="1:16" ht="25.5" customHeight="1" x14ac:dyDescent="0.3">
      <c r="A4" s="253">
        <f>'RAT '!A4</f>
        <v>0</v>
      </c>
      <c r="B4" s="253"/>
      <c r="C4" s="254">
        <f>'RAT '!C4</f>
        <v>0</v>
      </c>
      <c r="D4" s="255"/>
      <c r="E4" s="255"/>
      <c r="F4" s="256" t="s">
        <v>1165</v>
      </c>
      <c r="G4" s="256"/>
      <c r="H4" s="256"/>
      <c r="I4" s="255" t="s">
        <v>1092</v>
      </c>
      <c r="J4" s="255"/>
      <c r="K4" s="255"/>
      <c r="L4" s="255"/>
      <c r="M4" s="255"/>
      <c r="N4" s="255"/>
      <c r="O4" s="255"/>
      <c r="P4" s="255"/>
    </row>
    <row r="5" spans="1:16" x14ac:dyDescent="0.3">
      <c r="A5" s="133" t="s">
        <v>1093</v>
      </c>
      <c r="B5" s="133"/>
      <c r="C5" s="149" t="s">
        <v>1094</v>
      </c>
      <c r="D5" s="149"/>
      <c r="E5" s="149"/>
      <c r="F5" s="149" t="s">
        <v>1095</v>
      </c>
      <c r="G5" s="149"/>
      <c r="H5" s="149"/>
      <c r="I5" s="133" t="s">
        <v>1096</v>
      </c>
      <c r="J5" s="133"/>
      <c r="K5" s="133"/>
      <c r="L5" s="133"/>
      <c r="M5" s="133"/>
      <c r="N5" s="133"/>
      <c r="O5" s="133"/>
      <c r="P5" s="133"/>
    </row>
    <row r="6" spans="1:16" x14ac:dyDescent="0.3">
      <c r="A6" s="133" t="s">
        <v>1097</v>
      </c>
      <c r="B6" s="133"/>
      <c r="C6" s="149"/>
      <c r="D6" s="149"/>
      <c r="E6" s="149"/>
      <c r="F6" s="149" t="s">
        <v>1098</v>
      </c>
      <c r="G6" s="149"/>
      <c r="H6" s="149"/>
      <c r="I6" s="133" t="s">
        <v>1099</v>
      </c>
      <c r="J6" s="257"/>
      <c r="K6" s="257"/>
      <c r="L6" s="257"/>
      <c r="M6" s="257"/>
      <c r="N6" s="257"/>
      <c r="O6" s="257"/>
      <c r="P6" s="257"/>
    </row>
    <row r="7" spans="1:16" ht="25.5" customHeight="1" x14ac:dyDescent="0.3">
      <c r="A7" s="255" t="str">
        <f>'RAT '!A7</f>
        <v>Não</v>
      </c>
      <c r="B7" s="255"/>
      <c r="C7" s="254">
        <f>'RAT '!C7</f>
        <v>0</v>
      </c>
      <c r="D7" s="254"/>
      <c r="E7" s="254"/>
      <c r="F7" s="255" t="str">
        <f>'RAT '!F7</f>
        <v>Preventiva</v>
      </c>
      <c r="G7" s="255"/>
      <c r="H7" s="255"/>
      <c r="I7" s="255" t="str">
        <f>'RAT '!I7</f>
        <v>Normal</v>
      </c>
      <c r="J7" s="255"/>
      <c r="K7" s="255"/>
      <c r="L7" s="255"/>
      <c r="M7" s="255"/>
      <c r="N7" s="255"/>
      <c r="O7" s="255"/>
      <c r="P7" s="255"/>
    </row>
    <row r="8" spans="1:16" x14ac:dyDescent="0.3">
      <c r="A8" s="149" t="s">
        <v>1100</v>
      </c>
      <c r="B8" s="149"/>
      <c r="C8" s="149"/>
      <c r="D8" s="149"/>
      <c r="E8" s="149"/>
      <c r="F8" s="149" t="s">
        <v>1101</v>
      </c>
      <c r="G8" s="149"/>
      <c r="H8" s="149"/>
      <c r="I8" s="149"/>
      <c r="J8" s="149"/>
      <c r="K8" s="149"/>
      <c r="L8" s="149"/>
      <c r="M8" s="149"/>
      <c r="N8" s="149"/>
      <c r="O8" s="149"/>
      <c r="P8" s="149"/>
    </row>
    <row r="9" spans="1:16" ht="25.5" customHeight="1" x14ac:dyDescent="0.3">
      <c r="A9" s="119">
        <f>'RAT '!A9</f>
        <v>0</v>
      </c>
      <c r="B9" s="250" t="str">
        <f>'RAT '!B9</f>
        <v/>
      </c>
      <c r="C9" s="250"/>
      <c r="D9" s="250"/>
      <c r="E9" s="250"/>
      <c r="F9" s="250" t="str">
        <f>'RAT '!F9</f>
        <v/>
      </c>
      <c r="G9" s="250"/>
      <c r="H9" s="250"/>
      <c r="I9" s="250"/>
      <c r="J9" s="250"/>
      <c r="K9" s="250"/>
      <c r="L9" s="250"/>
      <c r="M9" s="250"/>
      <c r="N9" s="250"/>
      <c r="O9" s="250"/>
      <c r="P9" s="250"/>
    </row>
    <row r="10" spans="1:16" x14ac:dyDescent="0.3">
      <c r="A10" s="149" t="s">
        <v>1102</v>
      </c>
      <c r="B10" s="149"/>
      <c r="C10" s="149"/>
      <c r="D10" s="149"/>
      <c r="E10" s="149"/>
      <c r="F10" s="149" t="s">
        <v>1103</v>
      </c>
      <c r="G10" s="149"/>
      <c r="H10" s="149"/>
      <c r="I10" s="149"/>
      <c r="J10" s="149"/>
      <c r="K10" s="149"/>
      <c r="L10" s="149"/>
      <c r="M10" s="149"/>
      <c r="N10" s="149"/>
      <c r="O10" s="149"/>
      <c r="P10" s="149"/>
    </row>
    <row r="11" spans="1:16" ht="25.5" customHeight="1" x14ac:dyDescent="0.3">
      <c r="A11" s="250" t="str">
        <f>'RAT '!A11</f>
        <v>Responsável</v>
      </c>
      <c r="B11" s="250"/>
      <c r="C11" s="250"/>
      <c r="D11" s="250"/>
      <c r="E11" s="250"/>
      <c r="F11" s="250" t="str">
        <f>'RAT '!F11</f>
        <v>F2190439 - SISTEMA</v>
      </c>
      <c r="G11" s="250"/>
      <c r="H11" s="250"/>
      <c r="I11" s="250"/>
      <c r="J11" s="250"/>
      <c r="K11" s="250"/>
      <c r="L11" s="250"/>
      <c r="M11" s="250"/>
      <c r="N11" s="250"/>
      <c r="O11" s="250"/>
      <c r="P11" s="250"/>
    </row>
    <row r="12" spans="1:16" ht="33" customHeight="1" x14ac:dyDescent="0.3">
      <c r="A12" s="251" t="s">
        <v>1139</v>
      </c>
      <c r="B12" s="251"/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1:16" ht="21.75" customHeight="1" x14ac:dyDescent="0.3">
      <c r="A13" s="149" t="s">
        <v>1140</v>
      </c>
      <c r="B13" s="149"/>
      <c r="C13" s="149" t="s">
        <v>1141</v>
      </c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</row>
    <row r="14" spans="1:16" ht="35.25" customHeight="1" x14ac:dyDescent="0.3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</row>
    <row r="15" spans="1:16" ht="19.5" customHeight="1" x14ac:dyDescent="0.3">
      <c r="A15" s="140" t="s">
        <v>1142</v>
      </c>
      <c r="B15" s="140"/>
      <c r="C15" s="140"/>
      <c r="D15" s="140"/>
      <c r="E15" s="140"/>
      <c r="F15" s="140"/>
      <c r="G15" s="140"/>
      <c r="H15" s="140"/>
      <c r="I15" s="140" t="s">
        <v>1143</v>
      </c>
      <c r="J15" s="140"/>
      <c r="K15" s="140" t="s">
        <v>1144</v>
      </c>
      <c r="L15" s="140"/>
      <c r="M15" s="140"/>
      <c r="N15" s="140"/>
      <c r="O15" s="140"/>
      <c r="P15" s="140"/>
    </row>
    <row r="16" spans="1:16" ht="26.25" customHeight="1" x14ac:dyDescent="0.3">
      <c r="A16" s="149" t="s">
        <v>1145</v>
      </c>
      <c r="B16" s="149"/>
      <c r="C16" s="149"/>
      <c r="D16" s="149"/>
      <c r="E16" s="149"/>
      <c r="F16" s="149"/>
      <c r="G16" s="149"/>
      <c r="H16" s="149"/>
      <c r="I16" s="241"/>
      <c r="J16" s="241"/>
      <c r="K16" s="241"/>
      <c r="L16" s="241"/>
      <c r="M16" s="241"/>
      <c r="N16" s="241"/>
      <c r="O16" s="241"/>
      <c r="P16" s="241"/>
    </row>
    <row r="17" spans="1:16" ht="26.25" customHeight="1" x14ac:dyDescent="0.3">
      <c r="A17" s="149" t="s">
        <v>1146</v>
      </c>
      <c r="B17" s="149"/>
      <c r="C17" s="149"/>
      <c r="D17" s="149"/>
      <c r="E17" s="149"/>
      <c r="F17" s="149"/>
      <c r="G17" s="149"/>
      <c r="H17" s="149"/>
      <c r="I17" s="241"/>
      <c r="J17" s="241"/>
      <c r="K17" s="241"/>
      <c r="L17" s="241"/>
      <c r="M17" s="241"/>
      <c r="N17" s="241"/>
      <c r="O17" s="241"/>
      <c r="P17" s="241"/>
    </row>
    <row r="18" spans="1:16" ht="26.25" customHeight="1" x14ac:dyDescent="0.3">
      <c r="A18" s="149" t="s">
        <v>1147</v>
      </c>
      <c r="B18" s="149"/>
      <c r="C18" s="149"/>
      <c r="D18" s="149"/>
      <c r="E18" s="149"/>
      <c r="F18" s="149"/>
      <c r="G18" s="149"/>
      <c r="H18" s="149"/>
      <c r="I18" s="241"/>
      <c r="J18" s="241"/>
      <c r="K18" s="241"/>
      <c r="L18" s="241"/>
      <c r="M18" s="241"/>
      <c r="N18" s="241"/>
      <c r="O18" s="241"/>
      <c r="P18" s="241"/>
    </row>
    <row r="19" spans="1:16" ht="24.75" customHeight="1" x14ac:dyDescent="0.3">
      <c r="A19" s="145" t="s">
        <v>1148</v>
      </c>
      <c r="B19" s="145"/>
      <c r="C19" s="145"/>
      <c r="D19" s="145"/>
      <c r="E19" s="145"/>
      <c r="F19" s="145"/>
      <c r="G19" s="145"/>
      <c r="H19" s="145"/>
      <c r="I19" s="145"/>
      <c r="J19" s="145"/>
      <c r="K19" s="145"/>
      <c r="L19" s="145"/>
      <c r="M19" s="145"/>
      <c r="N19" s="145"/>
      <c r="O19" s="145"/>
      <c r="P19" s="145"/>
    </row>
    <row r="20" spans="1:16" ht="24.75" customHeight="1" x14ac:dyDescent="0.3">
      <c r="A20" s="140" t="s">
        <v>1120</v>
      </c>
      <c r="B20" s="140"/>
      <c r="C20" s="140"/>
      <c r="D20" s="140"/>
      <c r="E20" s="140"/>
      <c r="F20" s="242" t="s">
        <v>1121</v>
      </c>
      <c r="G20" s="242"/>
      <c r="H20" s="242"/>
      <c r="I20" s="243" t="s">
        <v>1122</v>
      </c>
      <c r="J20" s="243"/>
      <c r="K20" s="243"/>
      <c r="L20" s="243"/>
      <c r="M20" s="243"/>
      <c r="N20" s="243"/>
      <c r="O20" s="243"/>
      <c r="P20" s="243"/>
    </row>
    <row r="21" spans="1:16" ht="34.5" customHeight="1" x14ac:dyDescent="0.3">
      <c r="A21" s="244">
        <f>'RAT '!E75</f>
        <v>0</v>
      </c>
      <c r="B21" s="245"/>
      <c r="C21" s="245"/>
      <c r="D21" s="245"/>
      <c r="E21" s="245"/>
      <c r="F21" s="114" t="e">
        <f>'RAT '!F60</f>
        <v>#VALUE!</v>
      </c>
      <c r="G21" s="115" t="s">
        <v>1123</v>
      </c>
      <c r="H21" s="114" t="e">
        <f>'RAT '!H60</f>
        <v>#VALUE!</v>
      </c>
      <c r="I21" s="246" t="e">
        <f>'RAT '!I60</f>
        <v>#VALUE!</v>
      </c>
      <c r="J21" s="247"/>
      <c r="K21" s="247"/>
      <c r="L21" s="247"/>
      <c r="M21" s="247"/>
      <c r="N21" s="247"/>
      <c r="O21" s="247"/>
      <c r="P21" s="247"/>
    </row>
    <row r="22" spans="1:16" x14ac:dyDescent="0.3">
      <c r="A22" s="248" t="s">
        <v>1124</v>
      </c>
      <c r="B22" s="248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</row>
    <row r="23" spans="1:16" ht="15.6" x14ac:dyDescent="0.3">
      <c r="A23" s="249"/>
      <c r="B23" s="249"/>
      <c r="C23" s="249"/>
      <c r="D23" s="249"/>
      <c r="E23" s="249"/>
      <c r="F23" s="249"/>
      <c r="G23" s="249"/>
      <c r="H23" s="249"/>
      <c r="I23" s="249"/>
      <c r="J23" s="249"/>
      <c r="K23" s="249"/>
      <c r="L23" s="249"/>
      <c r="M23" s="249"/>
      <c r="N23" s="249"/>
      <c r="O23" s="249"/>
      <c r="P23" s="249"/>
    </row>
    <row r="24" spans="1:16" ht="18" customHeight="1" x14ac:dyDescent="0.3">
      <c r="A24" s="239" t="s">
        <v>1162</v>
      </c>
      <c r="B24" s="239"/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</row>
    <row r="25" spans="1:16" ht="18" customHeight="1" x14ac:dyDescent="0.3">
      <c r="A25" s="239" t="s">
        <v>1149</v>
      </c>
      <c r="B25" s="239"/>
      <c r="C25" s="239"/>
      <c r="D25" s="239"/>
      <c r="E25" s="239"/>
      <c r="F25" s="239"/>
      <c r="G25" s="239"/>
      <c r="H25" s="239"/>
      <c r="I25" s="239"/>
      <c r="J25" s="239"/>
      <c r="K25" s="239"/>
      <c r="L25" s="239"/>
      <c r="M25" s="239"/>
      <c r="N25" s="239"/>
      <c r="O25" s="239"/>
      <c r="P25" s="239"/>
    </row>
    <row r="26" spans="1:16" ht="18" customHeight="1" x14ac:dyDescent="0.3">
      <c r="A26" s="239" t="s">
        <v>1150</v>
      </c>
      <c r="B26" s="239"/>
      <c r="C26" s="239"/>
      <c r="D26" s="239"/>
      <c r="E26" s="239"/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</row>
    <row r="27" spans="1:16" ht="18" customHeight="1" x14ac:dyDescent="0.3">
      <c r="A27" s="239" t="s">
        <v>1151</v>
      </c>
      <c r="B27" s="239"/>
      <c r="C27" s="239"/>
      <c r="D27" s="239"/>
      <c r="E27" s="239"/>
      <c r="F27" s="239"/>
      <c r="G27" s="239"/>
      <c r="H27" s="239"/>
      <c r="I27" s="239"/>
      <c r="J27" s="239"/>
      <c r="K27" s="239"/>
      <c r="L27" s="239"/>
      <c r="M27" s="239"/>
      <c r="N27" s="239"/>
      <c r="O27" s="239"/>
      <c r="P27" s="239"/>
    </row>
    <row r="28" spans="1:16" ht="18" customHeight="1" x14ac:dyDescent="0.3">
      <c r="A28" s="239" t="s">
        <v>1152</v>
      </c>
      <c r="B28" s="239"/>
      <c r="C28" s="239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</row>
    <row r="29" spans="1:16" ht="18" customHeight="1" x14ac:dyDescent="0.3">
      <c r="A29" s="239" t="s">
        <v>1153</v>
      </c>
      <c r="B29" s="239"/>
      <c r="C29" s="239"/>
      <c r="D29" s="239"/>
      <c r="E29" s="239"/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</row>
    <row r="30" spans="1:16" ht="18" customHeight="1" x14ac:dyDescent="0.3">
      <c r="A30" s="239" t="s">
        <v>1154</v>
      </c>
      <c r="B30" s="239"/>
      <c r="C30" s="239"/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</row>
    <row r="31" spans="1:16" ht="18" customHeight="1" x14ac:dyDescent="0.3">
      <c r="A31" s="239" t="s">
        <v>1155</v>
      </c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</row>
    <row r="32" spans="1:16" ht="18" customHeight="1" x14ac:dyDescent="0.3">
      <c r="A32" s="239" t="s">
        <v>1156</v>
      </c>
      <c r="B32" s="239"/>
      <c r="C32" s="239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</row>
    <row r="33" spans="1:16" ht="18" customHeight="1" x14ac:dyDescent="0.3">
      <c r="A33" s="239" t="s">
        <v>1157</v>
      </c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</row>
    <row r="34" spans="1:16" ht="18" customHeight="1" x14ac:dyDescent="0.3">
      <c r="A34" s="239" t="s">
        <v>1158</v>
      </c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</row>
    <row r="35" spans="1:16" ht="18" customHeight="1" x14ac:dyDescent="0.3">
      <c r="A35" s="239" t="s">
        <v>1159</v>
      </c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</row>
    <row r="36" spans="1:16" ht="18" customHeight="1" x14ac:dyDescent="0.3">
      <c r="A36" s="240" t="s">
        <v>1160</v>
      </c>
      <c r="B36" s="240"/>
      <c r="C36" s="240"/>
      <c r="D36" s="240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</row>
    <row r="37" spans="1:16" x14ac:dyDescent="0.3">
      <c r="A37" s="236"/>
      <c r="B37" s="237"/>
      <c r="C37" s="237"/>
      <c r="D37" s="237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8"/>
    </row>
    <row r="38" spans="1:16" x14ac:dyDescent="0.3">
      <c r="A38" s="233"/>
      <c r="B38" s="234" t="s">
        <v>1125</v>
      </c>
      <c r="C38" s="234"/>
      <c r="D38" s="234"/>
      <c r="E38" s="234"/>
      <c r="F38" s="234"/>
      <c r="G38" s="234"/>
      <c r="H38" s="234" t="s">
        <v>1126</v>
      </c>
      <c r="I38" s="234"/>
      <c r="J38" s="234"/>
      <c r="K38" s="234"/>
      <c r="P38" s="235"/>
    </row>
    <row r="39" spans="1:16" x14ac:dyDescent="0.3">
      <c r="A39" s="233"/>
      <c r="B39" s="227" t="s">
        <v>1127</v>
      </c>
      <c r="C39" s="227"/>
      <c r="D39" s="227"/>
      <c r="E39" s="227"/>
      <c r="F39" s="227"/>
      <c r="G39" s="234"/>
      <c r="H39" s="227" t="s">
        <v>1128</v>
      </c>
      <c r="I39" s="227"/>
      <c r="J39" s="227"/>
      <c r="K39" s="227"/>
      <c r="P39" s="235"/>
    </row>
    <row r="40" spans="1:16" x14ac:dyDescent="0.3">
      <c r="A40" s="218"/>
      <c r="B40" s="219"/>
      <c r="C40" s="219"/>
      <c r="D40" s="219"/>
      <c r="E40" s="219"/>
      <c r="F40" s="219"/>
      <c r="G40" s="219"/>
      <c r="H40" s="219"/>
      <c r="I40" s="219"/>
      <c r="J40" s="219"/>
      <c r="K40" s="219"/>
      <c r="L40" s="219"/>
      <c r="M40" s="219"/>
      <c r="N40" s="219"/>
      <c r="O40" s="219"/>
      <c r="P40" s="220"/>
    </row>
    <row r="41" spans="1:16" x14ac:dyDescent="0.3">
      <c r="A41" s="221" t="s">
        <v>1161</v>
      </c>
      <c r="B41" s="221"/>
      <c r="C41" s="221"/>
      <c r="D41" s="221"/>
      <c r="E41" s="221"/>
      <c r="F41" s="221"/>
      <c r="G41" s="221"/>
      <c r="H41" s="221"/>
      <c r="I41" s="222" t="s">
        <v>1130</v>
      </c>
      <c r="J41" s="222"/>
      <c r="K41" s="222"/>
      <c r="L41" s="222"/>
      <c r="M41" s="222"/>
      <c r="N41" s="222"/>
      <c r="O41" s="222"/>
      <c r="P41" s="222"/>
    </row>
    <row r="42" spans="1:16" x14ac:dyDescent="0.3">
      <c r="A42" s="223"/>
      <c r="B42" s="224"/>
      <c r="C42" s="224"/>
      <c r="D42" s="224"/>
      <c r="E42" s="224"/>
      <c r="F42" s="224"/>
      <c r="G42" s="224"/>
      <c r="H42" s="225"/>
      <c r="I42" s="223"/>
      <c r="J42" s="224"/>
      <c r="K42" s="224"/>
      <c r="L42" s="224"/>
      <c r="M42" s="224"/>
      <c r="N42" s="224"/>
      <c r="O42" s="224"/>
      <c r="P42" s="225"/>
    </row>
    <row r="43" spans="1:16" x14ac:dyDescent="0.3">
      <c r="A43" s="226"/>
      <c r="B43" s="227"/>
      <c r="C43" s="227"/>
      <c r="D43" s="227"/>
      <c r="E43" s="227"/>
      <c r="F43" s="227"/>
      <c r="G43" s="227"/>
      <c r="H43" s="228"/>
      <c r="I43" s="226"/>
      <c r="J43" s="227"/>
      <c r="K43" s="227"/>
      <c r="L43" s="227"/>
      <c r="M43" s="227"/>
      <c r="N43" s="227"/>
      <c r="O43" s="227"/>
      <c r="P43" s="228"/>
    </row>
    <row r="44" spans="1:16" x14ac:dyDescent="0.3">
      <c r="A44" s="226"/>
      <c r="B44" s="227"/>
      <c r="C44" s="227"/>
      <c r="D44" s="227"/>
      <c r="E44" s="227"/>
      <c r="F44" s="227"/>
      <c r="G44" s="227"/>
      <c r="H44" s="228"/>
      <c r="I44" s="226"/>
      <c r="J44" s="227"/>
      <c r="K44" s="227"/>
      <c r="L44" s="227"/>
      <c r="M44" s="227"/>
      <c r="N44" s="227"/>
      <c r="O44" s="227"/>
      <c r="P44" s="228"/>
    </row>
    <row r="45" spans="1:16" x14ac:dyDescent="0.3">
      <c r="A45" s="226"/>
      <c r="B45" s="227"/>
      <c r="C45" s="227"/>
      <c r="D45" s="227"/>
      <c r="E45" s="227"/>
      <c r="F45" s="227"/>
      <c r="G45" s="227"/>
      <c r="H45" s="228"/>
      <c r="I45" s="226"/>
      <c r="J45" s="227"/>
      <c r="K45" s="227"/>
      <c r="L45" s="227"/>
      <c r="M45" s="227"/>
      <c r="N45" s="227"/>
      <c r="O45" s="227"/>
      <c r="P45" s="228"/>
    </row>
    <row r="46" spans="1:16" x14ac:dyDescent="0.3">
      <c r="A46" s="226"/>
      <c r="B46" s="227"/>
      <c r="C46" s="227"/>
      <c r="D46" s="227"/>
      <c r="E46" s="227"/>
      <c r="F46" s="227"/>
      <c r="G46" s="227"/>
      <c r="H46" s="228"/>
      <c r="I46" s="229"/>
      <c r="J46" s="230"/>
      <c r="K46" s="230"/>
      <c r="L46" s="230"/>
      <c r="M46" s="230"/>
      <c r="N46" s="230"/>
      <c r="O46" s="230"/>
      <c r="P46" s="231"/>
    </row>
    <row r="47" spans="1:16" x14ac:dyDescent="0.3">
      <c r="A47" s="229"/>
      <c r="B47" s="230"/>
      <c r="C47" s="230"/>
      <c r="D47" s="230"/>
      <c r="E47" s="230"/>
      <c r="F47" s="230"/>
      <c r="G47" s="230"/>
      <c r="H47" s="231"/>
      <c r="I47" s="232" t="s">
        <v>1136</v>
      </c>
      <c r="J47" s="232"/>
      <c r="K47" s="232"/>
      <c r="L47" s="232"/>
      <c r="M47" s="232"/>
      <c r="N47" s="232"/>
      <c r="O47" s="232"/>
      <c r="P47" s="232"/>
    </row>
    <row r="48" spans="1:16" x14ac:dyDescent="0.3">
      <c r="A48" s="212" t="s">
        <v>1163</v>
      </c>
      <c r="B48" s="213"/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4"/>
    </row>
    <row r="49" spans="1:16" x14ac:dyDescent="0.3">
      <c r="A49" s="215"/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7"/>
    </row>
  </sheetData>
  <mergeCells count="82">
    <mergeCell ref="A1:P1"/>
    <mergeCell ref="A2:P2"/>
    <mergeCell ref="A3:B3"/>
    <mergeCell ref="C3:E3"/>
    <mergeCell ref="F3:H3"/>
    <mergeCell ref="I3:P3"/>
    <mergeCell ref="F8:P8"/>
    <mergeCell ref="A4:B4"/>
    <mergeCell ref="C4:E4"/>
    <mergeCell ref="F4:H4"/>
    <mergeCell ref="I4:P4"/>
    <mergeCell ref="A5:B5"/>
    <mergeCell ref="C5:E6"/>
    <mergeCell ref="F5:H5"/>
    <mergeCell ref="I5:P5"/>
    <mergeCell ref="A6:B6"/>
    <mergeCell ref="F6:H6"/>
    <mergeCell ref="I6:P6"/>
    <mergeCell ref="A7:B7"/>
    <mergeCell ref="C7:E7"/>
    <mergeCell ref="F7:H7"/>
    <mergeCell ref="I7:P7"/>
    <mergeCell ref="A12:P12"/>
    <mergeCell ref="A13:B13"/>
    <mergeCell ref="C13:P13"/>
    <mergeCell ref="A14:B14"/>
    <mergeCell ref="C14:P14"/>
    <mergeCell ref="A8:E8"/>
    <mergeCell ref="A16:H16"/>
    <mergeCell ref="I16:J16"/>
    <mergeCell ref="K16:P16"/>
    <mergeCell ref="A17:H17"/>
    <mergeCell ref="I17:J17"/>
    <mergeCell ref="K17:P17"/>
    <mergeCell ref="A15:H15"/>
    <mergeCell ref="I15:J15"/>
    <mergeCell ref="K15:P15"/>
    <mergeCell ref="B9:E9"/>
    <mergeCell ref="F9:P9"/>
    <mergeCell ref="A10:E10"/>
    <mergeCell ref="F10:P10"/>
    <mergeCell ref="A11:E11"/>
    <mergeCell ref="F11:P11"/>
    <mergeCell ref="A25:P25"/>
    <mergeCell ref="A18:H18"/>
    <mergeCell ref="I18:J18"/>
    <mergeCell ref="K18:P18"/>
    <mergeCell ref="A19:P19"/>
    <mergeCell ref="A20:E20"/>
    <mergeCell ref="F20:H20"/>
    <mergeCell ref="I20:P20"/>
    <mergeCell ref="A21:E21"/>
    <mergeCell ref="I21:P21"/>
    <mergeCell ref="A22:P22"/>
    <mergeCell ref="A23:P23"/>
    <mergeCell ref="A24:P24"/>
    <mergeCell ref="A37:P37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  <mergeCell ref="A35:P35"/>
    <mergeCell ref="A36:P36"/>
    <mergeCell ref="A38:A39"/>
    <mergeCell ref="B38:F38"/>
    <mergeCell ref="G38:G39"/>
    <mergeCell ref="H38:K38"/>
    <mergeCell ref="P38:P39"/>
    <mergeCell ref="B39:F39"/>
    <mergeCell ref="H39:K39"/>
    <mergeCell ref="A48:P49"/>
    <mergeCell ref="A40:P40"/>
    <mergeCell ref="A41:H41"/>
    <mergeCell ref="I41:P41"/>
    <mergeCell ref="A42:H47"/>
    <mergeCell ref="I42:P46"/>
    <mergeCell ref="I47:P47"/>
  </mergeCells>
  <pageMargins left="0.511811024" right="0.511811024" top="0.78740157499999996" bottom="0.78740157499999996" header="0.31496062000000002" footer="0.31496062000000002"/>
  <pageSetup paperSize="9" scale="6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0"/>
  <sheetViews>
    <sheetView topLeftCell="A4" zoomScale="130" zoomScaleNormal="130" zoomScaleSheetLayoutView="85" workbookViewId="0">
      <selection activeCell="A8" sqref="A8"/>
    </sheetView>
  </sheetViews>
  <sheetFormatPr defaultColWidth="8.88671875" defaultRowHeight="14.4" x14ac:dyDescent="0.3"/>
  <cols>
    <col min="1" max="1" width="9.44140625" customWidth="1"/>
    <col min="2" max="2" width="90.5546875" customWidth="1"/>
    <col min="3" max="3" width="14.88671875" hidden="1" customWidth="1"/>
    <col min="4" max="10" width="15" customWidth="1"/>
    <col min="14" max="14" width="10.5546875" bestFit="1" customWidth="1"/>
    <col min="15" max="15" width="18.44140625" customWidth="1"/>
    <col min="16" max="16" width="13.44140625" bestFit="1" customWidth="1"/>
    <col min="17" max="17" width="15" bestFit="1" customWidth="1"/>
  </cols>
  <sheetData>
    <row r="1" spans="1:17" ht="36" customHeight="1" x14ac:dyDescent="0.3">
      <c r="B1" s="73" t="s">
        <v>1076</v>
      </c>
    </row>
    <row r="2" spans="1:17" ht="36" customHeight="1" thickBot="1" x14ac:dyDescent="0.35"/>
    <row r="3" spans="1:17" ht="92.1" customHeight="1" x14ac:dyDescent="0.3">
      <c r="A3" s="74"/>
      <c r="B3" s="74"/>
      <c r="C3" s="258" t="s">
        <v>1077</v>
      </c>
      <c r="D3" s="258"/>
      <c r="E3" s="258"/>
      <c r="F3" s="258"/>
      <c r="G3" s="258"/>
      <c r="H3" s="258"/>
      <c r="I3" s="258"/>
      <c r="J3" s="259"/>
    </row>
    <row r="4" spans="1:17" ht="36" customHeight="1" x14ac:dyDescent="0.3">
      <c r="A4" s="75"/>
      <c r="B4" s="75" t="s">
        <v>1078</v>
      </c>
      <c r="C4" s="76"/>
      <c r="D4" s="76"/>
      <c r="E4" s="76"/>
      <c r="F4" s="76"/>
      <c r="G4" s="77" t="s">
        <v>1079</v>
      </c>
      <c r="H4" s="78" t="s">
        <v>1084</v>
      </c>
      <c r="I4" s="76"/>
      <c r="J4" s="79"/>
    </row>
    <row r="5" spans="1:17" ht="36" customHeight="1" thickBot="1" x14ac:dyDescent="0.35">
      <c r="A5" s="80"/>
      <c r="B5" s="94" t="s">
        <v>1080</v>
      </c>
      <c r="C5" s="81"/>
      <c r="D5" s="93" t="s">
        <v>1081</v>
      </c>
      <c r="E5" s="93" t="s">
        <v>1082</v>
      </c>
      <c r="F5" s="93"/>
      <c r="G5" s="93"/>
      <c r="H5" s="82"/>
      <c r="I5" s="83" t="s">
        <v>1083</v>
      </c>
      <c r="J5" s="84">
        <v>0.15890000000000001</v>
      </c>
    </row>
    <row r="6" spans="1:17" ht="18.600000000000001" thickBot="1" x14ac:dyDescent="0.35">
      <c r="A6" s="1"/>
      <c r="B6" s="2"/>
      <c r="C6" s="3"/>
      <c r="D6" s="4"/>
      <c r="E6" s="5"/>
      <c r="F6" s="5"/>
      <c r="G6" s="5"/>
      <c r="H6" s="5"/>
      <c r="I6" s="5"/>
      <c r="J6" s="5"/>
    </row>
    <row r="7" spans="1:17" ht="48.9" customHeight="1" thickBot="1" x14ac:dyDescent="0.35">
      <c r="A7" s="71" t="s">
        <v>1074</v>
      </c>
      <c r="B7" s="72" t="s">
        <v>1075</v>
      </c>
      <c r="C7" s="60" t="s">
        <v>0</v>
      </c>
      <c r="D7" s="61" t="s">
        <v>1</v>
      </c>
      <c r="E7" s="62" t="s">
        <v>2</v>
      </c>
      <c r="F7" s="62" t="s">
        <v>3</v>
      </c>
      <c r="G7" s="62" t="s">
        <v>4</v>
      </c>
      <c r="H7" s="62" t="s">
        <v>5</v>
      </c>
      <c r="I7" s="62" t="s">
        <v>6</v>
      </c>
      <c r="J7" s="63" t="s">
        <v>7</v>
      </c>
      <c r="P7" s="85" t="s">
        <v>2</v>
      </c>
      <c r="Q7" s="85" t="s">
        <v>3</v>
      </c>
    </row>
    <row r="8" spans="1:17" x14ac:dyDescent="0.3">
      <c r="A8" s="6">
        <v>1</v>
      </c>
      <c r="B8" s="7" t="s">
        <v>8</v>
      </c>
      <c r="C8" s="8"/>
      <c r="D8" s="9"/>
      <c r="E8" s="10"/>
      <c r="F8" s="10"/>
      <c r="G8" s="11">
        <f t="shared" ref="G8:I8" si="0">SUBTOTAL(109,G9:G15)</f>
        <v>3887.7799999999997</v>
      </c>
      <c r="H8" s="11">
        <f t="shared" si="0"/>
        <v>375777</v>
      </c>
      <c r="I8" s="11">
        <f t="shared" si="0"/>
        <v>155002.42999999996</v>
      </c>
      <c r="J8" s="56">
        <f>SUBTOTAL(109,J9:J15)</f>
        <v>530779.43000000005</v>
      </c>
      <c r="N8" t="s">
        <v>1085</v>
      </c>
      <c r="O8" s="92">
        <v>0.15890000000000001</v>
      </c>
      <c r="P8" s="86"/>
      <c r="Q8" s="86"/>
    </row>
    <row r="9" spans="1:17" x14ac:dyDescent="0.3">
      <c r="A9" s="12" t="s">
        <v>9</v>
      </c>
      <c r="B9" s="13" t="s">
        <v>10</v>
      </c>
      <c r="C9" s="32">
        <v>860</v>
      </c>
      <c r="D9" s="15" t="s">
        <v>11</v>
      </c>
      <c r="E9" s="95">
        <f>ROUND(P9,2)</f>
        <v>0</v>
      </c>
      <c r="F9" s="96">
        <f>ROUND(Q9,2)</f>
        <v>78.47</v>
      </c>
      <c r="G9" s="16">
        <f t="shared" ref="G9:G15" si="1">SUM(E9:F9)</f>
        <v>78.47</v>
      </c>
      <c r="H9" s="16">
        <f t="shared" ref="H9:H15" si="2">C9*E9</f>
        <v>0</v>
      </c>
      <c r="I9" s="16">
        <f t="shared" ref="I9:I15" si="3">C9*F9</f>
        <v>67484.2</v>
      </c>
      <c r="J9" s="57">
        <f t="shared" ref="J9:J15" si="4">SUM(E9:F9)*C9</f>
        <v>67484.2</v>
      </c>
      <c r="O9">
        <f>1-0.1589</f>
        <v>0.84109999999999996</v>
      </c>
      <c r="P9" s="97">
        <v>0</v>
      </c>
      <c r="Q9" s="98">
        <v>78.466218999999995</v>
      </c>
    </row>
    <row r="10" spans="1:17" x14ac:dyDescent="0.3">
      <c r="A10" s="12" t="s">
        <v>12</v>
      </c>
      <c r="B10" s="13" t="s">
        <v>13</v>
      </c>
      <c r="C10" s="32">
        <v>120000</v>
      </c>
      <c r="D10" s="15" t="s">
        <v>14</v>
      </c>
      <c r="E10" s="95">
        <f t="shared" ref="E10:E73" si="5">ROUND(P10,2)</f>
        <v>2.12</v>
      </c>
      <c r="F10" s="96">
        <f t="shared" ref="F10:F73" si="6">ROUND(Q10,2)</f>
        <v>0.48</v>
      </c>
      <c r="G10" s="16">
        <f t="shared" si="1"/>
        <v>2.6</v>
      </c>
      <c r="H10" s="16">
        <f t="shared" si="2"/>
        <v>254400</v>
      </c>
      <c r="I10" s="16">
        <f t="shared" si="3"/>
        <v>57600</v>
      </c>
      <c r="J10" s="57">
        <f t="shared" si="4"/>
        <v>312000</v>
      </c>
      <c r="P10" s="97">
        <v>2.1195719999999998</v>
      </c>
      <c r="Q10" s="98">
        <v>0.47942699999999994</v>
      </c>
    </row>
    <row r="11" spans="1:17" x14ac:dyDescent="0.3">
      <c r="A11" s="12" t="s">
        <v>15</v>
      </c>
      <c r="B11" s="13" t="s">
        <v>16</v>
      </c>
      <c r="C11" s="32">
        <v>80</v>
      </c>
      <c r="D11" s="15" t="s">
        <v>11</v>
      </c>
      <c r="E11" s="95">
        <f t="shared" si="5"/>
        <v>96.2</v>
      </c>
      <c r="F11" s="96">
        <f t="shared" si="6"/>
        <v>361.77</v>
      </c>
      <c r="G11" s="16">
        <f t="shared" si="1"/>
        <v>457.96999999999997</v>
      </c>
      <c r="H11" s="16">
        <f t="shared" si="2"/>
        <v>7696</v>
      </c>
      <c r="I11" s="16">
        <f t="shared" si="3"/>
        <v>28941.599999999999</v>
      </c>
      <c r="J11" s="57">
        <f t="shared" si="4"/>
        <v>36637.599999999999</v>
      </c>
      <c r="P11" s="97">
        <v>96.196607</v>
      </c>
      <c r="Q11" s="98">
        <v>361.773932</v>
      </c>
    </row>
    <row r="12" spans="1:17" x14ac:dyDescent="0.3">
      <c r="A12" s="12" t="s">
        <v>17</v>
      </c>
      <c r="B12" s="13" t="s">
        <v>18</v>
      </c>
      <c r="C12" s="32">
        <v>1</v>
      </c>
      <c r="D12" s="15" t="s">
        <v>11</v>
      </c>
      <c r="E12" s="95">
        <f t="shared" si="5"/>
        <v>0</v>
      </c>
      <c r="F12" s="96">
        <f t="shared" si="6"/>
        <v>196.33</v>
      </c>
      <c r="G12" s="16">
        <f t="shared" si="1"/>
        <v>196.33</v>
      </c>
      <c r="H12" s="16">
        <f t="shared" si="2"/>
        <v>0</v>
      </c>
      <c r="I12" s="16">
        <f t="shared" si="3"/>
        <v>196.33</v>
      </c>
      <c r="J12" s="57">
        <f t="shared" si="4"/>
        <v>196.33</v>
      </c>
      <c r="P12" s="97">
        <v>0</v>
      </c>
      <c r="Q12" s="98">
        <v>196.32956199999998</v>
      </c>
    </row>
    <row r="13" spans="1:17" x14ac:dyDescent="0.3">
      <c r="A13" s="12" t="s">
        <v>19</v>
      </c>
      <c r="B13" s="13" t="s">
        <v>20</v>
      </c>
      <c r="C13" s="32">
        <v>50</v>
      </c>
      <c r="D13" s="15" t="s">
        <v>11</v>
      </c>
      <c r="E13" s="95">
        <f t="shared" si="5"/>
        <v>2271.61</v>
      </c>
      <c r="F13" s="96">
        <f t="shared" si="6"/>
        <v>0</v>
      </c>
      <c r="G13" s="16">
        <f t="shared" si="1"/>
        <v>2271.61</v>
      </c>
      <c r="H13" s="16">
        <f t="shared" si="2"/>
        <v>113580.5</v>
      </c>
      <c r="I13" s="16">
        <f t="shared" si="3"/>
        <v>0</v>
      </c>
      <c r="J13" s="57">
        <f t="shared" si="4"/>
        <v>113580.5</v>
      </c>
      <c r="P13" s="97">
        <v>2271.6092360000002</v>
      </c>
      <c r="Q13" s="98">
        <v>0</v>
      </c>
    </row>
    <row r="14" spans="1:17" ht="78" customHeight="1" x14ac:dyDescent="0.3">
      <c r="A14" s="12" t="s">
        <v>21</v>
      </c>
      <c r="B14" s="13" t="s">
        <v>22</v>
      </c>
      <c r="C14" s="32">
        <v>1</v>
      </c>
      <c r="D14" s="15" t="s">
        <v>23</v>
      </c>
      <c r="E14" s="95">
        <f t="shared" si="5"/>
        <v>0.84</v>
      </c>
      <c r="F14" s="96">
        <f t="shared" si="6"/>
        <v>1.05</v>
      </c>
      <c r="G14" s="16">
        <f t="shared" si="1"/>
        <v>1.8900000000000001</v>
      </c>
      <c r="H14" s="16">
        <f t="shared" si="2"/>
        <v>0.84</v>
      </c>
      <c r="I14" s="16">
        <f t="shared" si="3"/>
        <v>1.05</v>
      </c>
      <c r="J14" s="57">
        <f t="shared" si="4"/>
        <v>1.8900000000000001</v>
      </c>
      <c r="P14" s="97">
        <v>0.84109999999999996</v>
      </c>
      <c r="Q14" s="98">
        <v>1.0513749999999999</v>
      </c>
    </row>
    <row r="15" spans="1:17" ht="78" customHeight="1" x14ac:dyDescent="0.3">
      <c r="A15" s="12" t="s">
        <v>24</v>
      </c>
      <c r="B15" s="13" t="s">
        <v>1164</v>
      </c>
      <c r="C15" s="32">
        <v>1</v>
      </c>
      <c r="D15" s="15" t="s">
        <v>25</v>
      </c>
      <c r="E15" s="95">
        <f t="shared" si="5"/>
        <v>99.66</v>
      </c>
      <c r="F15" s="96">
        <f t="shared" si="6"/>
        <v>779.25</v>
      </c>
      <c r="G15" s="16">
        <f t="shared" si="1"/>
        <v>878.91</v>
      </c>
      <c r="H15" s="16">
        <f t="shared" si="2"/>
        <v>99.66</v>
      </c>
      <c r="I15" s="16">
        <f t="shared" si="3"/>
        <v>779.25</v>
      </c>
      <c r="J15" s="57">
        <f t="shared" si="4"/>
        <v>878.91</v>
      </c>
      <c r="P15" s="97">
        <v>99.66193899999999</v>
      </c>
      <c r="Q15" s="98">
        <v>779.253917</v>
      </c>
    </row>
    <row r="16" spans="1:17" x14ac:dyDescent="0.3">
      <c r="A16" s="17">
        <v>2</v>
      </c>
      <c r="B16" s="18" t="s">
        <v>26</v>
      </c>
      <c r="C16" s="18"/>
      <c r="D16" s="19"/>
      <c r="E16" s="95">
        <f t="shared" si="5"/>
        <v>0</v>
      </c>
      <c r="F16" s="96">
        <f t="shared" si="6"/>
        <v>0</v>
      </c>
      <c r="G16" s="20">
        <f t="shared" ref="G16:I16" si="7">SUBTOTAL(109,G17:G52)</f>
        <v>2313.0299999999997</v>
      </c>
      <c r="H16" s="20">
        <f t="shared" si="7"/>
        <v>81930.179999999993</v>
      </c>
      <c r="I16" s="20">
        <f t="shared" si="7"/>
        <v>68493.47</v>
      </c>
      <c r="J16" s="58">
        <f>SUBTOTAL(109,J17:J52)</f>
        <v>150423.65000000005</v>
      </c>
      <c r="P16" s="87"/>
      <c r="Q16" s="88"/>
    </row>
    <row r="17" spans="1:17" ht="15.9" customHeight="1" x14ac:dyDescent="0.3">
      <c r="A17" s="12" t="s">
        <v>27</v>
      </c>
      <c r="B17" s="13" t="s">
        <v>28</v>
      </c>
      <c r="C17" s="14">
        <v>42</v>
      </c>
      <c r="D17" s="15" t="s">
        <v>29</v>
      </c>
      <c r="E17" s="95">
        <f t="shared" si="5"/>
        <v>0</v>
      </c>
      <c r="F17" s="96">
        <f t="shared" si="6"/>
        <v>269.82</v>
      </c>
      <c r="G17" s="16">
        <f t="shared" ref="G17:G52" si="8">SUM(E17:F17)</f>
        <v>269.82</v>
      </c>
      <c r="H17" s="16">
        <f t="shared" ref="H17:H52" si="9">C17*E17</f>
        <v>0</v>
      </c>
      <c r="I17" s="16">
        <f t="shared" ref="I17:I52" si="10">C17*F17</f>
        <v>11332.44</v>
      </c>
      <c r="J17" s="57">
        <f t="shared" ref="J17:J52" si="11">SUM(E17:F17)*C17</f>
        <v>11332.44</v>
      </c>
      <c r="P17" s="97">
        <v>0</v>
      </c>
      <c r="Q17" s="98">
        <v>269.81646899999998</v>
      </c>
    </row>
    <row r="18" spans="1:17" x14ac:dyDescent="0.3">
      <c r="A18" s="12" t="s">
        <v>30</v>
      </c>
      <c r="B18" s="13" t="s">
        <v>31</v>
      </c>
      <c r="C18" s="14">
        <v>1</v>
      </c>
      <c r="D18" s="15" t="s">
        <v>29</v>
      </c>
      <c r="E18" s="95">
        <f t="shared" si="5"/>
        <v>0</v>
      </c>
      <c r="F18" s="96">
        <f t="shared" si="6"/>
        <v>62.27</v>
      </c>
      <c r="G18" s="16">
        <f t="shared" si="8"/>
        <v>62.27</v>
      </c>
      <c r="H18" s="16">
        <f t="shared" si="9"/>
        <v>0</v>
      </c>
      <c r="I18" s="16">
        <f t="shared" si="10"/>
        <v>62.27</v>
      </c>
      <c r="J18" s="57">
        <f t="shared" si="11"/>
        <v>62.27</v>
      </c>
      <c r="P18" s="97">
        <v>0</v>
      </c>
      <c r="Q18" s="98">
        <v>62.266632999999999</v>
      </c>
    </row>
    <row r="19" spans="1:17" x14ac:dyDescent="0.3">
      <c r="A19" s="12" t="s">
        <v>32</v>
      </c>
      <c r="B19" s="13" t="s">
        <v>33</v>
      </c>
      <c r="C19" s="14">
        <v>535</v>
      </c>
      <c r="D19" s="15" t="s">
        <v>29</v>
      </c>
      <c r="E19" s="95">
        <f t="shared" si="5"/>
        <v>0</v>
      </c>
      <c r="F19" s="96">
        <f t="shared" si="6"/>
        <v>7.14</v>
      </c>
      <c r="G19" s="16">
        <f t="shared" si="8"/>
        <v>7.14</v>
      </c>
      <c r="H19" s="16">
        <f t="shared" si="9"/>
        <v>0</v>
      </c>
      <c r="I19" s="16">
        <f t="shared" si="10"/>
        <v>3819.8999999999996</v>
      </c>
      <c r="J19" s="57">
        <f t="shared" si="11"/>
        <v>3819.8999999999996</v>
      </c>
      <c r="P19" s="97">
        <v>0</v>
      </c>
      <c r="Q19" s="98">
        <v>7.1409389999999995</v>
      </c>
    </row>
    <row r="20" spans="1:17" ht="28.8" x14ac:dyDescent="0.3">
      <c r="A20" s="12" t="s">
        <v>34</v>
      </c>
      <c r="B20" s="13" t="s">
        <v>35</v>
      </c>
      <c r="C20" s="14">
        <v>1</v>
      </c>
      <c r="D20" s="15" t="s">
        <v>36</v>
      </c>
      <c r="E20" s="95">
        <f t="shared" si="5"/>
        <v>0</v>
      </c>
      <c r="F20" s="96">
        <f t="shared" si="6"/>
        <v>29.06</v>
      </c>
      <c r="G20" s="16">
        <f t="shared" si="8"/>
        <v>29.06</v>
      </c>
      <c r="H20" s="16">
        <f t="shared" si="9"/>
        <v>0</v>
      </c>
      <c r="I20" s="16">
        <f t="shared" si="10"/>
        <v>29.06</v>
      </c>
      <c r="J20" s="57">
        <f t="shared" si="11"/>
        <v>29.06</v>
      </c>
      <c r="P20" s="97">
        <v>0</v>
      </c>
      <c r="Q20" s="98">
        <v>29.060004999999997</v>
      </c>
    </row>
    <row r="21" spans="1:17" ht="28.8" x14ac:dyDescent="0.3">
      <c r="A21" s="12" t="s">
        <v>37</v>
      </c>
      <c r="B21" s="13" t="s">
        <v>38</v>
      </c>
      <c r="C21" s="14">
        <v>207</v>
      </c>
      <c r="D21" s="15" t="s">
        <v>36</v>
      </c>
      <c r="E21" s="95">
        <f t="shared" si="5"/>
        <v>23.95</v>
      </c>
      <c r="F21" s="96">
        <f t="shared" si="6"/>
        <v>14.53</v>
      </c>
      <c r="G21" s="16">
        <f t="shared" si="8"/>
        <v>38.479999999999997</v>
      </c>
      <c r="H21" s="16">
        <f t="shared" si="9"/>
        <v>4957.6499999999996</v>
      </c>
      <c r="I21" s="16">
        <f t="shared" si="10"/>
        <v>3007.71</v>
      </c>
      <c r="J21" s="57">
        <f t="shared" si="11"/>
        <v>7965.36</v>
      </c>
      <c r="P21" s="97">
        <v>23.946116999999997</v>
      </c>
      <c r="Q21" s="98">
        <v>14.525796999999999</v>
      </c>
    </row>
    <row r="22" spans="1:17" x14ac:dyDescent="0.3">
      <c r="A22" s="12" t="s">
        <v>39</v>
      </c>
      <c r="B22" s="13" t="s">
        <v>40</v>
      </c>
      <c r="C22" s="14">
        <v>1</v>
      </c>
      <c r="D22" s="15" t="s">
        <v>36</v>
      </c>
      <c r="E22" s="95">
        <f t="shared" si="5"/>
        <v>0</v>
      </c>
      <c r="F22" s="96">
        <f t="shared" si="6"/>
        <v>14.53</v>
      </c>
      <c r="G22" s="16">
        <f t="shared" si="8"/>
        <v>14.53</v>
      </c>
      <c r="H22" s="16">
        <f t="shared" si="9"/>
        <v>0</v>
      </c>
      <c r="I22" s="16">
        <f t="shared" si="10"/>
        <v>14.53</v>
      </c>
      <c r="J22" s="57">
        <f t="shared" si="11"/>
        <v>14.53</v>
      </c>
      <c r="P22" s="97">
        <v>0</v>
      </c>
      <c r="Q22" s="98">
        <v>14.525796999999999</v>
      </c>
    </row>
    <row r="23" spans="1:17" ht="15.9" customHeight="1" x14ac:dyDescent="0.3">
      <c r="A23" s="12" t="s">
        <v>41</v>
      </c>
      <c r="B23" s="13" t="s">
        <v>42</v>
      </c>
      <c r="C23" s="14">
        <v>1</v>
      </c>
      <c r="D23" s="15" t="s">
        <v>36</v>
      </c>
      <c r="E23" s="95">
        <f t="shared" si="5"/>
        <v>0</v>
      </c>
      <c r="F23" s="96">
        <f t="shared" si="6"/>
        <v>26.98</v>
      </c>
      <c r="G23" s="16">
        <f t="shared" si="8"/>
        <v>26.98</v>
      </c>
      <c r="H23" s="16">
        <f t="shared" si="9"/>
        <v>0</v>
      </c>
      <c r="I23" s="16">
        <f t="shared" si="10"/>
        <v>26.98</v>
      </c>
      <c r="J23" s="57">
        <f t="shared" si="11"/>
        <v>26.98</v>
      </c>
      <c r="P23" s="97">
        <v>0</v>
      </c>
      <c r="Q23" s="98">
        <v>26.982487999999996</v>
      </c>
    </row>
    <row r="24" spans="1:17" ht="15.9" customHeight="1" x14ac:dyDescent="0.3">
      <c r="A24" s="12" t="s">
        <v>43</v>
      </c>
      <c r="B24" s="13" t="s">
        <v>44</v>
      </c>
      <c r="C24" s="14">
        <v>108</v>
      </c>
      <c r="D24" s="15" t="s">
        <v>36</v>
      </c>
      <c r="E24" s="95">
        <f t="shared" si="5"/>
        <v>0</v>
      </c>
      <c r="F24" s="96">
        <f t="shared" si="6"/>
        <v>8.3000000000000007</v>
      </c>
      <c r="G24" s="16">
        <f t="shared" si="8"/>
        <v>8.3000000000000007</v>
      </c>
      <c r="H24" s="16">
        <f t="shared" si="9"/>
        <v>0</v>
      </c>
      <c r="I24" s="16">
        <f t="shared" si="10"/>
        <v>896.40000000000009</v>
      </c>
      <c r="J24" s="57">
        <f t="shared" si="11"/>
        <v>896.40000000000009</v>
      </c>
      <c r="P24" s="97">
        <v>0</v>
      </c>
      <c r="Q24" s="98">
        <v>8.3016569999999987</v>
      </c>
    </row>
    <row r="25" spans="1:17" ht="15.9" customHeight="1" x14ac:dyDescent="0.3">
      <c r="A25" s="12" t="s">
        <v>45</v>
      </c>
      <c r="B25" s="13" t="s">
        <v>46</v>
      </c>
      <c r="C25" s="14">
        <v>1</v>
      </c>
      <c r="D25" s="15" t="s">
        <v>36</v>
      </c>
      <c r="E25" s="95">
        <f t="shared" si="5"/>
        <v>0</v>
      </c>
      <c r="F25" s="96">
        <f t="shared" si="6"/>
        <v>10.38</v>
      </c>
      <c r="G25" s="16">
        <f t="shared" si="8"/>
        <v>10.38</v>
      </c>
      <c r="H25" s="16">
        <f t="shared" si="9"/>
        <v>0</v>
      </c>
      <c r="I25" s="16">
        <f t="shared" si="10"/>
        <v>10.38</v>
      </c>
      <c r="J25" s="57">
        <f t="shared" si="11"/>
        <v>10.38</v>
      </c>
      <c r="P25" s="97">
        <v>0</v>
      </c>
      <c r="Q25" s="98">
        <v>10.379173999999999</v>
      </c>
    </row>
    <row r="26" spans="1:17" ht="15.9" customHeight="1" x14ac:dyDescent="0.3">
      <c r="A26" s="12" t="s">
        <v>47</v>
      </c>
      <c r="B26" s="13" t="s">
        <v>48</v>
      </c>
      <c r="C26" s="14">
        <v>1</v>
      </c>
      <c r="D26" s="15" t="s">
        <v>36</v>
      </c>
      <c r="E26" s="95">
        <f t="shared" si="5"/>
        <v>0</v>
      </c>
      <c r="F26" s="96">
        <f t="shared" si="6"/>
        <v>28.13</v>
      </c>
      <c r="G26" s="16">
        <f t="shared" si="8"/>
        <v>28.13</v>
      </c>
      <c r="H26" s="16">
        <f t="shared" si="9"/>
        <v>0</v>
      </c>
      <c r="I26" s="16">
        <f t="shared" si="10"/>
        <v>28.13</v>
      </c>
      <c r="J26" s="57">
        <f t="shared" si="11"/>
        <v>28.13</v>
      </c>
      <c r="P26" s="97">
        <v>0</v>
      </c>
      <c r="Q26" s="98">
        <v>28.126383999999998</v>
      </c>
    </row>
    <row r="27" spans="1:17" ht="15.9" customHeight="1" x14ac:dyDescent="0.3">
      <c r="A27" s="12" t="s">
        <v>49</v>
      </c>
      <c r="B27" s="13" t="s">
        <v>50</v>
      </c>
      <c r="C27" s="14">
        <v>41</v>
      </c>
      <c r="D27" s="15" t="s">
        <v>51</v>
      </c>
      <c r="E27" s="95">
        <f t="shared" si="5"/>
        <v>0</v>
      </c>
      <c r="F27" s="96">
        <f t="shared" si="6"/>
        <v>13.6</v>
      </c>
      <c r="G27" s="16">
        <f t="shared" si="8"/>
        <v>13.6</v>
      </c>
      <c r="H27" s="16">
        <f t="shared" si="9"/>
        <v>0</v>
      </c>
      <c r="I27" s="16">
        <f t="shared" si="10"/>
        <v>557.6</v>
      </c>
      <c r="J27" s="57">
        <f t="shared" si="11"/>
        <v>557.6</v>
      </c>
      <c r="P27" s="97">
        <v>0</v>
      </c>
      <c r="Q27" s="98">
        <v>13.600587000000001</v>
      </c>
    </row>
    <row r="28" spans="1:17" ht="15.9" customHeight="1" x14ac:dyDescent="0.3">
      <c r="A28" s="12" t="s">
        <v>52</v>
      </c>
      <c r="B28" s="13" t="s">
        <v>53</v>
      </c>
      <c r="C28" s="14">
        <v>133</v>
      </c>
      <c r="D28" s="15" t="s">
        <v>36</v>
      </c>
      <c r="E28" s="95">
        <f t="shared" si="5"/>
        <v>14.28</v>
      </c>
      <c r="F28" s="96">
        <f t="shared" si="6"/>
        <v>22.53</v>
      </c>
      <c r="G28" s="16">
        <f t="shared" si="8"/>
        <v>36.81</v>
      </c>
      <c r="H28" s="16">
        <f t="shared" si="9"/>
        <v>1899.24</v>
      </c>
      <c r="I28" s="16">
        <f t="shared" si="10"/>
        <v>2996.4900000000002</v>
      </c>
      <c r="J28" s="57">
        <f t="shared" si="11"/>
        <v>4895.7300000000005</v>
      </c>
      <c r="P28" s="97">
        <v>14.281877999999999</v>
      </c>
      <c r="Q28" s="98">
        <v>22.533068999999998</v>
      </c>
    </row>
    <row r="29" spans="1:17" ht="15.9" customHeight="1" x14ac:dyDescent="0.3">
      <c r="A29" s="12" t="s">
        <v>54</v>
      </c>
      <c r="B29" s="13" t="s">
        <v>55</v>
      </c>
      <c r="C29" s="14">
        <v>455</v>
      </c>
      <c r="D29" s="15" t="s">
        <v>36</v>
      </c>
      <c r="E29" s="95">
        <f t="shared" si="5"/>
        <v>14.28</v>
      </c>
      <c r="F29" s="96">
        <f t="shared" si="6"/>
        <v>11.5</v>
      </c>
      <c r="G29" s="16">
        <f t="shared" si="8"/>
        <v>25.78</v>
      </c>
      <c r="H29" s="16">
        <f t="shared" si="9"/>
        <v>6497.4</v>
      </c>
      <c r="I29" s="16">
        <f t="shared" si="10"/>
        <v>5232.5</v>
      </c>
      <c r="J29" s="57">
        <f t="shared" si="11"/>
        <v>11729.9</v>
      </c>
      <c r="P29" s="97">
        <v>14.281877999999999</v>
      </c>
      <c r="Q29" s="98">
        <v>11.497836999999999</v>
      </c>
    </row>
    <row r="30" spans="1:17" ht="15.9" customHeight="1" x14ac:dyDescent="0.3">
      <c r="A30" s="12" t="s">
        <v>56</v>
      </c>
      <c r="B30" s="13" t="s">
        <v>57</v>
      </c>
      <c r="C30" s="14">
        <v>47</v>
      </c>
      <c r="D30" s="15" t="s">
        <v>36</v>
      </c>
      <c r="E30" s="95">
        <f t="shared" si="5"/>
        <v>9.0299999999999994</v>
      </c>
      <c r="F30" s="96">
        <f t="shared" si="6"/>
        <v>59.21</v>
      </c>
      <c r="G30" s="16">
        <f t="shared" si="8"/>
        <v>68.239999999999995</v>
      </c>
      <c r="H30" s="16">
        <f t="shared" si="9"/>
        <v>424.40999999999997</v>
      </c>
      <c r="I30" s="16">
        <f t="shared" si="10"/>
        <v>2782.87</v>
      </c>
      <c r="J30" s="57">
        <f t="shared" si="11"/>
        <v>3207.2799999999997</v>
      </c>
      <c r="P30" s="97">
        <v>9.0250029999999999</v>
      </c>
      <c r="Q30" s="98">
        <v>59.205028999999996</v>
      </c>
    </row>
    <row r="31" spans="1:17" ht="15.9" customHeight="1" x14ac:dyDescent="0.3">
      <c r="A31" s="12" t="s">
        <v>58</v>
      </c>
      <c r="B31" s="13" t="s">
        <v>59</v>
      </c>
      <c r="C31" s="14">
        <v>47</v>
      </c>
      <c r="D31" s="15" t="s">
        <v>36</v>
      </c>
      <c r="E31" s="95">
        <f t="shared" si="5"/>
        <v>0</v>
      </c>
      <c r="F31" s="96">
        <f t="shared" si="6"/>
        <v>25.97</v>
      </c>
      <c r="G31" s="16">
        <f t="shared" si="8"/>
        <v>25.97</v>
      </c>
      <c r="H31" s="16">
        <f t="shared" si="9"/>
        <v>0</v>
      </c>
      <c r="I31" s="16">
        <f t="shared" si="10"/>
        <v>1220.5899999999999</v>
      </c>
      <c r="J31" s="57">
        <f t="shared" si="11"/>
        <v>1220.5899999999999</v>
      </c>
      <c r="P31" s="97">
        <v>0</v>
      </c>
      <c r="Q31" s="98">
        <v>25.973167999999998</v>
      </c>
    </row>
    <row r="32" spans="1:17" ht="15.9" customHeight="1" x14ac:dyDescent="0.3">
      <c r="A32" s="12" t="s">
        <v>60</v>
      </c>
      <c r="B32" s="13" t="s">
        <v>61</v>
      </c>
      <c r="C32" s="14">
        <v>1</v>
      </c>
      <c r="D32" s="15" t="s">
        <v>36</v>
      </c>
      <c r="E32" s="95">
        <f t="shared" si="5"/>
        <v>1.62</v>
      </c>
      <c r="F32" s="96">
        <f t="shared" si="6"/>
        <v>64</v>
      </c>
      <c r="G32" s="16">
        <f t="shared" si="8"/>
        <v>65.62</v>
      </c>
      <c r="H32" s="16">
        <f t="shared" si="9"/>
        <v>1.62</v>
      </c>
      <c r="I32" s="16">
        <f t="shared" si="10"/>
        <v>64</v>
      </c>
      <c r="J32" s="57">
        <f t="shared" si="11"/>
        <v>65.62</v>
      </c>
      <c r="P32" s="97">
        <v>1.6233229999999998</v>
      </c>
      <c r="Q32" s="98">
        <v>63.999299000000001</v>
      </c>
    </row>
    <row r="33" spans="1:17" ht="15.9" customHeight="1" x14ac:dyDescent="0.3">
      <c r="A33" s="12" t="s">
        <v>62</v>
      </c>
      <c r="B33" s="13" t="s">
        <v>63</v>
      </c>
      <c r="C33" s="14">
        <v>53</v>
      </c>
      <c r="D33" s="15" t="s">
        <v>36</v>
      </c>
      <c r="E33" s="95">
        <f t="shared" si="5"/>
        <v>13.98</v>
      </c>
      <c r="F33" s="96">
        <f t="shared" si="6"/>
        <v>15.58</v>
      </c>
      <c r="G33" s="16">
        <f t="shared" si="8"/>
        <v>29.560000000000002</v>
      </c>
      <c r="H33" s="16">
        <f t="shared" si="9"/>
        <v>740.94</v>
      </c>
      <c r="I33" s="16">
        <f t="shared" si="10"/>
        <v>825.74</v>
      </c>
      <c r="J33" s="57">
        <f t="shared" si="11"/>
        <v>1566.68</v>
      </c>
      <c r="P33" s="97">
        <v>13.979082</v>
      </c>
      <c r="Q33" s="98">
        <v>15.577171999999999</v>
      </c>
    </row>
    <row r="34" spans="1:17" ht="43.2" x14ac:dyDescent="0.3">
      <c r="A34" s="12" t="s">
        <v>64</v>
      </c>
      <c r="B34" s="13" t="s">
        <v>65</v>
      </c>
      <c r="C34" s="14">
        <v>325</v>
      </c>
      <c r="D34" s="15" t="s">
        <v>29</v>
      </c>
      <c r="E34" s="95">
        <f t="shared" si="5"/>
        <v>66.31</v>
      </c>
      <c r="F34" s="96">
        <f t="shared" si="6"/>
        <v>12.93</v>
      </c>
      <c r="G34" s="16">
        <f t="shared" si="8"/>
        <v>79.240000000000009</v>
      </c>
      <c r="H34" s="16">
        <f t="shared" si="9"/>
        <v>21550.75</v>
      </c>
      <c r="I34" s="16">
        <f t="shared" si="10"/>
        <v>4202.25</v>
      </c>
      <c r="J34" s="57">
        <f t="shared" si="11"/>
        <v>25753.000000000004</v>
      </c>
      <c r="P34" s="97">
        <v>66.312324000000004</v>
      </c>
      <c r="Q34" s="98">
        <v>12.927706999999998</v>
      </c>
    </row>
    <row r="35" spans="1:17" ht="15.9" customHeight="1" x14ac:dyDescent="0.3">
      <c r="A35" s="12" t="s">
        <v>66</v>
      </c>
      <c r="B35" s="13" t="s">
        <v>67</v>
      </c>
      <c r="C35" s="14">
        <v>32</v>
      </c>
      <c r="D35" s="15" t="s">
        <v>11</v>
      </c>
      <c r="E35" s="95">
        <f t="shared" si="5"/>
        <v>2.6</v>
      </c>
      <c r="F35" s="96">
        <f t="shared" si="6"/>
        <v>37.1</v>
      </c>
      <c r="G35" s="16">
        <f t="shared" si="8"/>
        <v>39.700000000000003</v>
      </c>
      <c r="H35" s="16">
        <f t="shared" si="9"/>
        <v>83.2</v>
      </c>
      <c r="I35" s="16">
        <f t="shared" si="10"/>
        <v>1187.2</v>
      </c>
      <c r="J35" s="57">
        <f t="shared" si="11"/>
        <v>1270.4000000000001</v>
      </c>
      <c r="P35" s="97">
        <v>2.5989989999999996</v>
      </c>
      <c r="Q35" s="98">
        <v>37.100921</v>
      </c>
    </row>
    <row r="36" spans="1:17" ht="15.9" customHeight="1" x14ac:dyDescent="0.3">
      <c r="A36" s="12" t="s">
        <v>68</v>
      </c>
      <c r="B36" s="13" t="s">
        <v>69</v>
      </c>
      <c r="C36" s="14">
        <v>317</v>
      </c>
      <c r="D36" s="15" t="s">
        <v>70</v>
      </c>
      <c r="E36" s="95">
        <f t="shared" si="5"/>
        <v>19.66</v>
      </c>
      <c r="F36" s="96">
        <f t="shared" si="6"/>
        <v>7.89</v>
      </c>
      <c r="G36" s="16">
        <f t="shared" si="8"/>
        <v>27.55</v>
      </c>
      <c r="H36" s="16">
        <f t="shared" si="9"/>
        <v>6232.22</v>
      </c>
      <c r="I36" s="16">
        <f t="shared" si="10"/>
        <v>2501.13</v>
      </c>
      <c r="J36" s="57">
        <f t="shared" si="11"/>
        <v>8733.35</v>
      </c>
      <c r="P36" s="97">
        <v>19.664917999999997</v>
      </c>
      <c r="Q36" s="98">
        <v>7.8895180000000007</v>
      </c>
    </row>
    <row r="37" spans="1:17" x14ac:dyDescent="0.3">
      <c r="A37" s="12" t="s">
        <v>71</v>
      </c>
      <c r="B37" s="13" t="s">
        <v>72</v>
      </c>
      <c r="C37" s="14">
        <v>1362</v>
      </c>
      <c r="D37" s="15" t="s">
        <v>73</v>
      </c>
      <c r="E37" s="95">
        <f t="shared" si="5"/>
        <v>26.23</v>
      </c>
      <c r="F37" s="96">
        <f t="shared" si="6"/>
        <v>13.36</v>
      </c>
      <c r="G37" s="16">
        <f t="shared" si="8"/>
        <v>39.590000000000003</v>
      </c>
      <c r="H37" s="16">
        <f t="shared" si="9"/>
        <v>35725.26</v>
      </c>
      <c r="I37" s="16">
        <f t="shared" si="10"/>
        <v>18196.32</v>
      </c>
      <c r="J37" s="57">
        <f t="shared" si="11"/>
        <v>53921.58</v>
      </c>
      <c r="P37" s="97">
        <v>26.233909000000001</v>
      </c>
      <c r="Q37" s="98">
        <v>13.356668000000001</v>
      </c>
    </row>
    <row r="38" spans="1:17" x14ac:dyDescent="0.3">
      <c r="A38" s="12" t="s">
        <v>74</v>
      </c>
      <c r="B38" s="13" t="s">
        <v>75</v>
      </c>
      <c r="C38" s="14">
        <v>1</v>
      </c>
      <c r="D38" s="15" t="s">
        <v>36</v>
      </c>
      <c r="E38" s="95">
        <f t="shared" si="5"/>
        <v>49.41</v>
      </c>
      <c r="F38" s="96">
        <f t="shared" si="6"/>
        <v>42.86</v>
      </c>
      <c r="G38" s="16">
        <f t="shared" si="8"/>
        <v>92.27</v>
      </c>
      <c r="H38" s="16">
        <f t="shared" si="9"/>
        <v>49.41</v>
      </c>
      <c r="I38" s="16">
        <f t="shared" si="10"/>
        <v>42.86</v>
      </c>
      <c r="J38" s="57">
        <f t="shared" si="11"/>
        <v>92.27</v>
      </c>
      <c r="P38" s="97">
        <v>49.414625000000001</v>
      </c>
      <c r="Q38" s="98">
        <v>42.862456000000002</v>
      </c>
    </row>
    <row r="39" spans="1:17" x14ac:dyDescent="0.3">
      <c r="A39" s="12" t="s">
        <v>76</v>
      </c>
      <c r="B39" s="13" t="s">
        <v>77</v>
      </c>
      <c r="C39" s="14">
        <v>304</v>
      </c>
      <c r="D39" s="15" t="s">
        <v>36</v>
      </c>
      <c r="E39" s="95">
        <f t="shared" si="5"/>
        <v>0</v>
      </c>
      <c r="F39" s="96">
        <f t="shared" si="6"/>
        <v>18.68</v>
      </c>
      <c r="G39" s="16">
        <f t="shared" si="8"/>
        <v>18.68</v>
      </c>
      <c r="H39" s="16">
        <f t="shared" si="9"/>
        <v>0</v>
      </c>
      <c r="I39" s="16">
        <f t="shared" si="10"/>
        <v>5678.72</v>
      </c>
      <c r="J39" s="57">
        <f t="shared" si="11"/>
        <v>5678.72</v>
      </c>
      <c r="P39" s="97">
        <v>0</v>
      </c>
      <c r="Q39" s="98">
        <v>18.680831000000001</v>
      </c>
    </row>
    <row r="40" spans="1:17" x14ac:dyDescent="0.3">
      <c r="A40" s="12" t="s">
        <v>78</v>
      </c>
      <c r="B40" s="13" t="s">
        <v>79</v>
      </c>
      <c r="C40" s="14">
        <v>1</v>
      </c>
      <c r="D40" s="15" t="s">
        <v>80</v>
      </c>
      <c r="E40" s="95">
        <f t="shared" si="5"/>
        <v>732.03</v>
      </c>
      <c r="F40" s="96">
        <f t="shared" si="6"/>
        <v>20.75</v>
      </c>
      <c r="G40" s="16">
        <f t="shared" si="8"/>
        <v>752.78</v>
      </c>
      <c r="H40" s="16">
        <f t="shared" si="9"/>
        <v>732.03</v>
      </c>
      <c r="I40" s="16">
        <f t="shared" si="10"/>
        <v>20.75</v>
      </c>
      <c r="J40" s="57">
        <f t="shared" si="11"/>
        <v>752.78</v>
      </c>
      <c r="P40" s="97">
        <v>732.03456300000005</v>
      </c>
      <c r="Q40" s="98">
        <v>20.749936999999999</v>
      </c>
    </row>
    <row r="41" spans="1:17" x14ac:dyDescent="0.3">
      <c r="A41" s="12" t="s">
        <v>81</v>
      </c>
      <c r="B41" s="13" t="s">
        <v>82</v>
      </c>
      <c r="C41" s="14">
        <v>1</v>
      </c>
      <c r="D41" s="15" t="s">
        <v>36</v>
      </c>
      <c r="E41" s="95">
        <f t="shared" si="5"/>
        <v>93.64</v>
      </c>
      <c r="F41" s="96">
        <f t="shared" si="6"/>
        <v>54.71</v>
      </c>
      <c r="G41" s="16">
        <f t="shared" si="8"/>
        <v>148.35</v>
      </c>
      <c r="H41" s="16">
        <f t="shared" si="9"/>
        <v>93.64</v>
      </c>
      <c r="I41" s="16">
        <f t="shared" si="10"/>
        <v>54.71</v>
      </c>
      <c r="J41" s="57">
        <f t="shared" si="11"/>
        <v>148.35</v>
      </c>
      <c r="P41" s="97">
        <v>93.639662999999999</v>
      </c>
      <c r="Q41" s="98">
        <v>54.705144000000004</v>
      </c>
    </row>
    <row r="42" spans="1:17" x14ac:dyDescent="0.3">
      <c r="A42" s="12" t="s">
        <v>83</v>
      </c>
      <c r="B42" s="13" t="s">
        <v>84</v>
      </c>
      <c r="C42" s="14">
        <v>1</v>
      </c>
      <c r="D42" s="15" t="s">
        <v>85</v>
      </c>
      <c r="E42" s="95">
        <f t="shared" si="5"/>
        <v>0</v>
      </c>
      <c r="F42" s="96">
        <f t="shared" si="6"/>
        <v>125.37</v>
      </c>
      <c r="G42" s="16">
        <f t="shared" si="8"/>
        <v>125.37</v>
      </c>
      <c r="H42" s="16">
        <f t="shared" si="9"/>
        <v>0</v>
      </c>
      <c r="I42" s="16">
        <f t="shared" si="10"/>
        <v>125.37</v>
      </c>
      <c r="J42" s="57">
        <f t="shared" si="11"/>
        <v>125.37</v>
      </c>
      <c r="P42" s="97">
        <v>0</v>
      </c>
      <c r="Q42" s="98">
        <v>125.37436599999999</v>
      </c>
    </row>
    <row r="43" spans="1:17" x14ac:dyDescent="0.3">
      <c r="A43" s="12" t="s">
        <v>86</v>
      </c>
      <c r="B43" s="13" t="s">
        <v>87</v>
      </c>
      <c r="C43" s="14">
        <v>23</v>
      </c>
      <c r="D43" s="15" t="s">
        <v>51</v>
      </c>
      <c r="E43" s="95">
        <f t="shared" si="5"/>
        <v>11.57</v>
      </c>
      <c r="F43" s="96">
        <f t="shared" si="6"/>
        <v>7.88</v>
      </c>
      <c r="G43" s="16">
        <f t="shared" si="8"/>
        <v>19.45</v>
      </c>
      <c r="H43" s="16">
        <f t="shared" si="9"/>
        <v>266.11</v>
      </c>
      <c r="I43" s="16">
        <f t="shared" si="10"/>
        <v>181.24</v>
      </c>
      <c r="J43" s="57">
        <f t="shared" si="11"/>
        <v>447.34999999999997</v>
      </c>
      <c r="P43" s="97">
        <v>11.565125</v>
      </c>
      <c r="Q43" s="98">
        <v>7.8811069999999992</v>
      </c>
    </row>
    <row r="44" spans="1:17" x14ac:dyDescent="0.3">
      <c r="A44" s="12" t="s">
        <v>88</v>
      </c>
      <c r="B44" s="13" t="s">
        <v>89</v>
      </c>
      <c r="C44" s="14">
        <v>180</v>
      </c>
      <c r="D44" s="15" t="s">
        <v>11</v>
      </c>
      <c r="E44" s="95">
        <f t="shared" si="5"/>
        <v>14.29</v>
      </c>
      <c r="F44" s="96">
        <f t="shared" si="6"/>
        <v>18.46</v>
      </c>
      <c r="G44" s="16">
        <f t="shared" si="8"/>
        <v>32.75</v>
      </c>
      <c r="H44" s="16">
        <f t="shared" si="9"/>
        <v>2572.1999999999998</v>
      </c>
      <c r="I44" s="16">
        <f t="shared" si="10"/>
        <v>3322.8</v>
      </c>
      <c r="J44" s="57">
        <f t="shared" si="11"/>
        <v>5895</v>
      </c>
      <c r="P44" s="97">
        <v>14.290288999999998</v>
      </c>
      <c r="Q44" s="98">
        <v>18.462145</v>
      </c>
    </row>
    <row r="45" spans="1:17" x14ac:dyDescent="0.3">
      <c r="A45" s="12" t="s">
        <v>90</v>
      </c>
      <c r="B45" s="13" t="s">
        <v>91</v>
      </c>
      <c r="C45" s="14">
        <v>1</v>
      </c>
      <c r="D45" s="15" t="s">
        <v>36</v>
      </c>
      <c r="E45" s="95">
        <f t="shared" si="5"/>
        <v>0.42</v>
      </c>
      <c r="F45" s="96">
        <f t="shared" si="6"/>
        <v>6.25</v>
      </c>
      <c r="G45" s="16">
        <f t="shared" si="8"/>
        <v>6.67</v>
      </c>
      <c r="H45" s="16">
        <f t="shared" si="9"/>
        <v>0.42</v>
      </c>
      <c r="I45" s="16">
        <f t="shared" si="10"/>
        <v>6.25</v>
      </c>
      <c r="J45" s="57">
        <f t="shared" si="11"/>
        <v>6.67</v>
      </c>
      <c r="P45" s="97">
        <v>0.42054999999999998</v>
      </c>
      <c r="Q45" s="98">
        <v>6.2493729999999994</v>
      </c>
    </row>
    <row r="46" spans="1:17" x14ac:dyDescent="0.3">
      <c r="A46" s="12" t="s">
        <v>92</v>
      </c>
      <c r="B46" s="13" t="s">
        <v>93</v>
      </c>
      <c r="C46" s="14">
        <v>1</v>
      </c>
      <c r="D46" s="15" t="s">
        <v>36</v>
      </c>
      <c r="E46" s="95">
        <f t="shared" si="5"/>
        <v>0</v>
      </c>
      <c r="F46" s="96">
        <f t="shared" si="6"/>
        <v>2.41</v>
      </c>
      <c r="G46" s="16">
        <f t="shared" si="8"/>
        <v>2.41</v>
      </c>
      <c r="H46" s="16">
        <f t="shared" si="9"/>
        <v>0</v>
      </c>
      <c r="I46" s="16">
        <f t="shared" si="10"/>
        <v>2.41</v>
      </c>
      <c r="J46" s="57">
        <f t="shared" si="11"/>
        <v>2.41</v>
      </c>
      <c r="P46" s="97">
        <v>0</v>
      </c>
      <c r="Q46" s="98">
        <v>2.4139569999999999</v>
      </c>
    </row>
    <row r="47" spans="1:17" x14ac:dyDescent="0.3">
      <c r="A47" s="12" t="s">
        <v>94</v>
      </c>
      <c r="B47" s="13" t="s">
        <v>95</v>
      </c>
      <c r="C47" s="14">
        <v>1</v>
      </c>
      <c r="D47" s="15" t="s">
        <v>11</v>
      </c>
      <c r="E47" s="95">
        <f t="shared" si="5"/>
        <v>96.2</v>
      </c>
      <c r="F47" s="96">
        <f t="shared" si="6"/>
        <v>0</v>
      </c>
      <c r="G47" s="16">
        <f t="shared" si="8"/>
        <v>96.2</v>
      </c>
      <c r="H47" s="16">
        <f t="shared" si="9"/>
        <v>96.2</v>
      </c>
      <c r="I47" s="16">
        <f t="shared" si="10"/>
        <v>0</v>
      </c>
      <c r="J47" s="57">
        <f t="shared" si="11"/>
        <v>96.2</v>
      </c>
      <c r="P47" s="97">
        <v>96.196607</v>
      </c>
      <c r="Q47" s="98">
        <v>0</v>
      </c>
    </row>
    <row r="48" spans="1:17" x14ac:dyDescent="0.3">
      <c r="A48" s="12" t="s">
        <v>96</v>
      </c>
      <c r="B48" s="13" t="s">
        <v>97</v>
      </c>
      <c r="C48" s="14">
        <v>1</v>
      </c>
      <c r="D48" s="15" t="s">
        <v>36</v>
      </c>
      <c r="E48" s="95">
        <f t="shared" si="5"/>
        <v>0</v>
      </c>
      <c r="F48" s="96">
        <f t="shared" si="6"/>
        <v>6.88</v>
      </c>
      <c r="G48" s="16">
        <f t="shared" si="8"/>
        <v>6.88</v>
      </c>
      <c r="H48" s="16">
        <f t="shared" si="9"/>
        <v>0</v>
      </c>
      <c r="I48" s="16">
        <f t="shared" si="10"/>
        <v>6.88</v>
      </c>
      <c r="J48" s="57">
        <f t="shared" si="11"/>
        <v>6.88</v>
      </c>
      <c r="P48" s="97">
        <v>0</v>
      </c>
      <c r="Q48" s="98">
        <v>6.8801979999999991</v>
      </c>
    </row>
    <row r="49" spans="1:17" ht="28.8" x14ac:dyDescent="0.3">
      <c r="A49" s="12" t="s">
        <v>98</v>
      </c>
      <c r="B49" s="13" t="s">
        <v>99</v>
      </c>
      <c r="C49" s="14">
        <v>1</v>
      </c>
      <c r="D49" s="15" t="s">
        <v>36</v>
      </c>
      <c r="E49" s="95">
        <f t="shared" si="5"/>
        <v>0</v>
      </c>
      <c r="F49" s="96">
        <f t="shared" si="6"/>
        <v>19.100000000000001</v>
      </c>
      <c r="G49" s="16">
        <f t="shared" si="8"/>
        <v>19.100000000000001</v>
      </c>
      <c r="H49" s="16">
        <f t="shared" si="9"/>
        <v>0</v>
      </c>
      <c r="I49" s="16">
        <f t="shared" si="10"/>
        <v>19.100000000000001</v>
      </c>
      <c r="J49" s="57">
        <f t="shared" si="11"/>
        <v>19.100000000000001</v>
      </c>
      <c r="P49" s="97">
        <v>0</v>
      </c>
      <c r="Q49" s="98">
        <v>19.101381</v>
      </c>
    </row>
    <row r="50" spans="1:17" ht="28.8" x14ac:dyDescent="0.3">
      <c r="A50" s="12" t="s">
        <v>100</v>
      </c>
      <c r="B50" s="13" t="s">
        <v>101</v>
      </c>
      <c r="C50" s="14">
        <v>1</v>
      </c>
      <c r="D50" s="15" t="s">
        <v>36</v>
      </c>
      <c r="E50" s="95">
        <f t="shared" si="5"/>
        <v>3.58</v>
      </c>
      <c r="F50" s="96">
        <f t="shared" si="6"/>
        <v>7.9</v>
      </c>
      <c r="G50" s="16">
        <f t="shared" si="8"/>
        <v>11.48</v>
      </c>
      <c r="H50" s="16">
        <f t="shared" si="9"/>
        <v>3.58</v>
      </c>
      <c r="I50" s="16">
        <f t="shared" si="10"/>
        <v>7.9</v>
      </c>
      <c r="J50" s="57">
        <f t="shared" si="11"/>
        <v>11.48</v>
      </c>
      <c r="P50" s="97">
        <v>3.5830859999999998</v>
      </c>
      <c r="Q50" s="98">
        <v>7.8979290000000004</v>
      </c>
    </row>
    <row r="51" spans="1:17" x14ac:dyDescent="0.3">
      <c r="A51" s="12" t="s">
        <v>102</v>
      </c>
      <c r="B51" s="13" t="s">
        <v>103</v>
      </c>
      <c r="C51" s="14">
        <v>1</v>
      </c>
      <c r="D51" s="15" t="s">
        <v>11</v>
      </c>
      <c r="E51" s="95">
        <f t="shared" si="5"/>
        <v>0</v>
      </c>
      <c r="F51" s="96">
        <f t="shared" si="6"/>
        <v>26.98</v>
      </c>
      <c r="G51" s="16">
        <f t="shared" si="8"/>
        <v>26.98</v>
      </c>
      <c r="H51" s="16">
        <f t="shared" si="9"/>
        <v>0</v>
      </c>
      <c r="I51" s="16">
        <f t="shared" si="10"/>
        <v>26.98</v>
      </c>
      <c r="J51" s="57">
        <f t="shared" si="11"/>
        <v>26.98</v>
      </c>
      <c r="P51" s="97">
        <v>0</v>
      </c>
      <c r="Q51" s="98">
        <v>26.982487999999996</v>
      </c>
    </row>
    <row r="52" spans="1:17" x14ac:dyDescent="0.3">
      <c r="A52" s="12" t="s">
        <v>104</v>
      </c>
      <c r="B52" s="13" t="s">
        <v>105</v>
      </c>
      <c r="C52" s="14">
        <v>1</v>
      </c>
      <c r="D52" s="15" t="s">
        <v>36</v>
      </c>
      <c r="E52" s="95">
        <f t="shared" si="5"/>
        <v>3.9</v>
      </c>
      <c r="F52" s="96">
        <f t="shared" si="6"/>
        <v>3.01</v>
      </c>
      <c r="G52" s="16">
        <f t="shared" si="8"/>
        <v>6.91</v>
      </c>
      <c r="H52" s="16">
        <f t="shared" si="9"/>
        <v>3.9</v>
      </c>
      <c r="I52" s="16">
        <f t="shared" si="10"/>
        <v>3.01</v>
      </c>
      <c r="J52" s="57">
        <f t="shared" si="11"/>
        <v>6.91</v>
      </c>
      <c r="P52" s="99">
        <v>3.9027039999999995</v>
      </c>
      <c r="Q52" s="100">
        <v>3.0111379999999999</v>
      </c>
    </row>
    <row r="53" spans="1:17" x14ac:dyDescent="0.3">
      <c r="A53" s="17">
        <v>3</v>
      </c>
      <c r="B53" s="18" t="s">
        <v>106</v>
      </c>
      <c r="C53" s="7"/>
      <c r="D53" s="9"/>
      <c r="E53" s="95">
        <f t="shared" si="5"/>
        <v>0</v>
      </c>
      <c r="F53" s="96">
        <f t="shared" si="6"/>
        <v>0</v>
      </c>
      <c r="G53" s="11">
        <v>0</v>
      </c>
      <c r="H53" s="11">
        <v>0</v>
      </c>
      <c r="I53" s="11">
        <v>0</v>
      </c>
      <c r="J53" s="56">
        <v>0</v>
      </c>
      <c r="P53" s="87"/>
      <c r="Q53" s="88"/>
    </row>
    <row r="54" spans="1:17" x14ac:dyDescent="0.3">
      <c r="A54" s="17">
        <v>4</v>
      </c>
      <c r="B54" s="18" t="s">
        <v>107</v>
      </c>
      <c r="C54" s="7"/>
      <c r="D54" s="9"/>
      <c r="E54" s="95">
        <f t="shared" si="5"/>
        <v>0</v>
      </c>
      <c r="F54" s="96">
        <f t="shared" si="6"/>
        <v>0</v>
      </c>
      <c r="G54" s="11">
        <v>0</v>
      </c>
      <c r="H54" s="11">
        <v>0</v>
      </c>
      <c r="I54" s="11">
        <v>0</v>
      </c>
      <c r="J54" s="56">
        <v>0</v>
      </c>
      <c r="P54" s="87"/>
      <c r="Q54" s="88"/>
    </row>
    <row r="55" spans="1:17" x14ac:dyDescent="0.3">
      <c r="A55" s="17">
        <v>5</v>
      </c>
      <c r="B55" s="18" t="s">
        <v>108</v>
      </c>
      <c r="C55" s="7"/>
      <c r="D55" s="9"/>
      <c r="E55" s="95">
        <f t="shared" si="5"/>
        <v>0</v>
      </c>
      <c r="F55" s="96">
        <f t="shared" si="6"/>
        <v>0</v>
      </c>
      <c r="G55" s="11">
        <f t="shared" ref="G55:I55" si="12">SUBTOTAL(109,G56:G59)</f>
        <v>1556.3300000000002</v>
      </c>
      <c r="H55" s="11">
        <f t="shared" si="12"/>
        <v>1378.65</v>
      </c>
      <c r="I55" s="11">
        <f t="shared" si="12"/>
        <v>177.68</v>
      </c>
      <c r="J55" s="56">
        <f>SUBTOTAL(109,J56:J59)</f>
        <v>1556.3300000000002</v>
      </c>
      <c r="P55" s="87"/>
      <c r="Q55" s="88"/>
    </row>
    <row r="56" spans="1:17" x14ac:dyDescent="0.3">
      <c r="A56" s="21" t="s">
        <v>109</v>
      </c>
      <c r="B56" s="13" t="s">
        <v>110</v>
      </c>
      <c r="C56" s="14">
        <v>1</v>
      </c>
      <c r="D56" s="15" t="s">
        <v>29</v>
      </c>
      <c r="E56" s="95">
        <f t="shared" si="5"/>
        <v>1011.06</v>
      </c>
      <c r="F56" s="96">
        <f t="shared" si="6"/>
        <v>51.57</v>
      </c>
      <c r="G56" s="16">
        <f t="shared" ref="G56:G59" si="13">SUM(E56:F56)</f>
        <v>1062.6299999999999</v>
      </c>
      <c r="H56" s="16">
        <f>C56*E56</f>
        <v>1011.06</v>
      </c>
      <c r="I56" s="16">
        <f>C56*F56</f>
        <v>51.57</v>
      </c>
      <c r="J56" s="57">
        <f>SUM(E56:F56)*C56</f>
        <v>1062.6299999999999</v>
      </c>
      <c r="P56" s="97">
        <v>1011.0610769999998</v>
      </c>
      <c r="Q56" s="98">
        <v>51.567841000000001</v>
      </c>
    </row>
    <row r="57" spans="1:17" x14ac:dyDescent="0.3">
      <c r="A57" s="21" t="s">
        <v>111</v>
      </c>
      <c r="B57" s="13" t="s">
        <v>112</v>
      </c>
      <c r="C57" s="14">
        <v>1</v>
      </c>
      <c r="D57" s="15" t="s">
        <v>36</v>
      </c>
      <c r="E57" s="95">
        <f t="shared" si="5"/>
        <v>157.71</v>
      </c>
      <c r="F57" s="96">
        <f t="shared" si="6"/>
        <v>53.43</v>
      </c>
      <c r="G57" s="16">
        <f t="shared" si="13"/>
        <v>211.14000000000001</v>
      </c>
      <c r="H57" s="16">
        <f>C57*E57</f>
        <v>157.71</v>
      </c>
      <c r="I57" s="16">
        <f>C57*F57</f>
        <v>53.43</v>
      </c>
      <c r="J57" s="57">
        <f>SUM(E57:F57)*C57</f>
        <v>211.14000000000001</v>
      </c>
      <c r="P57" s="97">
        <v>157.71466099999998</v>
      </c>
      <c r="Q57" s="98">
        <v>53.426672000000003</v>
      </c>
    </row>
    <row r="58" spans="1:17" x14ac:dyDescent="0.3">
      <c r="A58" s="21" t="s">
        <v>113</v>
      </c>
      <c r="B58" s="13" t="s">
        <v>114</v>
      </c>
      <c r="C58" s="14">
        <v>1</v>
      </c>
      <c r="D58" s="15" t="s">
        <v>36</v>
      </c>
      <c r="E58" s="95">
        <f t="shared" si="5"/>
        <v>123.98</v>
      </c>
      <c r="F58" s="96">
        <f t="shared" si="6"/>
        <v>46.19</v>
      </c>
      <c r="G58" s="16">
        <f t="shared" si="13"/>
        <v>170.17000000000002</v>
      </c>
      <c r="H58" s="16">
        <f>C58*E58</f>
        <v>123.98</v>
      </c>
      <c r="I58" s="16">
        <f>C58*F58</f>
        <v>46.19</v>
      </c>
      <c r="J58" s="57">
        <f>SUM(E58:F58)*C58</f>
        <v>170.17000000000002</v>
      </c>
      <c r="P58" s="97">
        <v>123.97814</v>
      </c>
      <c r="Q58" s="98">
        <v>46.193212000000003</v>
      </c>
    </row>
    <row r="59" spans="1:17" x14ac:dyDescent="0.3">
      <c r="A59" s="21" t="s">
        <v>115</v>
      </c>
      <c r="B59" s="13" t="s">
        <v>116</v>
      </c>
      <c r="C59" s="14">
        <v>1</v>
      </c>
      <c r="D59" s="15" t="s">
        <v>36</v>
      </c>
      <c r="E59" s="95">
        <f t="shared" si="5"/>
        <v>85.9</v>
      </c>
      <c r="F59" s="96">
        <f t="shared" si="6"/>
        <v>26.49</v>
      </c>
      <c r="G59" s="16">
        <f t="shared" si="13"/>
        <v>112.39</v>
      </c>
      <c r="H59" s="16">
        <f>C59*E59</f>
        <v>85.9</v>
      </c>
      <c r="I59" s="16">
        <f>C59*F59</f>
        <v>26.49</v>
      </c>
      <c r="J59" s="57">
        <f>SUM(E59:F59)*C59</f>
        <v>112.39</v>
      </c>
      <c r="P59" s="97">
        <v>85.90154299999999</v>
      </c>
      <c r="Q59" s="98">
        <v>26.49465</v>
      </c>
    </row>
    <row r="60" spans="1:17" x14ac:dyDescent="0.3">
      <c r="A60" s="17">
        <v>6</v>
      </c>
      <c r="B60" s="18" t="s">
        <v>117</v>
      </c>
      <c r="C60" s="7"/>
      <c r="D60" s="9"/>
      <c r="E60" s="95">
        <f t="shared" si="5"/>
        <v>0</v>
      </c>
      <c r="F60" s="96">
        <f t="shared" si="6"/>
        <v>0</v>
      </c>
      <c r="G60" s="11">
        <f>SUBTOTAL(109,G61:G63)</f>
        <v>311.58000000000004</v>
      </c>
      <c r="H60" s="11">
        <f t="shared" ref="H60:I60" si="14">SUBTOTAL(109,H61:H63)</f>
        <v>9523.5300000000025</v>
      </c>
      <c r="I60" s="11">
        <f t="shared" si="14"/>
        <v>3803.2000000000003</v>
      </c>
      <c r="J60" s="56">
        <f>SUBTOTAL(109,J61:J63)</f>
        <v>13326.730000000001</v>
      </c>
      <c r="P60" s="87"/>
      <c r="Q60" s="88"/>
    </row>
    <row r="61" spans="1:17" x14ac:dyDescent="0.3">
      <c r="A61" s="21" t="s">
        <v>118</v>
      </c>
      <c r="B61" s="13" t="s">
        <v>119</v>
      </c>
      <c r="C61" s="14">
        <v>69</v>
      </c>
      <c r="D61" s="15" t="s">
        <v>36</v>
      </c>
      <c r="E61" s="95">
        <f t="shared" si="5"/>
        <v>33.270000000000003</v>
      </c>
      <c r="F61" s="96">
        <f t="shared" si="6"/>
        <v>38.28</v>
      </c>
      <c r="G61" s="16">
        <f t="shared" ref="G61:G63" si="15">SUM(E61:F61)</f>
        <v>71.550000000000011</v>
      </c>
      <c r="H61" s="16">
        <f>C61*E61</f>
        <v>2295.63</v>
      </c>
      <c r="I61" s="16">
        <f>C61*F61</f>
        <v>2641.32</v>
      </c>
      <c r="J61" s="57">
        <f>SUM(E61:F61)*C61</f>
        <v>4936.9500000000007</v>
      </c>
      <c r="P61" s="97">
        <v>33.273916</v>
      </c>
      <c r="Q61" s="98">
        <v>38.278460999999993</v>
      </c>
    </row>
    <row r="62" spans="1:17" x14ac:dyDescent="0.3">
      <c r="A62" s="21" t="s">
        <v>120</v>
      </c>
      <c r="B62" s="13" t="s">
        <v>121</v>
      </c>
      <c r="C62" s="14">
        <v>38</v>
      </c>
      <c r="D62" s="15" t="s">
        <v>36</v>
      </c>
      <c r="E62" s="95">
        <f t="shared" si="5"/>
        <v>174.33</v>
      </c>
      <c r="F62" s="96">
        <f t="shared" si="6"/>
        <v>13.46</v>
      </c>
      <c r="G62" s="16">
        <f t="shared" si="15"/>
        <v>187.79000000000002</v>
      </c>
      <c r="H62" s="16">
        <f>C62*E62</f>
        <v>6624.5400000000009</v>
      </c>
      <c r="I62" s="16">
        <f>C62*F62</f>
        <v>511.48</v>
      </c>
      <c r="J62" s="57">
        <f>SUM(E62:F62)*C62</f>
        <v>7136.02</v>
      </c>
      <c r="P62" s="97">
        <v>174.33479700000001</v>
      </c>
      <c r="Q62" s="98">
        <v>13.457599999999999</v>
      </c>
    </row>
    <row r="63" spans="1:17" x14ac:dyDescent="0.3">
      <c r="A63" s="21" t="s">
        <v>122</v>
      </c>
      <c r="B63" s="13" t="s">
        <v>123</v>
      </c>
      <c r="C63" s="14">
        <v>24</v>
      </c>
      <c r="D63" s="15" t="s">
        <v>51</v>
      </c>
      <c r="E63" s="95">
        <f t="shared" si="5"/>
        <v>25.14</v>
      </c>
      <c r="F63" s="96">
        <f t="shared" si="6"/>
        <v>27.1</v>
      </c>
      <c r="G63" s="16">
        <f t="shared" si="15"/>
        <v>52.24</v>
      </c>
      <c r="H63" s="16">
        <f>C63*E63</f>
        <v>603.36</v>
      </c>
      <c r="I63" s="16">
        <f>C63*F63</f>
        <v>650.40000000000009</v>
      </c>
      <c r="J63" s="57">
        <f>SUM(E63:F63)*C63</f>
        <v>1253.76</v>
      </c>
      <c r="P63" s="97">
        <v>25.140478999999999</v>
      </c>
      <c r="Q63" s="98">
        <v>27.100241999999998</v>
      </c>
    </row>
    <row r="64" spans="1:17" x14ac:dyDescent="0.3">
      <c r="A64" s="17">
        <v>7</v>
      </c>
      <c r="B64" s="18" t="s">
        <v>124</v>
      </c>
      <c r="C64" s="7"/>
      <c r="D64" s="9"/>
      <c r="E64" s="95">
        <f t="shared" si="5"/>
        <v>0</v>
      </c>
      <c r="F64" s="96">
        <f t="shared" si="6"/>
        <v>0</v>
      </c>
      <c r="G64" s="11">
        <f t="shared" ref="G64:I64" si="16">SUBTOTAL(109,G65:G79)</f>
        <v>1457.33</v>
      </c>
      <c r="H64" s="11">
        <f t="shared" si="16"/>
        <v>96390.6</v>
      </c>
      <c r="I64" s="11">
        <f t="shared" si="16"/>
        <v>15889.46</v>
      </c>
      <c r="J64" s="56">
        <f>SUBTOTAL(109,J65:J79)</f>
        <v>112280.05999999998</v>
      </c>
      <c r="P64" s="87"/>
      <c r="Q64" s="88"/>
    </row>
    <row r="65" spans="1:17" x14ac:dyDescent="0.3">
      <c r="A65" s="21" t="s">
        <v>125</v>
      </c>
      <c r="B65" s="13" t="s">
        <v>126</v>
      </c>
      <c r="C65" s="14">
        <v>17</v>
      </c>
      <c r="D65" s="15" t="s">
        <v>36</v>
      </c>
      <c r="E65" s="95">
        <f t="shared" si="5"/>
        <v>89.24</v>
      </c>
      <c r="F65" s="96">
        <f t="shared" si="6"/>
        <v>12.72</v>
      </c>
      <c r="G65" s="16">
        <f t="shared" ref="G65:G79" si="17">SUM(E65:F65)</f>
        <v>101.96</v>
      </c>
      <c r="H65" s="16">
        <f t="shared" ref="H65:H79" si="18">C65*E65</f>
        <v>1517.08</v>
      </c>
      <c r="I65" s="16">
        <f t="shared" ref="I65:I79" si="19">C65*F65</f>
        <v>216.24</v>
      </c>
      <c r="J65" s="57">
        <f t="shared" ref="J65:J79" si="20">SUM(E65:F65)*C65</f>
        <v>1733.32</v>
      </c>
      <c r="P65" s="97">
        <v>89.240709999999993</v>
      </c>
      <c r="Q65" s="98">
        <v>12.717431999999999</v>
      </c>
    </row>
    <row r="66" spans="1:17" x14ac:dyDescent="0.3">
      <c r="A66" s="21" t="s">
        <v>127</v>
      </c>
      <c r="B66" s="13" t="s">
        <v>128</v>
      </c>
      <c r="C66" s="14">
        <v>1</v>
      </c>
      <c r="D66" s="15" t="s">
        <v>36</v>
      </c>
      <c r="E66" s="95">
        <f t="shared" si="5"/>
        <v>212.33</v>
      </c>
      <c r="F66" s="96">
        <f t="shared" si="6"/>
        <v>9.18</v>
      </c>
      <c r="G66" s="16">
        <f t="shared" si="17"/>
        <v>221.51000000000002</v>
      </c>
      <c r="H66" s="16">
        <f t="shared" si="18"/>
        <v>212.33</v>
      </c>
      <c r="I66" s="16">
        <f t="shared" si="19"/>
        <v>9.18</v>
      </c>
      <c r="J66" s="57">
        <f t="shared" si="20"/>
        <v>221.51000000000002</v>
      </c>
      <c r="P66" s="97">
        <v>212.32728399999999</v>
      </c>
      <c r="Q66" s="98">
        <v>9.1764010000000003</v>
      </c>
    </row>
    <row r="67" spans="1:17" x14ac:dyDescent="0.3">
      <c r="A67" s="21" t="s">
        <v>129</v>
      </c>
      <c r="B67" s="13" t="s">
        <v>130</v>
      </c>
      <c r="C67" s="14">
        <v>1</v>
      </c>
      <c r="D67" s="15" t="s">
        <v>51</v>
      </c>
      <c r="E67" s="95">
        <f t="shared" si="5"/>
        <v>139.69999999999999</v>
      </c>
      <c r="F67" s="96">
        <f t="shared" si="6"/>
        <v>5</v>
      </c>
      <c r="G67" s="16">
        <f t="shared" si="17"/>
        <v>144.69999999999999</v>
      </c>
      <c r="H67" s="16">
        <f t="shared" si="18"/>
        <v>139.69999999999999</v>
      </c>
      <c r="I67" s="16">
        <f t="shared" si="19"/>
        <v>5</v>
      </c>
      <c r="J67" s="57">
        <f t="shared" si="20"/>
        <v>144.69999999999999</v>
      </c>
      <c r="P67" s="97">
        <v>139.69829899999999</v>
      </c>
      <c r="Q67" s="98">
        <v>5.0045450000000002</v>
      </c>
    </row>
    <row r="68" spans="1:17" x14ac:dyDescent="0.3">
      <c r="A68" s="21" t="s">
        <v>131</v>
      </c>
      <c r="B68" s="13" t="s">
        <v>132</v>
      </c>
      <c r="C68" s="14">
        <v>26</v>
      </c>
      <c r="D68" s="15" t="s">
        <v>36</v>
      </c>
      <c r="E68" s="95">
        <f t="shared" si="5"/>
        <v>31.93</v>
      </c>
      <c r="F68" s="96">
        <f t="shared" si="6"/>
        <v>9.7200000000000006</v>
      </c>
      <c r="G68" s="16">
        <f t="shared" si="17"/>
        <v>41.65</v>
      </c>
      <c r="H68" s="16">
        <f t="shared" si="18"/>
        <v>830.18</v>
      </c>
      <c r="I68" s="16">
        <f t="shared" si="19"/>
        <v>252.72000000000003</v>
      </c>
      <c r="J68" s="57">
        <f t="shared" si="20"/>
        <v>1082.8999999999999</v>
      </c>
      <c r="P68" s="97">
        <v>31.928155999999998</v>
      </c>
      <c r="Q68" s="98">
        <v>9.7231159999999992</v>
      </c>
    </row>
    <row r="69" spans="1:17" x14ac:dyDescent="0.3">
      <c r="A69" s="21" t="s">
        <v>133</v>
      </c>
      <c r="B69" s="13" t="s">
        <v>134</v>
      </c>
      <c r="C69" s="14">
        <v>1</v>
      </c>
      <c r="D69" s="15" t="s">
        <v>51</v>
      </c>
      <c r="E69" s="95">
        <f t="shared" si="5"/>
        <v>14.17</v>
      </c>
      <c r="F69" s="96">
        <f t="shared" si="6"/>
        <v>21.25</v>
      </c>
      <c r="G69" s="16">
        <f t="shared" si="17"/>
        <v>35.42</v>
      </c>
      <c r="H69" s="16">
        <f t="shared" si="18"/>
        <v>14.17</v>
      </c>
      <c r="I69" s="16">
        <f t="shared" si="19"/>
        <v>21.25</v>
      </c>
      <c r="J69" s="57">
        <f t="shared" si="20"/>
        <v>35.42</v>
      </c>
      <c r="P69" s="97">
        <v>14.172535</v>
      </c>
      <c r="Q69" s="98">
        <v>21.254596999999997</v>
      </c>
    </row>
    <row r="70" spans="1:17" x14ac:dyDescent="0.3">
      <c r="A70" s="21" t="s">
        <v>135</v>
      </c>
      <c r="B70" s="13" t="s">
        <v>136</v>
      </c>
      <c r="C70" s="14">
        <v>84</v>
      </c>
      <c r="D70" s="15" t="s">
        <v>51</v>
      </c>
      <c r="E70" s="95">
        <f t="shared" si="5"/>
        <v>85.72</v>
      </c>
      <c r="F70" s="96">
        <f t="shared" si="6"/>
        <v>23.05</v>
      </c>
      <c r="G70" s="16">
        <f t="shared" si="17"/>
        <v>108.77</v>
      </c>
      <c r="H70" s="16">
        <f t="shared" si="18"/>
        <v>7200.48</v>
      </c>
      <c r="I70" s="16">
        <f t="shared" si="19"/>
        <v>1936.2</v>
      </c>
      <c r="J70" s="57">
        <f t="shared" si="20"/>
        <v>9136.68</v>
      </c>
      <c r="P70" s="97">
        <v>85.724912000000003</v>
      </c>
      <c r="Q70" s="98">
        <v>23.054551</v>
      </c>
    </row>
    <row r="71" spans="1:17" x14ac:dyDescent="0.3">
      <c r="A71" s="21" t="s">
        <v>137</v>
      </c>
      <c r="B71" s="13" t="s">
        <v>138</v>
      </c>
      <c r="C71" s="14">
        <v>87</v>
      </c>
      <c r="D71" s="15" t="s">
        <v>36</v>
      </c>
      <c r="E71" s="95">
        <f t="shared" si="5"/>
        <v>48.81</v>
      </c>
      <c r="F71" s="96">
        <f t="shared" si="6"/>
        <v>6.08</v>
      </c>
      <c r="G71" s="16">
        <f t="shared" si="17"/>
        <v>54.89</v>
      </c>
      <c r="H71" s="16">
        <f t="shared" si="18"/>
        <v>4246.47</v>
      </c>
      <c r="I71" s="16">
        <f t="shared" si="19"/>
        <v>528.96</v>
      </c>
      <c r="J71" s="57">
        <f t="shared" si="20"/>
        <v>4775.43</v>
      </c>
      <c r="P71" s="97">
        <v>48.809032999999999</v>
      </c>
      <c r="Q71" s="98">
        <v>6.0811530000000005</v>
      </c>
    </row>
    <row r="72" spans="1:17" x14ac:dyDescent="0.3">
      <c r="A72" s="21" t="s">
        <v>139</v>
      </c>
      <c r="B72" s="13" t="s">
        <v>140</v>
      </c>
      <c r="C72" s="14">
        <v>695</v>
      </c>
      <c r="D72" s="15" t="s">
        <v>51</v>
      </c>
      <c r="E72" s="95">
        <f t="shared" si="5"/>
        <v>56.29</v>
      </c>
      <c r="F72" s="96">
        <f t="shared" si="6"/>
        <v>9.66</v>
      </c>
      <c r="G72" s="16">
        <f t="shared" si="17"/>
        <v>65.95</v>
      </c>
      <c r="H72" s="16">
        <f t="shared" si="18"/>
        <v>39121.550000000003</v>
      </c>
      <c r="I72" s="16">
        <f t="shared" si="19"/>
        <v>6713.7</v>
      </c>
      <c r="J72" s="57">
        <f t="shared" si="20"/>
        <v>45835.25</v>
      </c>
      <c r="P72" s="97">
        <v>56.286411999999999</v>
      </c>
      <c r="Q72" s="98">
        <v>9.6642390000000002</v>
      </c>
    </row>
    <row r="73" spans="1:17" x14ac:dyDescent="0.3">
      <c r="A73" s="21" t="s">
        <v>141</v>
      </c>
      <c r="B73" s="13" t="s">
        <v>142</v>
      </c>
      <c r="C73" s="14">
        <v>540</v>
      </c>
      <c r="D73" s="15" t="s">
        <v>51</v>
      </c>
      <c r="E73" s="95">
        <f t="shared" si="5"/>
        <v>49.24</v>
      </c>
      <c r="F73" s="96">
        <f t="shared" si="6"/>
        <v>6.51</v>
      </c>
      <c r="G73" s="16">
        <f t="shared" si="17"/>
        <v>55.75</v>
      </c>
      <c r="H73" s="16">
        <f t="shared" si="18"/>
        <v>26589.600000000002</v>
      </c>
      <c r="I73" s="16">
        <f t="shared" si="19"/>
        <v>3515.4</v>
      </c>
      <c r="J73" s="57">
        <f t="shared" si="20"/>
        <v>30105</v>
      </c>
      <c r="P73" s="97">
        <v>49.237993999999993</v>
      </c>
      <c r="Q73" s="98">
        <v>6.5101139999999997</v>
      </c>
    </row>
    <row r="74" spans="1:17" x14ac:dyDescent="0.3">
      <c r="A74" s="21" t="s">
        <v>143</v>
      </c>
      <c r="B74" s="13" t="s">
        <v>144</v>
      </c>
      <c r="C74" s="14">
        <v>269</v>
      </c>
      <c r="D74" s="15" t="s">
        <v>51</v>
      </c>
      <c r="E74" s="95">
        <f t="shared" ref="E74:E137" si="21">ROUND(P74,2)</f>
        <v>59.94</v>
      </c>
      <c r="F74" s="96">
        <f t="shared" ref="F74:F137" si="22">ROUND(Q74,2)</f>
        <v>9.4</v>
      </c>
      <c r="G74" s="16">
        <f t="shared" si="17"/>
        <v>69.34</v>
      </c>
      <c r="H74" s="16">
        <f t="shared" si="18"/>
        <v>16123.859999999999</v>
      </c>
      <c r="I74" s="16">
        <f t="shared" si="19"/>
        <v>2528.6</v>
      </c>
      <c r="J74" s="57">
        <f t="shared" si="20"/>
        <v>18652.46</v>
      </c>
      <c r="P74" s="97">
        <v>59.936785999999998</v>
      </c>
      <c r="Q74" s="98">
        <v>9.403497999999999</v>
      </c>
    </row>
    <row r="75" spans="1:17" x14ac:dyDescent="0.3">
      <c r="A75" s="21" t="s">
        <v>145</v>
      </c>
      <c r="B75" s="13" t="s">
        <v>146</v>
      </c>
      <c r="C75" s="14">
        <v>1</v>
      </c>
      <c r="D75" s="15" t="s">
        <v>36</v>
      </c>
      <c r="E75" s="95">
        <f t="shared" si="21"/>
        <v>120.01</v>
      </c>
      <c r="F75" s="96">
        <f t="shared" si="22"/>
        <v>24.15</v>
      </c>
      <c r="G75" s="16">
        <f t="shared" si="17"/>
        <v>144.16</v>
      </c>
      <c r="H75" s="16">
        <f t="shared" si="18"/>
        <v>120.01</v>
      </c>
      <c r="I75" s="16">
        <f t="shared" si="19"/>
        <v>24.15</v>
      </c>
      <c r="J75" s="57">
        <f t="shared" si="20"/>
        <v>144.16</v>
      </c>
      <c r="P75" s="97">
        <v>120.00814800000001</v>
      </c>
      <c r="Q75" s="98">
        <v>24.147980999999998</v>
      </c>
    </row>
    <row r="76" spans="1:17" x14ac:dyDescent="0.3">
      <c r="A76" s="21" t="s">
        <v>147</v>
      </c>
      <c r="B76" s="13" t="s">
        <v>148</v>
      </c>
      <c r="C76" s="14">
        <v>1</v>
      </c>
      <c r="D76" s="15" t="s">
        <v>36</v>
      </c>
      <c r="E76" s="95">
        <f t="shared" si="21"/>
        <v>89.33</v>
      </c>
      <c r="F76" s="96">
        <f t="shared" si="22"/>
        <v>96.89</v>
      </c>
      <c r="G76" s="16">
        <f t="shared" si="17"/>
        <v>186.22</v>
      </c>
      <c r="H76" s="16">
        <f t="shared" si="18"/>
        <v>89.33</v>
      </c>
      <c r="I76" s="16">
        <f t="shared" si="19"/>
        <v>96.89</v>
      </c>
      <c r="J76" s="57">
        <f t="shared" si="20"/>
        <v>186.22</v>
      </c>
      <c r="P76" s="97">
        <v>89.333230999999984</v>
      </c>
      <c r="Q76" s="98">
        <v>96.886308999999997</v>
      </c>
    </row>
    <row r="77" spans="1:17" x14ac:dyDescent="0.3">
      <c r="A77" s="21" t="s">
        <v>149</v>
      </c>
      <c r="B77" s="13" t="s">
        <v>150</v>
      </c>
      <c r="C77" s="14">
        <v>1</v>
      </c>
      <c r="D77" s="15" t="s">
        <v>36</v>
      </c>
      <c r="E77" s="95">
        <f t="shared" si="21"/>
        <v>2.67</v>
      </c>
      <c r="F77" s="96">
        <f t="shared" si="22"/>
        <v>6.08</v>
      </c>
      <c r="G77" s="16">
        <f t="shared" si="17"/>
        <v>8.75</v>
      </c>
      <c r="H77" s="16">
        <f t="shared" si="18"/>
        <v>2.67</v>
      </c>
      <c r="I77" s="16">
        <f t="shared" si="19"/>
        <v>6.08</v>
      </c>
      <c r="J77" s="57">
        <f t="shared" si="20"/>
        <v>8.75</v>
      </c>
      <c r="P77" s="97">
        <v>2.6662869999999996</v>
      </c>
      <c r="Q77" s="98">
        <v>6.0811530000000005</v>
      </c>
    </row>
    <row r="78" spans="1:17" x14ac:dyDescent="0.3">
      <c r="A78" s="21" t="s">
        <v>151</v>
      </c>
      <c r="B78" s="13" t="s">
        <v>152</v>
      </c>
      <c r="C78" s="14">
        <v>1</v>
      </c>
      <c r="D78" s="15" t="s">
        <v>36</v>
      </c>
      <c r="E78" s="95">
        <f t="shared" si="21"/>
        <v>168.88</v>
      </c>
      <c r="F78" s="96">
        <f t="shared" si="22"/>
        <v>29.01</v>
      </c>
      <c r="G78" s="16">
        <f t="shared" si="17"/>
        <v>197.89</v>
      </c>
      <c r="H78" s="16">
        <f t="shared" si="18"/>
        <v>168.88</v>
      </c>
      <c r="I78" s="16">
        <f t="shared" si="19"/>
        <v>29.01</v>
      </c>
      <c r="J78" s="57">
        <f t="shared" si="20"/>
        <v>197.89</v>
      </c>
      <c r="P78" s="97">
        <v>168.876058</v>
      </c>
      <c r="Q78" s="98">
        <v>29.009539</v>
      </c>
    </row>
    <row r="79" spans="1:17" x14ac:dyDescent="0.3">
      <c r="A79" s="21" t="s">
        <v>153</v>
      </c>
      <c r="B79" s="13" t="s">
        <v>154</v>
      </c>
      <c r="C79" s="14">
        <v>1</v>
      </c>
      <c r="D79" s="15" t="s">
        <v>11</v>
      </c>
      <c r="E79" s="95">
        <f t="shared" si="21"/>
        <v>14.29</v>
      </c>
      <c r="F79" s="96">
        <f t="shared" si="22"/>
        <v>6.08</v>
      </c>
      <c r="G79" s="16">
        <f t="shared" si="17"/>
        <v>20.369999999999997</v>
      </c>
      <c r="H79" s="16">
        <f t="shared" si="18"/>
        <v>14.29</v>
      </c>
      <c r="I79" s="16">
        <f t="shared" si="19"/>
        <v>6.08</v>
      </c>
      <c r="J79" s="57">
        <f t="shared" si="20"/>
        <v>20.369999999999997</v>
      </c>
      <c r="P79" s="97">
        <v>14.290288999999998</v>
      </c>
      <c r="Q79" s="98">
        <v>6.0811530000000005</v>
      </c>
    </row>
    <row r="80" spans="1:17" x14ac:dyDescent="0.3">
      <c r="A80" s="17">
        <v>8</v>
      </c>
      <c r="B80" s="18" t="s">
        <v>155</v>
      </c>
      <c r="C80" s="9"/>
      <c r="D80" s="9"/>
      <c r="E80" s="95">
        <f t="shared" si="21"/>
        <v>0</v>
      </c>
      <c r="F80" s="96">
        <f t="shared" si="22"/>
        <v>0</v>
      </c>
      <c r="G80" s="11">
        <f t="shared" ref="G80:I80" si="23">SUBTOTAL(109,G81:G87)</f>
        <v>755.71</v>
      </c>
      <c r="H80" s="11">
        <f t="shared" si="23"/>
        <v>133007.15</v>
      </c>
      <c r="I80" s="11">
        <f t="shared" si="23"/>
        <v>73505.140000000014</v>
      </c>
      <c r="J80" s="56">
        <f>SUBTOTAL(109,J81:J87)</f>
        <v>206512.28999999998</v>
      </c>
      <c r="P80" s="87"/>
      <c r="Q80" s="88"/>
    </row>
    <row r="81" spans="1:17" x14ac:dyDescent="0.3">
      <c r="A81" s="21" t="s">
        <v>156</v>
      </c>
      <c r="B81" s="13" t="s">
        <v>157</v>
      </c>
      <c r="C81" s="14">
        <v>36</v>
      </c>
      <c r="D81" s="15" t="s">
        <v>36</v>
      </c>
      <c r="E81" s="95">
        <f t="shared" si="21"/>
        <v>29.21</v>
      </c>
      <c r="F81" s="96">
        <f t="shared" si="22"/>
        <v>17.55</v>
      </c>
      <c r="G81" s="16">
        <f t="shared" ref="G81:G87" si="24">SUM(E81:F81)</f>
        <v>46.760000000000005</v>
      </c>
      <c r="H81" s="16">
        <f t="shared" ref="H81:H87" si="25">C81*E81</f>
        <v>1051.56</v>
      </c>
      <c r="I81" s="16">
        <f t="shared" ref="I81:I87" si="26">C81*F81</f>
        <v>631.80000000000007</v>
      </c>
      <c r="J81" s="57">
        <f t="shared" ref="J81:J87" si="27">SUM(E81:F81)*C81</f>
        <v>1683.3600000000001</v>
      </c>
      <c r="P81" s="97">
        <v>29.211402999999997</v>
      </c>
      <c r="Q81" s="98">
        <v>17.553757000000001</v>
      </c>
    </row>
    <row r="82" spans="1:17" x14ac:dyDescent="0.3">
      <c r="A82" s="21" t="s">
        <v>158</v>
      </c>
      <c r="B82" s="13" t="s">
        <v>159</v>
      </c>
      <c r="C82" s="14">
        <v>148</v>
      </c>
      <c r="D82" s="15" t="s">
        <v>36</v>
      </c>
      <c r="E82" s="95">
        <f t="shared" si="21"/>
        <v>120.02</v>
      </c>
      <c r="F82" s="96">
        <f t="shared" si="22"/>
        <v>16.510000000000002</v>
      </c>
      <c r="G82" s="16">
        <f t="shared" si="24"/>
        <v>136.53</v>
      </c>
      <c r="H82" s="16">
        <f t="shared" si="25"/>
        <v>17762.96</v>
      </c>
      <c r="I82" s="16">
        <f t="shared" si="26"/>
        <v>2443.48</v>
      </c>
      <c r="J82" s="57">
        <f t="shared" si="27"/>
        <v>20206.439999999999</v>
      </c>
      <c r="P82" s="97">
        <v>120.01655899999999</v>
      </c>
      <c r="Q82" s="98">
        <v>16.510793</v>
      </c>
    </row>
    <row r="83" spans="1:17" ht="28.8" x14ac:dyDescent="0.3">
      <c r="A83" s="21" t="s">
        <v>160</v>
      </c>
      <c r="B83" s="13" t="s">
        <v>161</v>
      </c>
      <c r="C83" s="14">
        <v>118</v>
      </c>
      <c r="D83" s="15" t="s">
        <v>36</v>
      </c>
      <c r="E83" s="95">
        <f t="shared" si="21"/>
        <v>135.87</v>
      </c>
      <c r="F83" s="96">
        <f t="shared" si="22"/>
        <v>25.29</v>
      </c>
      <c r="G83" s="16">
        <f t="shared" si="24"/>
        <v>161.16</v>
      </c>
      <c r="H83" s="16">
        <f t="shared" si="25"/>
        <v>16032.66</v>
      </c>
      <c r="I83" s="16">
        <f t="shared" si="26"/>
        <v>2984.22</v>
      </c>
      <c r="J83" s="57">
        <f t="shared" si="27"/>
        <v>19016.88</v>
      </c>
      <c r="P83" s="97">
        <v>135.87129399999998</v>
      </c>
      <c r="Q83" s="98">
        <v>25.291876999999999</v>
      </c>
    </row>
    <row r="84" spans="1:17" ht="28.8" x14ac:dyDescent="0.3">
      <c r="A84" s="21" t="s">
        <v>162</v>
      </c>
      <c r="B84" s="13" t="s">
        <v>163</v>
      </c>
      <c r="C84" s="14">
        <v>1</v>
      </c>
      <c r="D84" s="15" t="s">
        <v>36</v>
      </c>
      <c r="E84" s="95">
        <f t="shared" si="21"/>
        <v>71.52</v>
      </c>
      <c r="F84" s="96">
        <f t="shared" si="22"/>
        <v>16.760000000000002</v>
      </c>
      <c r="G84" s="16">
        <f t="shared" si="24"/>
        <v>88.28</v>
      </c>
      <c r="H84" s="16">
        <f t="shared" si="25"/>
        <v>71.52</v>
      </c>
      <c r="I84" s="16">
        <f t="shared" si="26"/>
        <v>16.760000000000002</v>
      </c>
      <c r="J84" s="57">
        <f t="shared" si="27"/>
        <v>88.28</v>
      </c>
      <c r="P84" s="97">
        <v>71.518732999999997</v>
      </c>
      <c r="Q84" s="98">
        <v>16.763123</v>
      </c>
    </row>
    <row r="85" spans="1:17" x14ac:dyDescent="0.3">
      <c r="A85" s="21" t="s">
        <v>164</v>
      </c>
      <c r="B85" s="13" t="s">
        <v>165</v>
      </c>
      <c r="C85" s="14">
        <v>1352</v>
      </c>
      <c r="D85" s="15" t="s">
        <v>36</v>
      </c>
      <c r="E85" s="95">
        <f t="shared" si="21"/>
        <v>67.959999999999994</v>
      </c>
      <c r="F85" s="96">
        <f t="shared" si="22"/>
        <v>44.78</v>
      </c>
      <c r="G85" s="16">
        <f t="shared" si="24"/>
        <v>112.74</v>
      </c>
      <c r="H85" s="16">
        <f t="shared" si="25"/>
        <v>91881.919999999998</v>
      </c>
      <c r="I85" s="16">
        <f t="shared" si="26"/>
        <v>60542.560000000005</v>
      </c>
      <c r="J85" s="57">
        <f t="shared" si="27"/>
        <v>152424.47999999998</v>
      </c>
      <c r="P85" s="97">
        <v>67.960879999999989</v>
      </c>
      <c r="Q85" s="98">
        <v>44.780163999999999</v>
      </c>
    </row>
    <row r="86" spans="1:17" x14ac:dyDescent="0.3">
      <c r="A86" s="21" t="s">
        <v>166</v>
      </c>
      <c r="B86" s="13" t="s">
        <v>167</v>
      </c>
      <c r="C86" s="14">
        <v>534</v>
      </c>
      <c r="D86" s="15" t="s">
        <v>36</v>
      </c>
      <c r="E86" s="95">
        <f t="shared" si="21"/>
        <v>11.31</v>
      </c>
      <c r="F86" s="96">
        <f t="shared" si="22"/>
        <v>12.86</v>
      </c>
      <c r="G86" s="16">
        <f t="shared" si="24"/>
        <v>24.17</v>
      </c>
      <c r="H86" s="16">
        <f t="shared" si="25"/>
        <v>6039.54</v>
      </c>
      <c r="I86" s="16">
        <f t="shared" si="26"/>
        <v>6867.24</v>
      </c>
      <c r="J86" s="57">
        <f t="shared" si="27"/>
        <v>12906.78</v>
      </c>
      <c r="P86" s="97">
        <v>11.312794999999999</v>
      </c>
      <c r="Q86" s="98">
        <v>12.860418999999998</v>
      </c>
    </row>
    <row r="87" spans="1:17" x14ac:dyDescent="0.3">
      <c r="A87" s="21" t="s">
        <v>168</v>
      </c>
      <c r="B87" s="13" t="s">
        <v>169</v>
      </c>
      <c r="C87" s="14">
        <v>1</v>
      </c>
      <c r="D87" s="15" t="s">
        <v>36</v>
      </c>
      <c r="E87" s="95">
        <f t="shared" si="21"/>
        <v>166.99</v>
      </c>
      <c r="F87" s="96">
        <f t="shared" si="22"/>
        <v>19.079999999999998</v>
      </c>
      <c r="G87" s="16">
        <f t="shared" si="24"/>
        <v>186.07</v>
      </c>
      <c r="H87" s="16">
        <f t="shared" si="25"/>
        <v>166.99</v>
      </c>
      <c r="I87" s="16">
        <f t="shared" si="26"/>
        <v>19.079999999999998</v>
      </c>
      <c r="J87" s="57">
        <f t="shared" si="27"/>
        <v>186.07</v>
      </c>
      <c r="P87" s="97">
        <v>166.99199399999998</v>
      </c>
      <c r="Q87" s="98">
        <v>19.084558999999999</v>
      </c>
    </row>
    <row r="88" spans="1:17" x14ac:dyDescent="0.3">
      <c r="A88" s="17">
        <v>9</v>
      </c>
      <c r="B88" s="18" t="s">
        <v>170</v>
      </c>
      <c r="C88" s="9"/>
      <c r="D88" s="9"/>
      <c r="E88" s="95">
        <f t="shared" si="21"/>
        <v>0</v>
      </c>
      <c r="F88" s="96">
        <f t="shared" si="22"/>
        <v>0</v>
      </c>
      <c r="G88" s="10">
        <v>0</v>
      </c>
      <c r="H88" s="10">
        <v>0</v>
      </c>
      <c r="I88" s="10">
        <v>0</v>
      </c>
      <c r="J88" s="56">
        <v>0</v>
      </c>
      <c r="P88" s="87"/>
      <c r="Q88" s="88"/>
    </row>
    <row r="89" spans="1:17" x14ac:dyDescent="0.3">
      <c r="A89" s="17">
        <v>10</v>
      </c>
      <c r="B89" s="18" t="s">
        <v>171</v>
      </c>
      <c r="C89" s="9"/>
      <c r="D89" s="9"/>
      <c r="E89" s="95">
        <f t="shared" si="21"/>
        <v>0</v>
      </c>
      <c r="F89" s="96">
        <f t="shared" si="22"/>
        <v>0</v>
      </c>
      <c r="G89" s="11">
        <f t="shared" ref="G89:I89" si="28">SUBTOTAL(109,G90:G112)</f>
        <v>4252.2</v>
      </c>
      <c r="H89" s="11">
        <f t="shared" si="28"/>
        <v>190205.92</v>
      </c>
      <c r="I89" s="11">
        <f t="shared" si="28"/>
        <v>27993.459999999988</v>
      </c>
      <c r="J89" s="56">
        <f>SUBTOTAL(109,J90:J112)</f>
        <v>218199.37999999998</v>
      </c>
      <c r="P89" s="87"/>
      <c r="Q89" s="88"/>
    </row>
    <row r="90" spans="1:17" x14ac:dyDescent="0.3">
      <c r="A90" s="21" t="s">
        <v>172</v>
      </c>
      <c r="B90" s="13" t="s">
        <v>173</v>
      </c>
      <c r="C90" s="14">
        <v>753</v>
      </c>
      <c r="D90" s="15" t="s">
        <v>36</v>
      </c>
      <c r="E90" s="95">
        <f t="shared" si="21"/>
        <v>16.88</v>
      </c>
      <c r="F90" s="96">
        <f t="shared" si="22"/>
        <v>10.35</v>
      </c>
      <c r="G90" s="16">
        <f t="shared" ref="G90:G112" si="29">SUM(E90:F90)</f>
        <v>27.229999999999997</v>
      </c>
      <c r="H90" s="16">
        <f t="shared" ref="H90:H112" si="30">C90*E90</f>
        <v>12710.64</v>
      </c>
      <c r="I90" s="16">
        <f t="shared" ref="I90:I112" si="31">C90*F90</f>
        <v>7793.55</v>
      </c>
      <c r="J90" s="57">
        <f t="shared" ref="J90:J112" si="32">SUM(E90:F90)*C90</f>
        <v>20504.189999999999</v>
      </c>
      <c r="P90" s="97">
        <v>16.880876999999998</v>
      </c>
      <c r="Q90" s="98">
        <v>10.34553</v>
      </c>
    </row>
    <row r="91" spans="1:17" x14ac:dyDescent="0.3">
      <c r="A91" s="21" t="s">
        <v>174</v>
      </c>
      <c r="B91" s="13" t="s">
        <v>175</v>
      </c>
      <c r="C91" s="14">
        <v>50</v>
      </c>
      <c r="D91" s="15" t="s">
        <v>36</v>
      </c>
      <c r="E91" s="95">
        <f t="shared" si="21"/>
        <v>20.6</v>
      </c>
      <c r="F91" s="96">
        <f t="shared" si="22"/>
        <v>16.55</v>
      </c>
      <c r="G91" s="16">
        <f t="shared" si="29"/>
        <v>37.150000000000006</v>
      </c>
      <c r="H91" s="16">
        <f t="shared" si="30"/>
        <v>1030</v>
      </c>
      <c r="I91" s="16">
        <f t="shared" si="31"/>
        <v>827.5</v>
      </c>
      <c r="J91" s="57">
        <f t="shared" si="32"/>
        <v>1857.5000000000002</v>
      </c>
      <c r="P91" s="97">
        <v>20.598538999999999</v>
      </c>
      <c r="Q91" s="98">
        <v>16.552847999999997</v>
      </c>
    </row>
    <row r="92" spans="1:17" x14ac:dyDescent="0.3">
      <c r="A92" s="21" t="s">
        <v>176</v>
      </c>
      <c r="B92" s="13" t="s">
        <v>177</v>
      </c>
      <c r="C92" s="14">
        <v>1</v>
      </c>
      <c r="D92" s="15" t="s">
        <v>36</v>
      </c>
      <c r="E92" s="95">
        <f t="shared" si="21"/>
        <v>475.13</v>
      </c>
      <c r="F92" s="96">
        <f t="shared" si="22"/>
        <v>38.06</v>
      </c>
      <c r="G92" s="16">
        <f t="shared" si="29"/>
        <v>513.19000000000005</v>
      </c>
      <c r="H92" s="16">
        <f t="shared" si="30"/>
        <v>475.13</v>
      </c>
      <c r="I92" s="16">
        <f t="shared" si="31"/>
        <v>38.06</v>
      </c>
      <c r="J92" s="57">
        <f t="shared" si="32"/>
        <v>513.19000000000005</v>
      </c>
      <c r="P92" s="97">
        <v>475.12897899999996</v>
      </c>
      <c r="Q92" s="98">
        <v>38.059774999999995</v>
      </c>
    </row>
    <row r="93" spans="1:17" x14ac:dyDescent="0.3">
      <c r="A93" s="21" t="s">
        <v>178</v>
      </c>
      <c r="B93" s="13" t="s">
        <v>179</v>
      </c>
      <c r="C93" s="14">
        <v>1</v>
      </c>
      <c r="D93" s="15" t="s">
        <v>51</v>
      </c>
      <c r="E93" s="95">
        <f t="shared" si="21"/>
        <v>78.489999999999995</v>
      </c>
      <c r="F93" s="96">
        <f t="shared" si="22"/>
        <v>9.59</v>
      </c>
      <c r="G93" s="16">
        <f t="shared" si="29"/>
        <v>88.08</v>
      </c>
      <c r="H93" s="16">
        <f t="shared" si="30"/>
        <v>78.489999999999995</v>
      </c>
      <c r="I93" s="16">
        <f t="shared" si="31"/>
        <v>9.59</v>
      </c>
      <c r="J93" s="57">
        <f t="shared" si="32"/>
        <v>88.08</v>
      </c>
      <c r="P93" s="97">
        <v>78.491451999999995</v>
      </c>
      <c r="Q93" s="98">
        <v>9.5885400000000001</v>
      </c>
    </row>
    <row r="94" spans="1:17" x14ac:dyDescent="0.3">
      <c r="A94" s="21" t="s">
        <v>180</v>
      </c>
      <c r="B94" s="13" t="s">
        <v>181</v>
      </c>
      <c r="C94" s="14">
        <v>88</v>
      </c>
      <c r="D94" s="15" t="s">
        <v>51</v>
      </c>
      <c r="E94" s="95">
        <f t="shared" si="21"/>
        <v>106.82</v>
      </c>
      <c r="F94" s="96">
        <f t="shared" si="22"/>
        <v>17.52</v>
      </c>
      <c r="G94" s="16">
        <f t="shared" si="29"/>
        <v>124.33999999999999</v>
      </c>
      <c r="H94" s="16">
        <f t="shared" si="30"/>
        <v>9400.16</v>
      </c>
      <c r="I94" s="16">
        <f t="shared" si="31"/>
        <v>1541.76</v>
      </c>
      <c r="J94" s="57">
        <f t="shared" si="32"/>
        <v>10941.919999999998</v>
      </c>
      <c r="P94" s="97">
        <v>106.8197</v>
      </c>
      <c r="Q94" s="98">
        <v>17.520112999999998</v>
      </c>
    </row>
    <row r="95" spans="1:17" x14ac:dyDescent="0.3">
      <c r="A95" s="21" t="s">
        <v>182</v>
      </c>
      <c r="B95" s="13" t="s">
        <v>183</v>
      </c>
      <c r="C95" s="14">
        <v>1</v>
      </c>
      <c r="D95" s="15" t="s">
        <v>36</v>
      </c>
      <c r="E95" s="95">
        <f t="shared" si="21"/>
        <v>878.27</v>
      </c>
      <c r="F95" s="96">
        <f t="shared" si="22"/>
        <v>38.06</v>
      </c>
      <c r="G95" s="16">
        <f t="shared" si="29"/>
        <v>916.32999999999993</v>
      </c>
      <c r="H95" s="16">
        <f t="shared" si="30"/>
        <v>878.27</v>
      </c>
      <c r="I95" s="16">
        <f t="shared" si="31"/>
        <v>38.06</v>
      </c>
      <c r="J95" s="57">
        <f t="shared" si="32"/>
        <v>916.32999999999993</v>
      </c>
      <c r="P95" s="97">
        <v>878.26820899999996</v>
      </c>
      <c r="Q95" s="98">
        <v>38.059774999999995</v>
      </c>
    </row>
    <row r="96" spans="1:17" x14ac:dyDescent="0.3">
      <c r="A96" s="21" t="s">
        <v>184</v>
      </c>
      <c r="B96" s="13" t="s">
        <v>185</v>
      </c>
      <c r="C96" s="14">
        <v>1</v>
      </c>
      <c r="D96" s="15" t="s">
        <v>51</v>
      </c>
      <c r="E96" s="95">
        <f t="shared" si="21"/>
        <v>83.98</v>
      </c>
      <c r="F96" s="96">
        <f t="shared" si="22"/>
        <v>9.59</v>
      </c>
      <c r="G96" s="16">
        <f t="shared" si="29"/>
        <v>93.570000000000007</v>
      </c>
      <c r="H96" s="16">
        <f t="shared" si="30"/>
        <v>83.98</v>
      </c>
      <c r="I96" s="16">
        <f t="shared" si="31"/>
        <v>9.59</v>
      </c>
      <c r="J96" s="57">
        <f t="shared" si="32"/>
        <v>93.570000000000007</v>
      </c>
      <c r="P96" s="97">
        <v>83.975424000000004</v>
      </c>
      <c r="Q96" s="98">
        <v>9.5885400000000001</v>
      </c>
    </row>
    <row r="97" spans="1:17" x14ac:dyDescent="0.3">
      <c r="A97" s="21" t="s">
        <v>186</v>
      </c>
      <c r="B97" s="13" t="s">
        <v>187</v>
      </c>
      <c r="C97" s="14">
        <v>1</v>
      </c>
      <c r="D97" s="15" t="s">
        <v>36</v>
      </c>
      <c r="E97" s="95">
        <f t="shared" si="21"/>
        <v>62.65</v>
      </c>
      <c r="F97" s="96">
        <f t="shared" si="22"/>
        <v>6.32</v>
      </c>
      <c r="G97" s="16">
        <f t="shared" si="29"/>
        <v>68.97</v>
      </c>
      <c r="H97" s="16">
        <f t="shared" si="30"/>
        <v>62.65</v>
      </c>
      <c r="I97" s="16">
        <f t="shared" si="31"/>
        <v>6.32</v>
      </c>
      <c r="J97" s="57">
        <f t="shared" si="32"/>
        <v>68.97</v>
      </c>
      <c r="P97" s="97">
        <v>62.645128</v>
      </c>
      <c r="Q97" s="98">
        <v>6.3166609999999999</v>
      </c>
    </row>
    <row r="98" spans="1:17" x14ac:dyDescent="0.3">
      <c r="A98" s="21" t="s">
        <v>188</v>
      </c>
      <c r="B98" s="13" t="s">
        <v>189</v>
      </c>
      <c r="C98" s="14">
        <v>1</v>
      </c>
      <c r="D98" s="15" t="s">
        <v>36</v>
      </c>
      <c r="E98" s="95">
        <f t="shared" si="21"/>
        <v>161.91</v>
      </c>
      <c r="F98" s="96">
        <f t="shared" si="22"/>
        <v>39.619999999999997</v>
      </c>
      <c r="G98" s="16">
        <f t="shared" si="29"/>
        <v>201.53</v>
      </c>
      <c r="H98" s="16">
        <f t="shared" si="30"/>
        <v>161.91</v>
      </c>
      <c r="I98" s="16">
        <f t="shared" si="31"/>
        <v>39.619999999999997</v>
      </c>
      <c r="J98" s="57">
        <f t="shared" si="32"/>
        <v>201.53</v>
      </c>
      <c r="P98" s="97">
        <v>161.91174999999998</v>
      </c>
      <c r="Q98" s="98">
        <v>39.624220999999999</v>
      </c>
    </row>
    <row r="99" spans="1:17" x14ac:dyDescent="0.3">
      <c r="A99" s="21" t="s">
        <v>190</v>
      </c>
      <c r="B99" s="13" t="s">
        <v>191</v>
      </c>
      <c r="C99" s="14">
        <v>1</v>
      </c>
      <c r="D99" s="15" t="s">
        <v>36</v>
      </c>
      <c r="E99" s="95">
        <f t="shared" si="21"/>
        <v>758.23</v>
      </c>
      <c r="F99" s="96">
        <f t="shared" si="22"/>
        <v>38.06</v>
      </c>
      <c r="G99" s="16">
        <f t="shared" si="29"/>
        <v>796.29</v>
      </c>
      <c r="H99" s="16">
        <f t="shared" si="30"/>
        <v>758.23</v>
      </c>
      <c r="I99" s="16">
        <f t="shared" si="31"/>
        <v>38.06</v>
      </c>
      <c r="J99" s="57">
        <f t="shared" si="32"/>
        <v>796.29</v>
      </c>
      <c r="P99" s="97">
        <v>758.23482799999999</v>
      </c>
      <c r="Q99" s="98">
        <v>38.059774999999995</v>
      </c>
    </row>
    <row r="100" spans="1:17" x14ac:dyDescent="0.3">
      <c r="A100" s="21" t="s">
        <v>192</v>
      </c>
      <c r="B100" s="13" t="s">
        <v>193</v>
      </c>
      <c r="C100" s="14">
        <v>91</v>
      </c>
      <c r="D100" s="15" t="s">
        <v>36</v>
      </c>
      <c r="E100" s="95">
        <f t="shared" si="21"/>
        <v>109.03</v>
      </c>
      <c r="F100" s="96">
        <f t="shared" si="22"/>
        <v>70.459999999999994</v>
      </c>
      <c r="G100" s="16">
        <f t="shared" si="29"/>
        <v>179.49</v>
      </c>
      <c r="H100" s="16">
        <f t="shared" si="30"/>
        <v>9921.73</v>
      </c>
      <c r="I100" s="16">
        <f t="shared" si="31"/>
        <v>6411.86</v>
      </c>
      <c r="J100" s="57">
        <f t="shared" si="32"/>
        <v>16333.59</v>
      </c>
      <c r="P100" s="97">
        <v>109.03179299999999</v>
      </c>
      <c r="Q100" s="98">
        <v>70.458946999999995</v>
      </c>
    </row>
    <row r="101" spans="1:17" x14ac:dyDescent="0.3">
      <c r="A101" s="21" t="s">
        <v>194</v>
      </c>
      <c r="B101" s="13" t="s">
        <v>195</v>
      </c>
      <c r="C101" s="14">
        <v>103</v>
      </c>
      <c r="D101" s="15" t="s">
        <v>36</v>
      </c>
      <c r="E101" s="95">
        <f t="shared" si="21"/>
        <v>33.68</v>
      </c>
      <c r="F101" s="96">
        <f t="shared" si="22"/>
        <v>12.52</v>
      </c>
      <c r="G101" s="16">
        <f t="shared" si="29"/>
        <v>46.2</v>
      </c>
      <c r="H101" s="16">
        <f t="shared" si="30"/>
        <v>3469.04</v>
      </c>
      <c r="I101" s="16">
        <f t="shared" si="31"/>
        <v>1289.56</v>
      </c>
      <c r="J101" s="57">
        <f t="shared" si="32"/>
        <v>4758.6000000000004</v>
      </c>
      <c r="P101" s="97">
        <v>33.677644000000001</v>
      </c>
      <c r="Q101" s="98">
        <v>12.515568</v>
      </c>
    </row>
    <row r="102" spans="1:17" x14ac:dyDescent="0.3">
      <c r="A102" s="21" t="s">
        <v>196</v>
      </c>
      <c r="B102" s="22" t="s">
        <v>197</v>
      </c>
      <c r="C102" s="14">
        <v>82</v>
      </c>
      <c r="D102" s="15" t="s">
        <v>36</v>
      </c>
      <c r="E102" s="95">
        <f t="shared" si="21"/>
        <v>44.37</v>
      </c>
      <c r="F102" s="96">
        <f t="shared" si="22"/>
        <v>19.399999999999999</v>
      </c>
      <c r="G102" s="16">
        <f t="shared" si="29"/>
        <v>63.769999999999996</v>
      </c>
      <c r="H102" s="16">
        <f t="shared" si="30"/>
        <v>3638.3399999999997</v>
      </c>
      <c r="I102" s="16">
        <f t="shared" si="31"/>
        <v>1590.8</v>
      </c>
      <c r="J102" s="57">
        <f t="shared" si="32"/>
        <v>5229.1399999999994</v>
      </c>
      <c r="P102" s="97">
        <v>44.368024999999996</v>
      </c>
      <c r="Q102" s="98">
        <v>19.395765999999998</v>
      </c>
    </row>
    <row r="103" spans="1:17" x14ac:dyDescent="0.3">
      <c r="A103" s="21" t="s">
        <v>198</v>
      </c>
      <c r="B103" s="13" t="s">
        <v>199</v>
      </c>
      <c r="C103" s="14">
        <v>144</v>
      </c>
      <c r="D103" s="15" t="s">
        <v>36</v>
      </c>
      <c r="E103" s="95">
        <f t="shared" si="21"/>
        <v>140.99</v>
      </c>
      <c r="F103" s="96">
        <f t="shared" si="22"/>
        <v>31.01</v>
      </c>
      <c r="G103" s="16">
        <f t="shared" si="29"/>
        <v>172</v>
      </c>
      <c r="H103" s="16">
        <f t="shared" si="30"/>
        <v>20302.560000000001</v>
      </c>
      <c r="I103" s="16">
        <f t="shared" si="31"/>
        <v>4465.4400000000005</v>
      </c>
      <c r="J103" s="57">
        <f t="shared" si="32"/>
        <v>24768</v>
      </c>
      <c r="P103" s="97">
        <v>140.98518200000001</v>
      </c>
      <c r="Q103" s="98">
        <v>31.011356999999997</v>
      </c>
    </row>
    <row r="104" spans="1:17" x14ac:dyDescent="0.3">
      <c r="A104" s="21" t="s">
        <v>200</v>
      </c>
      <c r="B104" s="13" t="s">
        <v>201</v>
      </c>
      <c r="C104" s="14">
        <v>266</v>
      </c>
      <c r="D104" s="15" t="s">
        <v>36</v>
      </c>
      <c r="E104" s="95">
        <f t="shared" si="21"/>
        <v>3.2</v>
      </c>
      <c r="F104" s="96">
        <f t="shared" si="22"/>
        <v>4.62</v>
      </c>
      <c r="G104" s="16">
        <f t="shared" si="29"/>
        <v>7.82</v>
      </c>
      <c r="H104" s="16">
        <f t="shared" si="30"/>
        <v>851.2</v>
      </c>
      <c r="I104" s="16">
        <f t="shared" si="31"/>
        <v>1228.92</v>
      </c>
      <c r="J104" s="57">
        <f t="shared" si="32"/>
        <v>2080.12</v>
      </c>
      <c r="P104" s="97">
        <v>3.1961799999999996</v>
      </c>
      <c r="Q104" s="98">
        <v>4.6176389999999996</v>
      </c>
    </row>
    <row r="105" spans="1:17" x14ac:dyDescent="0.3">
      <c r="A105" s="21" t="s">
        <v>202</v>
      </c>
      <c r="B105" s="13" t="s">
        <v>203</v>
      </c>
      <c r="C105" s="14">
        <v>60</v>
      </c>
      <c r="D105" s="15" t="s">
        <v>36</v>
      </c>
      <c r="E105" s="95">
        <f t="shared" si="21"/>
        <v>235.96</v>
      </c>
      <c r="F105" s="96">
        <f t="shared" si="22"/>
        <v>6.21</v>
      </c>
      <c r="G105" s="16">
        <f t="shared" si="29"/>
        <v>242.17000000000002</v>
      </c>
      <c r="H105" s="16">
        <f t="shared" si="30"/>
        <v>14157.6</v>
      </c>
      <c r="I105" s="16">
        <f t="shared" si="31"/>
        <v>372.6</v>
      </c>
      <c r="J105" s="57">
        <f t="shared" si="32"/>
        <v>14530.2</v>
      </c>
      <c r="P105" s="97">
        <v>235.96219400000001</v>
      </c>
      <c r="Q105" s="98">
        <v>6.2073179999999999</v>
      </c>
    </row>
    <row r="106" spans="1:17" x14ac:dyDescent="0.3">
      <c r="A106" s="21" t="s">
        <v>204</v>
      </c>
      <c r="B106" s="13" t="s">
        <v>205</v>
      </c>
      <c r="C106" s="14">
        <v>1</v>
      </c>
      <c r="D106" s="15" t="s">
        <v>36</v>
      </c>
      <c r="E106" s="95">
        <f t="shared" si="21"/>
        <v>131.16999999999999</v>
      </c>
      <c r="F106" s="96">
        <f t="shared" si="22"/>
        <v>7.03</v>
      </c>
      <c r="G106" s="16">
        <f t="shared" si="29"/>
        <v>138.19999999999999</v>
      </c>
      <c r="H106" s="16">
        <f t="shared" si="30"/>
        <v>131.16999999999999</v>
      </c>
      <c r="I106" s="16">
        <f t="shared" si="31"/>
        <v>7.03</v>
      </c>
      <c r="J106" s="57">
        <f t="shared" si="32"/>
        <v>138.19999999999999</v>
      </c>
      <c r="P106" s="97">
        <v>131.16954499999997</v>
      </c>
      <c r="Q106" s="98">
        <v>7.0315959999999995</v>
      </c>
    </row>
    <row r="107" spans="1:17" x14ac:dyDescent="0.3">
      <c r="A107" s="21" t="s">
        <v>206</v>
      </c>
      <c r="B107" s="13" t="s">
        <v>207</v>
      </c>
      <c r="C107" s="14">
        <v>484</v>
      </c>
      <c r="D107" s="15" t="s">
        <v>36</v>
      </c>
      <c r="E107" s="95">
        <f t="shared" si="21"/>
        <v>207.75</v>
      </c>
      <c r="F107" s="96">
        <f t="shared" si="22"/>
        <v>4.1399999999999997</v>
      </c>
      <c r="G107" s="16">
        <f t="shared" si="29"/>
        <v>211.89</v>
      </c>
      <c r="H107" s="16">
        <f t="shared" si="30"/>
        <v>100551</v>
      </c>
      <c r="I107" s="16">
        <f t="shared" si="31"/>
        <v>2003.7599999999998</v>
      </c>
      <c r="J107" s="57">
        <f t="shared" si="32"/>
        <v>102554.76</v>
      </c>
      <c r="P107" s="97">
        <v>207.7517</v>
      </c>
      <c r="Q107" s="98">
        <v>4.1382119999999993</v>
      </c>
    </row>
    <row r="108" spans="1:17" x14ac:dyDescent="0.3">
      <c r="A108" s="21" t="s">
        <v>208</v>
      </c>
      <c r="B108" s="13" t="s">
        <v>209</v>
      </c>
      <c r="C108" s="14">
        <v>28</v>
      </c>
      <c r="D108" s="15" t="s">
        <v>51</v>
      </c>
      <c r="E108" s="95">
        <f t="shared" si="21"/>
        <v>22.14</v>
      </c>
      <c r="F108" s="96">
        <f t="shared" si="22"/>
        <v>6.16</v>
      </c>
      <c r="G108" s="16">
        <f t="shared" si="29"/>
        <v>28.3</v>
      </c>
      <c r="H108" s="16">
        <f t="shared" si="30"/>
        <v>619.92000000000007</v>
      </c>
      <c r="I108" s="16">
        <f t="shared" si="31"/>
        <v>172.48000000000002</v>
      </c>
      <c r="J108" s="57">
        <f t="shared" si="32"/>
        <v>792.4</v>
      </c>
      <c r="P108" s="97">
        <v>22.137751999999999</v>
      </c>
      <c r="Q108" s="98">
        <v>6.1568519999999998</v>
      </c>
    </row>
    <row r="109" spans="1:17" x14ac:dyDescent="0.3">
      <c r="A109" s="21" t="s">
        <v>210</v>
      </c>
      <c r="B109" s="13" t="s">
        <v>211</v>
      </c>
      <c r="C109" s="14">
        <v>49</v>
      </c>
      <c r="D109" s="15" t="s">
        <v>36</v>
      </c>
      <c r="E109" s="95">
        <f t="shared" si="21"/>
        <v>221.85</v>
      </c>
      <c r="F109" s="96">
        <f t="shared" si="22"/>
        <v>1.84</v>
      </c>
      <c r="G109" s="16">
        <f t="shared" si="29"/>
        <v>223.69</v>
      </c>
      <c r="H109" s="16">
        <f t="shared" si="30"/>
        <v>10870.65</v>
      </c>
      <c r="I109" s="16">
        <f t="shared" si="31"/>
        <v>90.160000000000011</v>
      </c>
      <c r="J109" s="57">
        <f t="shared" si="32"/>
        <v>10960.81</v>
      </c>
      <c r="P109" s="97">
        <v>221.84853599999997</v>
      </c>
      <c r="Q109" s="98">
        <v>1.8420089999999998</v>
      </c>
    </row>
    <row r="110" spans="1:17" x14ac:dyDescent="0.3">
      <c r="A110" s="21" t="s">
        <v>212</v>
      </c>
      <c r="B110" s="13" t="s">
        <v>213</v>
      </c>
      <c r="C110" s="14">
        <v>1</v>
      </c>
      <c r="D110" s="15" t="s">
        <v>51</v>
      </c>
      <c r="E110" s="95">
        <f t="shared" si="21"/>
        <v>26.22</v>
      </c>
      <c r="F110" s="96">
        <f t="shared" si="22"/>
        <v>4.1399999999999997</v>
      </c>
      <c r="G110" s="16">
        <f t="shared" si="29"/>
        <v>30.36</v>
      </c>
      <c r="H110" s="16">
        <f t="shared" si="30"/>
        <v>26.22</v>
      </c>
      <c r="I110" s="16">
        <f t="shared" si="31"/>
        <v>4.1399999999999997</v>
      </c>
      <c r="J110" s="57">
        <f t="shared" si="32"/>
        <v>30.36</v>
      </c>
      <c r="P110" s="97">
        <v>26.217086999999999</v>
      </c>
      <c r="Q110" s="98">
        <v>4.1382119999999993</v>
      </c>
    </row>
    <row r="111" spans="1:17" x14ac:dyDescent="0.3">
      <c r="A111" s="21" t="s">
        <v>214</v>
      </c>
      <c r="B111" s="13" t="s">
        <v>215</v>
      </c>
      <c r="C111" s="14">
        <v>1</v>
      </c>
      <c r="D111" s="15" t="s">
        <v>36</v>
      </c>
      <c r="E111" s="95">
        <f t="shared" si="21"/>
        <v>6.43</v>
      </c>
      <c r="F111" s="96">
        <f t="shared" si="22"/>
        <v>6.32</v>
      </c>
      <c r="G111" s="16">
        <f t="shared" si="29"/>
        <v>12.75</v>
      </c>
      <c r="H111" s="16">
        <f t="shared" si="30"/>
        <v>6.43</v>
      </c>
      <c r="I111" s="16">
        <f t="shared" si="31"/>
        <v>6.32</v>
      </c>
      <c r="J111" s="57">
        <f t="shared" si="32"/>
        <v>12.75</v>
      </c>
      <c r="P111" s="97">
        <v>6.4260039999999998</v>
      </c>
      <c r="Q111" s="98">
        <v>6.3166609999999999</v>
      </c>
    </row>
    <row r="112" spans="1:17" x14ac:dyDescent="0.3">
      <c r="A112" s="21" t="s">
        <v>216</v>
      </c>
      <c r="B112" s="13" t="s">
        <v>217</v>
      </c>
      <c r="C112" s="14">
        <v>1</v>
      </c>
      <c r="D112" s="15" t="s">
        <v>36</v>
      </c>
      <c r="E112" s="95">
        <f t="shared" si="21"/>
        <v>20.6</v>
      </c>
      <c r="F112" s="96">
        <f t="shared" si="22"/>
        <v>8.2799999999999994</v>
      </c>
      <c r="G112" s="16">
        <f t="shared" si="29"/>
        <v>28.880000000000003</v>
      </c>
      <c r="H112" s="16">
        <f t="shared" si="30"/>
        <v>20.6</v>
      </c>
      <c r="I112" s="16">
        <f t="shared" si="31"/>
        <v>8.2799999999999994</v>
      </c>
      <c r="J112" s="57">
        <f t="shared" si="32"/>
        <v>28.880000000000003</v>
      </c>
      <c r="P112" s="97">
        <v>20.598538999999999</v>
      </c>
      <c r="Q112" s="98">
        <v>8.2764239999999987</v>
      </c>
    </row>
    <row r="113" spans="1:17" x14ac:dyDescent="0.3">
      <c r="A113" s="17">
        <v>11</v>
      </c>
      <c r="B113" s="18" t="s">
        <v>218</v>
      </c>
      <c r="C113" s="9"/>
      <c r="D113" s="9"/>
      <c r="E113" s="95">
        <f t="shared" si="21"/>
        <v>0</v>
      </c>
      <c r="F113" s="96">
        <f t="shared" si="22"/>
        <v>0</v>
      </c>
      <c r="G113" s="11">
        <f t="shared" ref="G113:I113" si="33">SUBTOTAL(109,G114:G122)</f>
        <v>2233.4299999999998</v>
      </c>
      <c r="H113" s="11">
        <f t="shared" si="33"/>
        <v>33112.310000000005</v>
      </c>
      <c r="I113" s="11">
        <f t="shared" si="33"/>
        <v>27840.420000000006</v>
      </c>
      <c r="J113" s="56">
        <f>SUBTOTAL(109,J114:J122)</f>
        <v>60952.73</v>
      </c>
      <c r="P113" s="87"/>
      <c r="Q113" s="88"/>
    </row>
    <row r="114" spans="1:17" x14ac:dyDescent="0.3">
      <c r="A114" s="21" t="s">
        <v>219</v>
      </c>
      <c r="B114" s="13" t="s">
        <v>220</v>
      </c>
      <c r="C114" s="14">
        <v>1</v>
      </c>
      <c r="D114" s="15" t="s">
        <v>36</v>
      </c>
      <c r="E114" s="95">
        <f t="shared" si="21"/>
        <v>240.26</v>
      </c>
      <c r="F114" s="96">
        <f t="shared" si="22"/>
        <v>47.81</v>
      </c>
      <c r="G114" s="16">
        <f t="shared" ref="G114:G122" si="34">SUM(E114:F114)</f>
        <v>288.07</v>
      </c>
      <c r="H114" s="16">
        <f t="shared" ref="H114:H122" si="35">C114*E114</f>
        <v>240.26</v>
      </c>
      <c r="I114" s="16">
        <f t="shared" ref="I114:I122" si="36">C114*F114</f>
        <v>47.81</v>
      </c>
      <c r="J114" s="57">
        <f t="shared" ref="J114:J122" si="37">SUM(E114:F114)*C114</f>
        <v>288.07</v>
      </c>
      <c r="P114" s="97">
        <v>240.26021499999996</v>
      </c>
      <c r="Q114" s="98">
        <v>47.808123999999999</v>
      </c>
    </row>
    <row r="115" spans="1:17" x14ac:dyDescent="0.3">
      <c r="A115" s="21" t="s">
        <v>221</v>
      </c>
      <c r="B115" s="13" t="s">
        <v>222</v>
      </c>
      <c r="C115" s="14">
        <v>573</v>
      </c>
      <c r="D115" s="15" t="s">
        <v>36</v>
      </c>
      <c r="E115" s="95">
        <f t="shared" si="21"/>
        <v>2.82</v>
      </c>
      <c r="F115" s="96">
        <f t="shared" si="22"/>
        <v>4.1399999999999997</v>
      </c>
      <c r="G115" s="16">
        <f t="shared" si="34"/>
        <v>6.9599999999999991</v>
      </c>
      <c r="H115" s="16">
        <f t="shared" si="35"/>
        <v>1615.86</v>
      </c>
      <c r="I115" s="16">
        <f t="shared" si="36"/>
        <v>2372.2199999999998</v>
      </c>
      <c r="J115" s="57">
        <f t="shared" si="37"/>
        <v>3988.0799999999995</v>
      </c>
      <c r="P115" s="97">
        <v>2.817685</v>
      </c>
      <c r="Q115" s="98">
        <v>4.1382119999999993</v>
      </c>
    </row>
    <row r="116" spans="1:17" x14ac:dyDescent="0.3">
      <c r="A116" s="21" t="s">
        <v>223</v>
      </c>
      <c r="B116" s="13" t="s">
        <v>224</v>
      </c>
      <c r="C116" s="14">
        <v>1298</v>
      </c>
      <c r="D116" s="15" t="s">
        <v>36</v>
      </c>
      <c r="E116" s="95">
        <f t="shared" si="21"/>
        <v>20.6</v>
      </c>
      <c r="F116" s="96">
        <f t="shared" si="22"/>
        <v>19.34</v>
      </c>
      <c r="G116" s="16">
        <f t="shared" si="34"/>
        <v>39.94</v>
      </c>
      <c r="H116" s="16">
        <f t="shared" si="35"/>
        <v>26738.800000000003</v>
      </c>
      <c r="I116" s="16">
        <f t="shared" si="36"/>
        <v>25103.32</v>
      </c>
      <c r="J116" s="57">
        <f t="shared" si="37"/>
        <v>51842.119999999995</v>
      </c>
      <c r="P116" s="97">
        <v>20.598538999999999</v>
      </c>
      <c r="Q116" s="98">
        <v>19.336888999999999</v>
      </c>
    </row>
    <row r="117" spans="1:17" x14ac:dyDescent="0.3">
      <c r="A117" s="21" t="s">
        <v>225</v>
      </c>
      <c r="B117" s="13" t="s">
        <v>226</v>
      </c>
      <c r="C117" s="14">
        <v>1</v>
      </c>
      <c r="D117" s="15" t="s">
        <v>36</v>
      </c>
      <c r="E117" s="95">
        <f t="shared" si="21"/>
        <v>43.38</v>
      </c>
      <c r="F117" s="96">
        <f t="shared" si="22"/>
        <v>30.99</v>
      </c>
      <c r="G117" s="16">
        <f t="shared" si="34"/>
        <v>74.37</v>
      </c>
      <c r="H117" s="16">
        <f t="shared" si="35"/>
        <v>43.38</v>
      </c>
      <c r="I117" s="16">
        <f t="shared" si="36"/>
        <v>30.99</v>
      </c>
      <c r="J117" s="57">
        <f t="shared" si="37"/>
        <v>74.37</v>
      </c>
      <c r="P117" s="97">
        <v>43.375526999999998</v>
      </c>
      <c r="Q117" s="98">
        <v>30.986124</v>
      </c>
    </row>
    <row r="118" spans="1:17" x14ac:dyDescent="0.3">
      <c r="A118" s="21" t="s">
        <v>227</v>
      </c>
      <c r="B118" s="13" t="s">
        <v>228</v>
      </c>
      <c r="C118" s="14">
        <v>1</v>
      </c>
      <c r="D118" s="15" t="s">
        <v>36</v>
      </c>
      <c r="E118" s="95">
        <f t="shared" si="21"/>
        <v>262.83</v>
      </c>
      <c r="F118" s="96">
        <f t="shared" si="22"/>
        <v>32.9</v>
      </c>
      <c r="G118" s="16">
        <f t="shared" si="34"/>
        <v>295.72999999999996</v>
      </c>
      <c r="H118" s="16">
        <f t="shared" si="35"/>
        <v>262.83</v>
      </c>
      <c r="I118" s="16">
        <f t="shared" si="36"/>
        <v>32.9</v>
      </c>
      <c r="J118" s="57">
        <f t="shared" si="37"/>
        <v>295.72999999999996</v>
      </c>
      <c r="P118" s="97">
        <v>262.82692800000001</v>
      </c>
      <c r="Q118" s="98">
        <v>32.903831999999994</v>
      </c>
    </row>
    <row r="119" spans="1:17" x14ac:dyDescent="0.3">
      <c r="A119" s="21" t="s">
        <v>229</v>
      </c>
      <c r="B119" s="13" t="s">
        <v>230</v>
      </c>
      <c r="C119" s="14">
        <v>21</v>
      </c>
      <c r="D119" s="15" t="s">
        <v>36</v>
      </c>
      <c r="E119" s="95">
        <f t="shared" si="21"/>
        <v>139.47</v>
      </c>
      <c r="F119" s="96">
        <f t="shared" si="22"/>
        <v>7.33</v>
      </c>
      <c r="G119" s="16">
        <f t="shared" si="34"/>
        <v>146.80000000000001</v>
      </c>
      <c r="H119" s="16">
        <f t="shared" si="35"/>
        <v>2928.87</v>
      </c>
      <c r="I119" s="16">
        <f t="shared" si="36"/>
        <v>153.93</v>
      </c>
      <c r="J119" s="57">
        <f t="shared" si="37"/>
        <v>3082.8</v>
      </c>
      <c r="P119" s="97">
        <v>139.47120199999998</v>
      </c>
      <c r="Q119" s="98">
        <v>7.3343920000000002</v>
      </c>
    </row>
    <row r="120" spans="1:17" x14ac:dyDescent="0.3">
      <c r="A120" s="21" t="s">
        <v>231</v>
      </c>
      <c r="B120" s="13" t="s">
        <v>232</v>
      </c>
      <c r="C120" s="14">
        <v>1</v>
      </c>
      <c r="D120" s="15" t="s">
        <v>36</v>
      </c>
      <c r="E120" s="95">
        <f t="shared" si="21"/>
        <v>281.49</v>
      </c>
      <c r="F120" s="96">
        <f t="shared" si="22"/>
        <v>28.29</v>
      </c>
      <c r="G120" s="16">
        <f t="shared" si="34"/>
        <v>309.78000000000003</v>
      </c>
      <c r="H120" s="16">
        <f t="shared" si="35"/>
        <v>281.49</v>
      </c>
      <c r="I120" s="16">
        <f t="shared" si="36"/>
        <v>28.29</v>
      </c>
      <c r="J120" s="57">
        <f t="shared" si="37"/>
        <v>309.78000000000003</v>
      </c>
      <c r="P120" s="97">
        <v>281.49093699999997</v>
      </c>
      <c r="Q120" s="98">
        <v>28.286193000000001</v>
      </c>
    </row>
    <row r="121" spans="1:17" x14ac:dyDescent="0.3">
      <c r="A121" s="21" t="s">
        <v>233</v>
      </c>
      <c r="B121" s="13" t="s">
        <v>234</v>
      </c>
      <c r="C121" s="14">
        <v>1</v>
      </c>
      <c r="D121" s="15" t="s">
        <v>36</v>
      </c>
      <c r="E121" s="95">
        <f t="shared" si="21"/>
        <v>758.23</v>
      </c>
      <c r="F121" s="96">
        <f t="shared" si="22"/>
        <v>38.06</v>
      </c>
      <c r="G121" s="16">
        <f t="shared" si="34"/>
        <v>796.29</v>
      </c>
      <c r="H121" s="16">
        <f t="shared" si="35"/>
        <v>758.23</v>
      </c>
      <c r="I121" s="16">
        <f t="shared" si="36"/>
        <v>38.06</v>
      </c>
      <c r="J121" s="57">
        <f t="shared" si="37"/>
        <v>796.29</v>
      </c>
      <c r="P121" s="97">
        <v>758.23482799999999</v>
      </c>
      <c r="Q121" s="98">
        <v>38.059774999999995</v>
      </c>
    </row>
    <row r="122" spans="1:17" x14ac:dyDescent="0.3">
      <c r="A122" s="21" t="s">
        <v>235</v>
      </c>
      <c r="B122" s="13" t="s">
        <v>236</v>
      </c>
      <c r="C122" s="14">
        <v>1</v>
      </c>
      <c r="D122" s="15" t="s">
        <v>36</v>
      </c>
      <c r="E122" s="95">
        <f t="shared" si="21"/>
        <v>242.59</v>
      </c>
      <c r="F122" s="96">
        <f t="shared" si="22"/>
        <v>32.9</v>
      </c>
      <c r="G122" s="16">
        <f t="shared" si="34"/>
        <v>275.49</v>
      </c>
      <c r="H122" s="16">
        <f t="shared" si="35"/>
        <v>242.59</v>
      </c>
      <c r="I122" s="16">
        <f t="shared" si="36"/>
        <v>32.9</v>
      </c>
      <c r="J122" s="57">
        <f t="shared" si="37"/>
        <v>275.49</v>
      </c>
      <c r="P122" s="99">
        <v>242.59006199999999</v>
      </c>
      <c r="Q122" s="100">
        <v>32.903831999999994</v>
      </c>
    </row>
    <row r="123" spans="1:17" x14ac:dyDescent="0.3">
      <c r="A123" s="17">
        <v>12</v>
      </c>
      <c r="B123" s="18" t="s">
        <v>237</v>
      </c>
      <c r="C123" s="9"/>
      <c r="D123" s="9"/>
      <c r="E123" s="95">
        <f t="shared" si="21"/>
        <v>0</v>
      </c>
      <c r="F123" s="96">
        <f t="shared" si="22"/>
        <v>0</v>
      </c>
      <c r="G123" s="11">
        <f t="shared" ref="G123:I123" si="38">SUBTOTAL(109,G124:G137)</f>
        <v>2486.96</v>
      </c>
      <c r="H123" s="11">
        <f t="shared" si="38"/>
        <v>59871.66</v>
      </c>
      <c r="I123" s="11">
        <f t="shared" si="38"/>
        <v>13199.41</v>
      </c>
      <c r="J123" s="56">
        <f>SUBTOTAL(109,J124:J137)</f>
        <v>73071.069999999992</v>
      </c>
      <c r="P123" s="87"/>
      <c r="Q123" s="88"/>
    </row>
    <row r="124" spans="1:17" x14ac:dyDescent="0.3">
      <c r="A124" s="21" t="s">
        <v>238</v>
      </c>
      <c r="B124" s="13" t="s">
        <v>239</v>
      </c>
      <c r="C124" s="14">
        <v>1</v>
      </c>
      <c r="D124" s="15" t="s">
        <v>36</v>
      </c>
      <c r="E124" s="95">
        <f t="shared" si="21"/>
        <v>161.77000000000001</v>
      </c>
      <c r="F124" s="96">
        <f t="shared" si="22"/>
        <v>32.82</v>
      </c>
      <c r="G124" s="16">
        <f t="shared" ref="G124:G137" si="39">SUM(E124:F124)</f>
        <v>194.59</v>
      </c>
      <c r="H124" s="16">
        <f t="shared" ref="H124:H137" si="40">C124*E124</f>
        <v>161.77000000000001</v>
      </c>
      <c r="I124" s="16">
        <f t="shared" ref="I124:I137" si="41">C124*F124</f>
        <v>32.82</v>
      </c>
      <c r="J124" s="57">
        <f t="shared" ref="J124:J137" si="42">SUM(E124:F124)*C124</f>
        <v>194.59</v>
      </c>
      <c r="P124" s="97">
        <v>161.76876300000001</v>
      </c>
      <c r="Q124" s="98">
        <v>32.819721999999999</v>
      </c>
    </row>
    <row r="125" spans="1:17" x14ac:dyDescent="0.3">
      <c r="A125" s="21" t="s">
        <v>240</v>
      </c>
      <c r="B125" s="13" t="s">
        <v>241</v>
      </c>
      <c r="C125" s="14">
        <v>1</v>
      </c>
      <c r="D125" s="15" t="s">
        <v>36</v>
      </c>
      <c r="E125" s="95">
        <f t="shared" si="21"/>
        <v>169.6</v>
      </c>
      <c r="F125" s="96">
        <f t="shared" si="22"/>
        <v>49.21</v>
      </c>
      <c r="G125" s="16">
        <f t="shared" si="39"/>
        <v>218.81</v>
      </c>
      <c r="H125" s="16">
        <f t="shared" si="40"/>
        <v>169.6</v>
      </c>
      <c r="I125" s="16">
        <f t="shared" si="41"/>
        <v>49.21</v>
      </c>
      <c r="J125" s="57">
        <f t="shared" si="42"/>
        <v>218.81</v>
      </c>
      <c r="P125" s="97">
        <v>169.59940399999999</v>
      </c>
      <c r="Q125" s="98">
        <v>49.212760999999993</v>
      </c>
    </row>
    <row r="126" spans="1:17" x14ac:dyDescent="0.3">
      <c r="A126" s="21" t="s">
        <v>242</v>
      </c>
      <c r="B126" s="13" t="s">
        <v>243</v>
      </c>
      <c r="C126" s="14">
        <v>1</v>
      </c>
      <c r="D126" s="15" t="s">
        <v>85</v>
      </c>
      <c r="E126" s="95">
        <f t="shared" si="21"/>
        <v>642.53</v>
      </c>
      <c r="F126" s="96">
        <f t="shared" si="22"/>
        <v>32.82</v>
      </c>
      <c r="G126" s="16">
        <f t="shared" si="39"/>
        <v>675.35</v>
      </c>
      <c r="H126" s="16">
        <f t="shared" si="40"/>
        <v>642.53</v>
      </c>
      <c r="I126" s="16">
        <f t="shared" si="41"/>
        <v>32.82</v>
      </c>
      <c r="J126" s="57">
        <f t="shared" si="42"/>
        <v>675.35</v>
      </c>
      <c r="P126" s="97">
        <v>642.53311199999996</v>
      </c>
      <c r="Q126" s="98">
        <v>32.819721999999999</v>
      </c>
    </row>
    <row r="127" spans="1:17" x14ac:dyDescent="0.3">
      <c r="A127" s="21" t="s">
        <v>244</v>
      </c>
      <c r="B127" s="13" t="s">
        <v>245</v>
      </c>
      <c r="C127" s="14">
        <v>67</v>
      </c>
      <c r="D127" s="15" t="s">
        <v>36</v>
      </c>
      <c r="E127" s="95">
        <f t="shared" si="21"/>
        <v>190.45</v>
      </c>
      <c r="F127" s="96">
        <f t="shared" si="22"/>
        <v>11.16</v>
      </c>
      <c r="G127" s="16">
        <f t="shared" si="39"/>
        <v>201.60999999999999</v>
      </c>
      <c r="H127" s="16">
        <f t="shared" si="40"/>
        <v>12760.15</v>
      </c>
      <c r="I127" s="16">
        <f t="shared" si="41"/>
        <v>747.72</v>
      </c>
      <c r="J127" s="57">
        <f t="shared" si="42"/>
        <v>13507.869999999999</v>
      </c>
      <c r="P127" s="97">
        <v>190.45027300000001</v>
      </c>
      <c r="Q127" s="98">
        <v>11.161396999999999</v>
      </c>
    </row>
    <row r="128" spans="1:17" x14ac:dyDescent="0.3">
      <c r="A128" s="21" t="s">
        <v>246</v>
      </c>
      <c r="B128" s="13" t="s">
        <v>247</v>
      </c>
      <c r="C128" s="14">
        <v>215</v>
      </c>
      <c r="D128" s="15" t="s">
        <v>36</v>
      </c>
      <c r="E128" s="95">
        <f t="shared" si="21"/>
        <v>72.63</v>
      </c>
      <c r="F128" s="96">
        <f t="shared" si="22"/>
        <v>32.770000000000003</v>
      </c>
      <c r="G128" s="16">
        <f t="shared" si="39"/>
        <v>105.4</v>
      </c>
      <c r="H128" s="16">
        <f t="shared" si="40"/>
        <v>15615.449999999999</v>
      </c>
      <c r="I128" s="16">
        <f t="shared" si="41"/>
        <v>7045.5500000000011</v>
      </c>
      <c r="J128" s="57">
        <f t="shared" si="42"/>
        <v>22661</v>
      </c>
      <c r="P128" s="97">
        <v>72.628984999999986</v>
      </c>
      <c r="Q128" s="98">
        <v>32.769255999999999</v>
      </c>
    </row>
    <row r="129" spans="1:17" x14ac:dyDescent="0.3">
      <c r="A129" s="21" t="s">
        <v>248</v>
      </c>
      <c r="B129" s="13" t="s">
        <v>249</v>
      </c>
      <c r="C129" s="14">
        <v>40</v>
      </c>
      <c r="D129" s="15" t="s">
        <v>36</v>
      </c>
      <c r="E129" s="95">
        <f t="shared" si="21"/>
        <v>17.489999999999998</v>
      </c>
      <c r="F129" s="96">
        <f t="shared" si="22"/>
        <v>21.52</v>
      </c>
      <c r="G129" s="16">
        <f t="shared" si="39"/>
        <v>39.01</v>
      </c>
      <c r="H129" s="16">
        <f t="shared" si="40"/>
        <v>699.59999999999991</v>
      </c>
      <c r="I129" s="16">
        <f t="shared" si="41"/>
        <v>860.8</v>
      </c>
      <c r="J129" s="57">
        <f t="shared" si="42"/>
        <v>1560.3999999999999</v>
      </c>
      <c r="P129" s="97">
        <v>17.494879999999998</v>
      </c>
      <c r="Q129" s="98">
        <v>21.515337999999996</v>
      </c>
    </row>
    <row r="130" spans="1:17" x14ac:dyDescent="0.3">
      <c r="A130" s="21" t="s">
        <v>250</v>
      </c>
      <c r="B130" s="13" t="s">
        <v>251</v>
      </c>
      <c r="C130" s="14">
        <v>1</v>
      </c>
      <c r="D130" s="15" t="s">
        <v>51</v>
      </c>
      <c r="E130" s="95">
        <f t="shared" si="21"/>
        <v>12.29</v>
      </c>
      <c r="F130" s="96">
        <f t="shared" si="22"/>
        <v>6.59</v>
      </c>
      <c r="G130" s="16">
        <f t="shared" si="39"/>
        <v>18.88</v>
      </c>
      <c r="H130" s="16">
        <f t="shared" si="40"/>
        <v>12.29</v>
      </c>
      <c r="I130" s="16">
        <f t="shared" si="41"/>
        <v>6.59</v>
      </c>
      <c r="J130" s="57">
        <f t="shared" si="42"/>
        <v>18.88</v>
      </c>
      <c r="P130" s="97">
        <v>12.288470999999999</v>
      </c>
      <c r="Q130" s="98">
        <v>6.5858129999999999</v>
      </c>
    </row>
    <row r="131" spans="1:17" x14ac:dyDescent="0.3">
      <c r="A131" s="21" t="s">
        <v>252</v>
      </c>
      <c r="B131" s="13" t="s">
        <v>253</v>
      </c>
      <c r="C131" s="14">
        <v>48</v>
      </c>
      <c r="D131" s="15" t="s">
        <v>36</v>
      </c>
      <c r="E131" s="95">
        <f t="shared" si="21"/>
        <v>493.52</v>
      </c>
      <c r="F131" s="96">
        <f t="shared" si="22"/>
        <v>24.97</v>
      </c>
      <c r="G131" s="16">
        <f t="shared" si="39"/>
        <v>518.49</v>
      </c>
      <c r="H131" s="16">
        <f t="shared" si="40"/>
        <v>23688.959999999999</v>
      </c>
      <c r="I131" s="16">
        <f t="shared" si="41"/>
        <v>1198.56</v>
      </c>
      <c r="J131" s="57">
        <f t="shared" si="42"/>
        <v>24887.52</v>
      </c>
      <c r="P131" s="97">
        <v>493.52383599999996</v>
      </c>
      <c r="Q131" s="98">
        <v>24.972259000000001</v>
      </c>
    </row>
    <row r="132" spans="1:17" x14ac:dyDescent="0.3">
      <c r="A132" s="21" t="s">
        <v>254</v>
      </c>
      <c r="B132" s="13" t="s">
        <v>255</v>
      </c>
      <c r="C132" s="14">
        <v>236</v>
      </c>
      <c r="D132" s="15" t="s">
        <v>36</v>
      </c>
      <c r="E132" s="95">
        <f t="shared" si="21"/>
        <v>15.53</v>
      </c>
      <c r="F132" s="96">
        <f t="shared" si="22"/>
        <v>10.76</v>
      </c>
      <c r="G132" s="16">
        <f t="shared" si="39"/>
        <v>26.29</v>
      </c>
      <c r="H132" s="16">
        <f t="shared" si="40"/>
        <v>3665.08</v>
      </c>
      <c r="I132" s="16">
        <f t="shared" si="41"/>
        <v>2539.36</v>
      </c>
      <c r="J132" s="57">
        <f t="shared" si="42"/>
        <v>6204.44</v>
      </c>
      <c r="P132" s="97">
        <v>15.526706000000001</v>
      </c>
      <c r="Q132" s="98">
        <v>10.757668999999998</v>
      </c>
    </row>
    <row r="133" spans="1:17" x14ac:dyDescent="0.3">
      <c r="A133" s="21" t="s">
        <v>256</v>
      </c>
      <c r="B133" s="13" t="s">
        <v>257</v>
      </c>
      <c r="C133" s="14">
        <v>25</v>
      </c>
      <c r="D133" s="15" t="s">
        <v>36</v>
      </c>
      <c r="E133" s="95">
        <f t="shared" si="21"/>
        <v>84.82</v>
      </c>
      <c r="F133" s="96">
        <f t="shared" si="22"/>
        <v>25.75</v>
      </c>
      <c r="G133" s="16">
        <f t="shared" si="39"/>
        <v>110.57</v>
      </c>
      <c r="H133" s="16">
        <f t="shared" si="40"/>
        <v>2120.5</v>
      </c>
      <c r="I133" s="16">
        <f t="shared" si="41"/>
        <v>643.75</v>
      </c>
      <c r="J133" s="57">
        <f t="shared" si="42"/>
        <v>2764.25</v>
      </c>
      <c r="P133" s="97">
        <v>84.816524000000001</v>
      </c>
      <c r="Q133" s="98">
        <v>25.754481999999999</v>
      </c>
    </row>
    <row r="134" spans="1:17" x14ac:dyDescent="0.3">
      <c r="A134" s="21" t="s">
        <v>258</v>
      </c>
      <c r="B134" s="13" t="s">
        <v>259</v>
      </c>
      <c r="C134" s="14">
        <v>1</v>
      </c>
      <c r="D134" s="15" t="s">
        <v>36</v>
      </c>
      <c r="E134" s="95">
        <f t="shared" si="21"/>
        <v>240.5</v>
      </c>
      <c r="F134" s="96">
        <f t="shared" si="22"/>
        <v>12.49</v>
      </c>
      <c r="G134" s="16">
        <f t="shared" si="39"/>
        <v>252.99</v>
      </c>
      <c r="H134" s="16">
        <f t="shared" si="40"/>
        <v>240.5</v>
      </c>
      <c r="I134" s="16">
        <f t="shared" si="41"/>
        <v>12.49</v>
      </c>
      <c r="J134" s="57">
        <f t="shared" si="42"/>
        <v>252.99</v>
      </c>
      <c r="P134" s="97">
        <v>240.50413399999999</v>
      </c>
      <c r="Q134" s="98">
        <v>12.490335</v>
      </c>
    </row>
    <row r="135" spans="1:17" x14ac:dyDescent="0.3">
      <c r="A135" s="21" t="s">
        <v>260</v>
      </c>
      <c r="B135" s="13" t="s">
        <v>261</v>
      </c>
      <c r="C135" s="14">
        <v>1</v>
      </c>
      <c r="D135" s="15" t="s">
        <v>36</v>
      </c>
      <c r="E135" s="95">
        <f t="shared" si="21"/>
        <v>14.26</v>
      </c>
      <c r="F135" s="96">
        <f t="shared" si="22"/>
        <v>5.58</v>
      </c>
      <c r="G135" s="16">
        <f t="shared" si="39"/>
        <v>19.84</v>
      </c>
      <c r="H135" s="16">
        <f t="shared" si="40"/>
        <v>14.26</v>
      </c>
      <c r="I135" s="16">
        <f t="shared" si="41"/>
        <v>5.58</v>
      </c>
      <c r="J135" s="57">
        <f t="shared" si="42"/>
        <v>19.84</v>
      </c>
      <c r="P135" s="97">
        <v>14.256644999999999</v>
      </c>
      <c r="Q135" s="98">
        <v>5.5764929999999993</v>
      </c>
    </row>
    <row r="136" spans="1:17" x14ac:dyDescent="0.3">
      <c r="A136" s="21" t="s">
        <v>262</v>
      </c>
      <c r="B136" s="13" t="s">
        <v>263</v>
      </c>
      <c r="C136" s="14">
        <v>1</v>
      </c>
      <c r="D136" s="15" t="s">
        <v>36</v>
      </c>
      <c r="E136" s="95">
        <f t="shared" si="21"/>
        <v>44.9</v>
      </c>
      <c r="F136" s="96">
        <f t="shared" si="22"/>
        <v>12.08</v>
      </c>
      <c r="G136" s="16">
        <f t="shared" si="39"/>
        <v>56.98</v>
      </c>
      <c r="H136" s="16">
        <f t="shared" si="40"/>
        <v>44.9</v>
      </c>
      <c r="I136" s="16">
        <f t="shared" si="41"/>
        <v>12.08</v>
      </c>
      <c r="J136" s="57">
        <f t="shared" si="42"/>
        <v>56.98</v>
      </c>
      <c r="P136" s="99">
        <v>44.897917999999997</v>
      </c>
      <c r="Q136" s="100">
        <v>12.078195999999998</v>
      </c>
    </row>
    <row r="137" spans="1:17" x14ac:dyDescent="0.3">
      <c r="A137" s="21" t="s">
        <v>264</v>
      </c>
      <c r="B137" s="13" t="s">
        <v>265</v>
      </c>
      <c r="C137" s="14">
        <v>1</v>
      </c>
      <c r="D137" s="15" t="s">
        <v>36</v>
      </c>
      <c r="E137" s="95">
        <f t="shared" si="21"/>
        <v>36.07</v>
      </c>
      <c r="F137" s="96">
        <f t="shared" si="22"/>
        <v>12.08</v>
      </c>
      <c r="G137" s="16">
        <f t="shared" si="39"/>
        <v>48.15</v>
      </c>
      <c r="H137" s="16">
        <f t="shared" si="40"/>
        <v>36.07</v>
      </c>
      <c r="I137" s="16">
        <f t="shared" si="41"/>
        <v>12.08</v>
      </c>
      <c r="J137" s="57">
        <f t="shared" si="42"/>
        <v>48.15</v>
      </c>
      <c r="P137" s="99">
        <v>36.066367999999997</v>
      </c>
      <c r="Q137" s="100">
        <v>12.078195999999998</v>
      </c>
    </row>
    <row r="138" spans="1:17" x14ac:dyDescent="0.3">
      <c r="A138" s="17">
        <v>13</v>
      </c>
      <c r="B138" s="18" t="s">
        <v>266</v>
      </c>
      <c r="C138" s="9"/>
      <c r="D138" s="9"/>
      <c r="E138" s="95">
        <f t="shared" ref="E138:E201" si="43">ROUND(P138,2)</f>
        <v>0</v>
      </c>
      <c r="F138" s="96">
        <f t="shared" ref="F138:F201" si="44">ROUND(Q138,2)</f>
        <v>0</v>
      </c>
      <c r="G138" s="11">
        <f t="shared" ref="G138:I138" si="45">SUBTOTAL(109,G139:G160)</f>
        <v>3749.86</v>
      </c>
      <c r="H138" s="11">
        <f t="shared" si="45"/>
        <v>21415.55</v>
      </c>
      <c r="I138" s="11">
        <f t="shared" si="45"/>
        <v>20696.449999999997</v>
      </c>
      <c r="J138" s="56">
        <f>SUBTOTAL(109,J139:J160)</f>
        <v>42112</v>
      </c>
      <c r="P138" s="87"/>
      <c r="Q138" s="88"/>
    </row>
    <row r="139" spans="1:17" x14ac:dyDescent="0.3">
      <c r="A139" s="21" t="s">
        <v>267</v>
      </c>
      <c r="B139" s="13" t="s">
        <v>268</v>
      </c>
      <c r="C139" s="14">
        <v>1</v>
      </c>
      <c r="D139" s="15" t="s">
        <v>85</v>
      </c>
      <c r="E139" s="95">
        <f t="shared" si="43"/>
        <v>184.89</v>
      </c>
      <c r="F139" s="96">
        <f t="shared" si="44"/>
        <v>99.43</v>
      </c>
      <c r="G139" s="16">
        <f t="shared" ref="G139:G160" si="46">SUM(E139:F139)</f>
        <v>284.32</v>
      </c>
      <c r="H139" s="16">
        <f t="shared" ref="H139:H160" si="47">C139*E139</f>
        <v>184.89</v>
      </c>
      <c r="I139" s="16">
        <f t="shared" ref="I139:I160" si="48">C139*F139</f>
        <v>99.43</v>
      </c>
      <c r="J139" s="57">
        <f t="shared" ref="J139:J160" si="49">SUM(E139:F139)*C139</f>
        <v>284.32</v>
      </c>
      <c r="P139" s="97">
        <v>184.89060199999997</v>
      </c>
      <c r="Q139" s="98">
        <v>99.434841999999989</v>
      </c>
    </row>
    <row r="140" spans="1:17" x14ac:dyDescent="0.3">
      <c r="A140" s="21" t="s">
        <v>269</v>
      </c>
      <c r="B140" s="13" t="s">
        <v>270</v>
      </c>
      <c r="C140" s="14">
        <v>1</v>
      </c>
      <c r="D140" s="15" t="s">
        <v>85</v>
      </c>
      <c r="E140" s="95">
        <f t="shared" si="43"/>
        <v>297.70999999999998</v>
      </c>
      <c r="F140" s="96">
        <f t="shared" si="44"/>
        <v>48.43</v>
      </c>
      <c r="G140" s="16">
        <f t="shared" si="46"/>
        <v>346.14</v>
      </c>
      <c r="H140" s="16">
        <f t="shared" si="47"/>
        <v>297.70999999999998</v>
      </c>
      <c r="I140" s="16">
        <f t="shared" si="48"/>
        <v>48.43</v>
      </c>
      <c r="J140" s="57">
        <f t="shared" si="49"/>
        <v>346.14</v>
      </c>
      <c r="P140" s="97">
        <v>297.70734499999998</v>
      </c>
      <c r="Q140" s="98">
        <v>48.430537999999999</v>
      </c>
    </row>
    <row r="141" spans="1:17" x14ac:dyDescent="0.3">
      <c r="A141" s="21" t="s">
        <v>271</v>
      </c>
      <c r="B141" s="13" t="s">
        <v>272</v>
      </c>
      <c r="C141" s="14">
        <v>1</v>
      </c>
      <c r="D141" s="15" t="s">
        <v>85</v>
      </c>
      <c r="E141" s="95">
        <f t="shared" si="43"/>
        <v>408.36</v>
      </c>
      <c r="F141" s="96">
        <f t="shared" si="44"/>
        <v>52.57</v>
      </c>
      <c r="G141" s="16">
        <f t="shared" si="46"/>
        <v>460.93</v>
      </c>
      <c r="H141" s="16">
        <f t="shared" si="47"/>
        <v>408.36</v>
      </c>
      <c r="I141" s="16">
        <f t="shared" si="48"/>
        <v>52.57</v>
      </c>
      <c r="J141" s="57">
        <f t="shared" si="49"/>
        <v>460.93</v>
      </c>
      <c r="P141" s="97">
        <v>408.362461</v>
      </c>
      <c r="Q141" s="98">
        <v>52.568749999999994</v>
      </c>
    </row>
    <row r="142" spans="1:17" x14ac:dyDescent="0.3">
      <c r="A142" s="21" t="s">
        <v>273</v>
      </c>
      <c r="B142" s="13" t="s">
        <v>274</v>
      </c>
      <c r="C142" s="14">
        <v>240</v>
      </c>
      <c r="D142" s="15" t="s">
        <v>36</v>
      </c>
      <c r="E142" s="95">
        <f t="shared" si="43"/>
        <v>0</v>
      </c>
      <c r="F142" s="96">
        <f t="shared" si="44"/>
        <v>15.68</v>
      </c>
      <c r="G142" s="16">
        <f t="shared" si="46"/>
        <v>15.68</v>
      </c>
      <c r="H142" s="16">
        <f t="shared" si="47"/>
        <v>0</v>
      </c>
      <c r="I142" s="16">
        <f t="shared" si="48"/>
        <v>3763.2</v>
      </c>
      <c r="J142" s="57">
        <f t="shared" si="49"/>
        <v>3763.2</v>
      </c>
      <c r="P142" s="97">
        <v>0</v>
      </c>
      <c r="Q142" s="98">
        <v>15.678103999999999</v>
      </c>
    </row>
    <row r="143" spans="1:17" x14ac:dyDescent="0.3">
      <c r="A143" s="21" t="s">
        <v>275</v>
      </c>
      <c r="B143" s="13" t="s">
        <v>276</v>
      </c>
      <c r="C143" s="14">
        <v>1</v>
      </c>
      <c r="D143" s="15" t="s">
        <v>85</v>
      </c>
      <c r="E143" s="95">
        <f t="shared" si="43"/>
        <v>0</v>
      </c>
      <c r="F143" s="96">
        <f t="shared" si="44"/>
        <v>37.32</v>
      </c>
      <c r="G143" s="16">
        <f t="shared" si="46"/>
        <v>37.32</v>
      </c>
      <c r="H143" s="16">
        <f t="shared" si="47"/>
        <v>0</v>
      </c>
      <c r="I143" s="16">
        <f t="shared" si="48"/>
        <v>37.32</v>
      </c>
      <c r="J143" s="57">
        <f t="shared" si="49"/>
        <v>37.32</v>
      </c>
      <c r="P143" s="97">
        <v>0</v>
      </c>
      <c r="Q143" s="98">
        <v>37.319606999999998</v>
      </c>
    </row>
    <row r="144" spans="1:17" x14ac:dyDescent="0.3">
      <c r="A144" s="21" t="s">
        <v>277</v>
      </c>
      <c r="B144" s="13" t="s">
        <v>278</v>
      </c>
      <c r="C144" s="14">
        <v>26</v>
      </c>
      <c r="D144" s="15" t="s">
        <v>85</v>
      </c>
      <c r="E144" s="95">
        <f t="shared" si="43"/>
        <v>0</v>
      </c>
      <c r="F144" s="96">
        <f t="shared" si="44"/>
        <v>41.47</v>
      </c>
      <c r="G144" s="16">
        <f t="shared" si="46"/>
        <v>41.47</v>
      </c>
      <c r="H144" s="16">
        <f t="shared" si="47"/>
        <v>0</v>
      </c>
      <c r="I144" s="16">
        <f t="shared" si="48"/>
        <v>1078.22</v>
      </c>
      <c r="J144" s="57">
        <f t="shared" si="49"/>
        <v>1078.22</v>
      </c>
      <c r="P144" s="97">
        <v>0</v>
      </c>
      <c r="Q144" s="98">
        <v>41.466229999999996</v>
      </c>
    </row>
    <row r="145" spans="1:17" x14ac:dyDescent="0.3">
      <c r="A145" s="21" t="s">
        <v>279</v>
      </c>
      <c r="B145" s="13" t="s">
        <v>280</v>
      </c>
      <c r="C145" s="14">
        <v>1</v>
      </c>
      <c r="D145" s="15" t="s">
        <v>36</v>
      </c>
      <c r="E145" s="95">
        <f t="shared" si="43"/>
        <v>0.65</v>
      </c>
      <c r="F145" s="96">
        <f t="shared" si="44"/>
        <v>10.26</v>
      </c>
      <c r="G145" s="16">
        <f t="shared" si="46"/>
        <v>10.91</v>
      </c>
      <c r="H145" s="16">
        <f t="shared" si="47"/>
        <v>0.65</v>
      </c>
      <c r="I145" s="16">
        <f t="shared" si="48"/>
        <v>10.26</v>
      </c>
      <c r="J145" s="57">
        <f t="shared" si="49"/>
        <v>10.91</v>
      </c>
      <c r="P145" s="97">
        <v>0.64764699999999997</v>
      </c>
      <c r="Q145" s="98">
        <v>10.261419999999999</v>
      </c>
    </row>
    <row r="146" spans="1:17" x14ac:dyDescent="0.3">
      <c r="A146" s="21" t="s">
        <v>281</v>
      </c>
      <c r="B146" s="13" t="s">
        <v>282</v>
      </c>
      <c r="C146" s="14">
        <v>32</v>
      </c>
      <c r="D146" s="15" t="s">
        <v>11</v>
      </c>
      <c r="E146" s="95">
        <f t="shared" si="43"/>
        <v>7.4</v>
      </c>
      <c r="F146" s="96">
        <f t="shared" si="44"/>
        <v>41.02</v>
      </c>
      <c r="G146" s="16">
        <f t="shared" si="46"/>
        <v>48.42</v>
      </c>
      <c r="H146" s="16">
        <f t="shared" si="47"/>
        <v>236.8</v>
      </c>
      <c r="I146" s="16">
        <f t="shared" si="48"/>
        <v>1312.64</v>
      </c>
      <c r="J146" s="57">
        <f t="shared" si="49"/>
        <v>1549.44</v>
      </c>
      <c r="P146" s="97">
        <v>7.4016799999999998</v>
      </c>
      <c r="Q146" s="98">
        <v>41.020446999999997</v>
      </c>
    </row>
    <row r="147" spans="1:17" x14ac:dyDescent="0.3">
      <c r="A147" s="21" t="s">
        <v>283</v>
      </c>
      <c r="B147" s="13" t="s">
        <v>284</v>
      </c>
      <c r="C147" s="14">
        <v>1</v>
      </c>
      <c r="D147" s="15" t="s">
        <v>85</v>
      </c>
      <c r="E147" s="95">
        <f t="shared" si="43"/>
        <v>0.65</v>
      </c>
      <c r="F147" s="96">
        <f t="shared" si="44"/>
        <v>62.21</v>
      </c>
      <c r="G147" s="16">
        <f t="shared" si="46"/>
        <v>62.86</v>
      </c>
      <c r="H147" s="16">
        <f t="shared" si="47"/>
        <v>0.65</v>
      </c>
      <c r="I147" s="16">
        <f t="shared" si="48"/>
        <v>62.21</v>
      </c>
      <c r="J147" s="57">
        <f t="shared" si="49"/>
        <v>62.86</v>
      </c>
      <c r="P147" s="97">
        <v>0.64764699999999997</v>
      </c>
      <c r="Q147" s="98">
        <v>62.207755999999989</v>
      </c>
    </row>
    <row r="148" spans="1:17" x14ac:dyDescent="0.3">
      <c r="A148" s="21" t="s">
        <v>285</v>
      </c>
      <c r="B148" s="13" t="s">
        <v>286</v>
      </c>
      <c r="C148" s="14">
        <v>1</v>
      </c>
      <c r="D148" s="15" t="s">
        <v>36</v>
      </c>
      <c r="E148" s="95">
        <f t="shared" si="43"/>
        <v>1.89</v>
      </c>
      <c r="F148" s="96">
        <f t="shared" si="44"/>
        <v>50.39</v>
      </c>
      <c r="G148" s="16">
        <f t="shared" si="46"/>
        <v>52.28</v>
      </c>
      <c r="H148" s="16">
        <f t="shared" si="47"/>
        <v>1.89</v>
      </c>
      <c r="I148" s="16">
        <f t="shared" si="48"/>
        <v>50.39</v>
      </c>
      <c r="J148" s="57">
        <f t="shared" si="49"/>
        <v>52.28</v>
      </c>
      <c r="P148" s="97">
        <v>1.8924749999999999</v>
      </c>
      <c r="Q148" s="98">
        <v>50.390300999999994</v>
      </c>
    </row>
    <row r="149" spans="1:17" x14ac:dyDescent="0.3">
      <c r="A149" s="21" t="s">
        <v>287</v>
      </c>
      <c r="B149" s="13" t="s">
        <v>288</v>
      </c>
      <c r="C149" s="14">
        <v>26</v>
      </c>
      <c r="D149" s="15" t="s">
        <v>85</v>
      </c>
      <c r="E149" s="95">
        <f t="shared" si="43"/>
        <v>0.78</v>
      </c>
      <c r="F149" s="96">
        <f t="shared" si="44"/>
        <v>62.21</v>
      </c>
      <c r="G149" s="16">
        <f t="shared" si="46"/>
        <v>62.99</v>
      </c>
      <c r="H149" s="16">
        <f t="shared" si="47"/>
        <v>20.28</v>
      </c>
      <c r="I149" s="16">
        <f t="shared" si="48"/>
        <v>1617.46</v>
      </c>
      <c r="J149" s="57">
        <f t="shared" si="49"/>
        <v>1637.74</v>
      </c>
      <c r="P149" s="97">
        <v>0.782223</v>
      </c>
      <c r="Q149" s="98">
        <v>62.207755999999989</v>
      </c>
    </row>
    <row r="150" spans="1:17" x14ac:dyDescent="0.3">
      <c r="A150" s="21" t="s">
        <v>289</v>
      </c>
      <c r="B150" s="13" t="s">
        <v>290</v>
      </c>
      <c r="C150" s="14">
        <v>340</v>
      </c>
      <c r="D150" s="15" t="s">
        <v>85</v>
      </c>
      <c r="E150" s="95">
        <f t="shared" si="43"/>
        <v>2.17</v>
      </c>
      <c r="F150" s="96">
        <f t="shared" si="44"/>
        <v>7.85</v>
      </c>
      <c r="G150" s="16">
        <f t="shared" si="46"/>
        <v>10.02</v>
      </c>
      <c r="H150" s="16">
        <f t="shared" si="47"/>
        <v>737.8</v>
      </c>
      <c r="I150" s="16">
        <f t="shared" si="48"/>
        <v>2669</v>
      </c>
      <c r="J150" s="57">
        <f t="shared" si="49"/>
        <v>3406.7999999999997</v>
      </c>
      <c r="P150" s="97">
        <v>2.1700379999999999</v>
      </c>
      <c r="Q150" s="98">
        <v>7.8474629999999994</v>
      </c>
    </row>
    <row r="151" spans="1:17" x14ac:dyDescent="0.3">
      <c r="A151" s="21" t="s">
        <v>291</v>
      </c>
      <c r="B151" s="13" t="s">
        <v>292</v>
      </c>
      <c r="C151" s="14">
        <v>45</v>
      </c>
      <c r="D151" s="15" t="s">
        <v>36</v>
      </c>
      <c r="E151" s="95">
        <f t="shared" si="43"/>
        <v>406.32</v>
      </c>
      <c r="F151" s="96">
        <f t="shared" si="44"/>
        <v>209.71</v>
      </c>
      <c r="G151" s="16">
        <f t="shared" si="46"/>
        <v>616.03</v>
      </c>
      <c r="H151" s="16">
        <f t="shared" si="47"/>
        <v>18284.400000000001</v>
      </c>
      <c r="I151" s="16">
        <f t="shared" si="48"/>
        <v>9436.9500000000007</v>
      </c>
      <c r="J151" s="57">
        <f t="shared" si="49"/>
        <v>27721.35</v>
      </c>
      <c r="P151" s="97">
        <v>406.31858799999998</v>
      </c>
      <c r="Q151" s="98">
        <v>209.71146300000001</v>
      </c>
    </row>
    <row r="152" spans="1:17" x14ac:dyDescent="0.3">
      <c r="A152" s="21" t="s">
        <v>293</v>
      </c>
      <c r="B152" s="13" t="s">
        <v>294</v>
      </c>
      <c r="C152" s="14">
        <v>1</v>
      </c>
      <c r="D152" s="15" t="s">
        <v>85</v>
      </c>
      <c r="E152" s="95">
        <f t="shared" si="43"/>
        <v>16.399999999999999</v>
      </c>
      <c r="F152" s="96">
        <f t="shared" si="44"/>
        <v>62.92</v>
      </c>
      <c r="G152" s="16">
        <f t="shared" si="46"/>
        <v>79.319999999999993</v>
      </c>
      <c r="H152" s="16">
        <f t="shared" si="47"/>
        <v>16.399999999999999</v>
      </c>
      <c r="I152" s="16">
        <f t="shared" si="48"/>
        <v>62.92</v>
      </c>
      <c r="J152" s="57">
        <f t="shared" si="49"/>
        <v>79.319999999999993</v>
      </c>
      <c r="P152" s="97">
        <v>16.401450000000001</v>
      </c>
      <c r="Q152" s="98">
        <v>62.922691</v>
      </c>
    </row>
    <row r="153" spans="1:17" x14ac:dyDescent="0.3">
      <c r="A153" s="21" t="s">
        <v>295</v>
      </c>
      <c r="B153" s="13" t="s">
        <v>296</v>
      </c>
      <c r="C153" s="14">
        <v>1</v>
      </c>
      <c r="D153" s="15" t="s">
        <v>85</v>
      </c>
      <c r="E153" s="95">
        <f t="shared" si="43"/>
        <v>1.3</v>
      </c>
      <c r="F153" s="96">
        <f t="shared" si="44"/>
        <v>20.16</v>
      </c>
      <c r="G153" s="16">
        <f t="shared" si="46"/>
        <v>21.46</v>
      </c>
      <c r="H153" s="16">
        <f t="shared" si="47"/>
        <v>1.3</v>
      </c>
      <c r="I153" s="16">
        <f t="shared" si="48"/>
        <v>20.16</v>
      </c>
      <c r="J153" s="57">
        <f t="shared" si="49"/>
        <v>21.46</v>
      </c>
      <c r="P153" s="97">
        <v>1.3037049999999999</v>
      </c>
      <c r="Q153" s="98">
        <v>20.161166999999999</v>
      </c>
    </row>
    <row r="154" spans="1:17" x14ac:dyDescent="0.3">
      <c r="A154" s="21" t="s">
        <v>297</v>
      </c>
      <c r="B154" s="13" t="s">
        <v>298</v>
      </c>
      <c r="C154" s="14">
        <v>1</v>
      </c>
      <c r="D154" s="15" t="s">
        <v>36</v>
      </c>
      <c r="E154" s="95">
        <f t="shared" si="43"/>
        <v>273.85000000000002</v>
      </c>
      <c r="F154" s="96">
        <f t="shared" si="44"/>
        <v>20.98</v>
      </c>
      <c r="G154" s="16">
        <f t="shared" si="46"/>
        <v>294.83000000000004</v>
      </c>
      <c r="H154" s="16">
        <f t="shared" si="47"/>
        <v>273.85000000000002</v>
      </c>
      <c r="I154" s="16">
        <f t="shared" si="48"/>
        <v>20.98</v>
      </c>
      <c r="J154" s="57">
        <f t="shared" si="49"/>
        <v>294.83000000000004</v>
      </c>
      <c r="P154" s="97">
        <v>273.85374899999999</v>
      </c>
      <c r="Q154" s="98">
        <v>20.977034</v>
      </c>
    </row>
    <row r="155" spans="1:17" x14ac:dyDescent="0.3">
      <c r="A155" s="21" t="s">
        <v>299</v>
      </c>
      <c r="B155" s="13" t="s">
        <v>300</v>
      </c>
      <c r="C155" s="14">
        <v>1</v>
      </c>
      <c r="D155" s="15" t="s">
        <v>85</v>
      </c>
      <c r="E155" s="95">
        <f t="shared" si="43"/>
        <v>205.61</v>
      </c>
      <c r="F155" s="96">
        <f t="shared" si="44"/>
        <v>3.96</v>
      </c>
      <c r="G155" s="16">
        <f t="shared" si="46"/>
        <v>209.57000000000002</v>
      </c>
      <c r="H155" s="16">
        <f t="shared" si="47"/>
        <v>205.61</v>
      </c>
      <c r="I155" s="16">
        <f t="shared" si="48"/>
        <v>3.96</v>
      </c>
      <c r="J155" s="57">
        <f t="shared" si="49"/>
        <v>209.57000000000002</v>
      </c>
      <c r="P155" s="97">
        <v>205.60689499999998</v>
      </c>
      <c r="Q155" s="98">
        <v>3.9615809999999998</v>
      </c>
    </row>
    <row r="156" spans="1:17" x14ac:dyDescent="0.3">
      <c r="A156" s="21" t="s">
        <v>301</v>
      </c>
      <c r="B156" s="13" t="s">
        <v>302</v>
      </c>
      <c r="C156" s="14">
        <v>1</v>
      </c>
      <c r="D156" s="15" t="s">
        <v>36</v>
      </c>
      <c r="E156" s="95">
        <f t="shared" si="43"/>
        <v>293.54000000000002</v>
      </c>
      <c r="F156" s="96">
        <f t="shared" si="44"/>
        <v>104.86</v>
      </c>
      <c r="G156" s="16">
        <f t="shared" si="46"/>
        <v>398.40000000000003</v>
      </c>
      <c r="H156" s="16">
        <f t="shared" si="47"/>
        <v>293.54000000000002</v>
      </c>
      <c r="I156" s="16">
        <f t="shared" si="48"/>
        <v>104.86</v>
      </c>
      <c r="J156" s="57">
        <f t="shared" si="49"/>
        <v>398.40000000000003</v>
      </c>
      <c r="P156" s="97">
        <v>293.53548899999998</v>
      </c>
      <c r="Q156" s="98">
        <v>104.859937</v>
      </c>
    </row>
    <row r="157" spans="1:17" x14ac:dyDescent="0.3">
      <c r="A157" s="21" t="s">
        <v>303</v>
      </c>
      <c r="B157" s="13" t="s">
        <v>304</v>
      </c>
      <c r="C157" s="14">
        <v>1</v>
      </c>
      <c r="D157" s="15" t="s">
        <v>36</v>
      </c>
      <c r="E157" s="95">
        <f t="shared" si="43"/>
        <v>426.87</v>
      </c>
      <c r="F157" s="96">
        <f t="shared" si="44"/>
        <v>117.75</v>
      </c>
      <c r="G157" s="16">
        <f t="shared" si="46"/>
        <v>544.62</v>
      </c>
      <c r="H157" s="16">
        <f t="shared" si="47"/>
        <v>426.87</v>
      </c>
      <c r="I157" s="16">
        <f t="shared" si="48"/>
        <v>117.75</v>
      </c>
      <c r="J157" s="57">
        <f t="shared" si="49"/>
        <v>544.62</v>
      </c>
      <c r="P157" s="97">
        <v>426.86666099999997</v>
      </c>
      <c r="Q157" s="98">
        <v>117.75399999999999</v>
      </c>
    </row>
    <row r="158" spans="1:17" x14ac:dyDescent="0.3">
      <c r="A158" s="21" t="s">
        <v>305</v>
      </c>
      <c r="B158" s="13" t="s">
        <v>306</v>
      </c>
      <c r="C158" s="14">
        <v>1</v>
      </c>
      <c r="D158" s="15" t="s">
        <v>11</v>
      </c>
      <c r="E158" s="95">
        <f t="shared" si="43"/>
        <v>7.14</v>
      </c>
      <c r="F158" s="96">
        <f t="shared" si="44"/>
        <v>53.34</v>
      </c>
      <c r="G158" s="16">
        <f t="shared" si="46"/>
        <v>60.480000000000004</v>
      </c>
      <c r="H158" s="16">
        <f t="shared" si="47"/>
        <v>7.14</v>
      </c>
      <c r="I158" s="16">
        <f t="shared" si="48"/>
        <v>53.34</v>
      </c>
      <c r="J158" s="57">
        <f t="shared" si="49"/>
        <v>60.480000000000004</v>
      </c>
      <c r="P158" s="97">
        <v>7.1409389999999995</v>
      </c>
      <c r="Q158" s="98">
        <v>53.342562000000001</v>
      </c>
    </row>
    <row r="159" spans="1:17" x14ac:dyDescent="0.3">
      <c r="A159" s="21" t="s">
        <v>307</v>
      </c>
      <c r="B159" s="13" t="s">
        <v>308</v>
      </c>
      <c r="C159" s="14">
        <v>1</v>
      </c>
      <c r="D159" s="15" t="s">
        <v>11</v>
      </c>
      <c r="E159" s="95">
        <f t="shared" si="43"/>
        <v>17.41</v>
      </c>
      <c r="F159" s="96">
        <f t="shared" si="44"/>
        <v>11.48</v>
      </c>
      <c r="G159" s="16">
        <f t="shared" si="46"/>
        <v>28.89</v>
      </c>
      <c r="H159" s="16">
        <f t="shared" si="47"/>
        <v>17.41</v>
      </c>
      <c r="I159" s="16">
        <f t="shared" si="48"/>
        <v>11.48</v>
      </c>
      <c r="J159" s="57">
        <f t="shared" si="49"/>
        <v>28.89</v>
      </c>
      <c r="P159" s="97">
        <v>17.410769999999999</v>
      </c>
      <c r="Q159" s="98">
        <v>11.481014999999999</v>
      </c>
    </row>
    <row r="160" spans="1:17" x14ac:dyDescent="0.3">
      <c r="A160" s="21" t="s">
        <v>309</v>
      </c>
      <c r="B160" s="13" t="s">
        <v>310</v>
      </c>
      <c r="C160" s="14">
        <v>1</v>
      </c>
      <c r="D160" s="15" t="s">
        <v>85</v>
      </c>
      <c r="E160" s="95">
        <f t="shared" si="43"/>
        <v>0</v>
      </c>
      <c r="F160" s="96">
        <f t="shared" si="44"/>
        <v>62.92</v>
      </c>
      <c r="G160" s="16">
        <f t="shared" si="46"/>
        <v>62.92</v>
      </c>
      <c r="H160" s="16">
        <f t="shared" si="47"/>
        <v>0</v>
      </c>
      <c r="I160" s="16">
        <f t="shared" si="48"/>
        <v>62.92</v>
      </c>
      <c r="J160" s="57">
        <f t="shared" si="49"/>
        <v>62.92</v>
      </c>
      <c r="P160" s="99">
        <v>0</v>
      </c>
      <c r="Q160" s="100">
        <v>62.922691</v>
      </c>
    </row>
    <row r="161" spans="1:17" x14ac:dyDescent="0.3">
      <c r="A161" s="17">
        <v>14</v>
      </c>
      <c r="B161" s="18" t="s">
        <v>311</v>
      </c>
      <c r="C161" s="9"/>
      <c r="D161" s="9"/>
      <c r="E161" s="95">
        <f t="shared" si="43"/>
        <v>0</v>
      </c>
      <c r="F161" s="96">
        <f t="shared" si="44"/>
        <v>0</v>
      </c>
      <c r="G161" s="11">
        <f t="shared" ref="G161:I161" si="50">SUBTOTAL(109,G162:G190)</f>
        <v>17931.430000000004</v>
      </c>
      <c r="H161" s="11">
        <f t="shared" si="50"/>
        <v>42810.420000000006</v>
      </c>
      <c r="I161" s="11">
        <f t="shared" si="50"/>
        <v>12798.589999999997</v>
      </c>
      <c r="J161" s="56">
        <f>SUBTOTAL(109,J162:J190)</f>
        <v>55609.010000000009</v>
      </c>
      <c r="P161" s="87"/>
      <c r="Q161" s="88"/>
    </row>
    <row r="162" spans="1:17" x14ac:dyDescent="0.3">
      <c r="A162" s="21" t="s">
        <v>312</v>
      </c>
      <c r="B162" s="13" t="s">
        <v>313</v>
      </c>
      <c r="C162" s="14">
        <v>1</v>
      </c>
      <c r="D162" s="15" t="s">
        <v>36</v>
      </c>
      <c r="E162" s="95">
        <f t="shared" si="43"/>
        <v>434.8</v>
      </c>
      <c r="F162" s="96">
        <f t="shared" si="44"/>
        <v>147.29</v>
      </c>
      <c r="G162" s="16">
        <f t="shared" ref="G162:G190" si="51">SUM(E162:F162)</f>
        <v>582.09</v>
      </c>
      <c r="H162" s="16">
        <f t="shared" ref="H162:H190" si="52">C162*E162</f>
        <v>434.8</v>
      </c>
      <c r="I162" s="16">
        <f t="shared" ref="I162:I190" si="53">C162*F162</f>
        <v>147.29</v>
      </c>
      <c r="J162" s="57">
        <f t="shared" ref="J162:J190" si="54">SUM(E162:F162)*C162</f>
        <v>582.09</v>
      </c>
      <c r="P162" s="97">
        <v>434.79823400000004</v>
      </c>
      <c r="Q162" s="98">
        <v>147.285021</v>
      </c>
    </row>
    <row r="163" spans="1:17" x14ac:dyDescent="0.3">
      <c r="A163" s="21" t="s">
        <v>314</v>
      </c>
      <c r="B163" s="13" t="s">
        <v>315</v>
      </c>
      <c r="C163" s="14">
        <v>1</v>
      </c>
      <c r="D163" s="15" t="s">
        <v>36</v>
      </c>
      <c r="E163" s="95">
        <f t="shared" si="43"/>
        <v>598.78</v>
      </c>
      <c r="F163" s="96">
        <f t="shared" si="44"/>
        <v>54.55</v>
      </c>
      <c r="G163" s="16">
        <f t="shared" si="51"/>
        <v>653.32999999999993</v>
      </c>
      <c r="H163" s="16">
        <f t="shared" si="52"/>
        <v>598.78</v>
      </c>
      <c r="I163" s="16">
        <f t="shared" si="53"/>
        <v>54.55</v>
      </c>
      <c r="J163" s="57">
        <f t="shared" si="54"/>
        <v>653.32999999999993</v>
      </c>
      <c r="P163" s="97">
        <v>598.77909</v>
      </c>
      <c r="Q163" s="98">
        <v>54.545334999999994</v>
      </c>
    </row>
    <row r="164" spans="1:17" x14ac:dyDescent="0.3">
      <c r="A164" s="21" t="s">
        <v>316</v>
      </c>
      <c r="B164" s="13" t="s">
        <v>317</v>
      </c>
      <c r="C164" s="14">
        <v>1</v>
      </c>
      <c r="D164" s="15" t="s">
        <v>51</v>
      </c>
      <c r="E164" s="95">
        <f t="shared" si="43"/>
        <v>2.97</v>
      </c>
      <c r="F164" s="96">
        <f t="shared" si="44"/>
        <v>21.49</v>
      </c>
      <c r="G164" s="16">
        <f t="shared" si="51"/>
        <v>24.459999999999997</v>
      </c>
      <c r="H164" s="16">
        <f t="shared" si="52"/>
        <v>2.97</v>
      </c>
      <c r="I164" s="16">
        <f t="shared" si="53"/>
        <v>21.49</v>
      </c>
      <c r="J164" s="57">
        <f t="shared" si="54"/>
        <v>24.459999999999997</v>
      </c>
      <c r="P164" s="97">
        <v>2.9690829999999995</v>
      </c>
      <c r="Q164" s="98">
        <v>21.490105</v>
      </c>
    </row>
    <row r="165" spans="1:17" ht="28.8" x14ac:dyDescent="0.3">
      <c r="A165" s="21" t="s">
        <v>318</v>
      </c>
      <c r="B165" s="13" t="s">
        <v>319</v>
      </c>
      <c r="C165" s="14">
        <v>1</v>
      </c>
      <c r="D165" s="15" t="s">
        <v>51</v>
      </c>
      <c r="E165" s="95">
        <f t="shared" si="43"/>
        <v>80.819999999999993</v>
      </c>
      <c r="F165" s="96">
        <f t="shared" si="44"/>
        <v>71.319999999999993</v>
      </c>
      <c r="G165" s="16">
        <f t="shared" si="51"/>
        <v>152.13999999999999</v>
      </c>
      <c r="H165" s="16">
        <f t="shared" si="52"/>
        <v>80.819999999999993</v>
      </c>
      <c r="I165" s="16">
        <f t="shared" si="53"/>
        <v>71.319999999999993</v>
      </c>
      <c r="J165" s="57">
        <f t="shared" si="54"/>
        <v>152.13999999999999</v>
      </c>
      <c r="P165" s="97">
        <v>80.821298999999996</v>
      </c>
      <c r="Q165" s="98">
        <v>71.316868999999997</v>
      </c>
    </row>
    <row r="166" spans="1:17" x14ac:dyDescent="0.3">
      <c r="A166" s="21" t="s">
        <v>320</v>
      </c>
      <c r="B166" s="13" t="s">
        <v>321</v>
      </c>
      <c r="C166" s="14">
        <v>1</v>
      </c>
      <c r="D166" s="15" t="s">
        <v>51</v>
      </c>
      <c r="E166" s="95">
        <f t="shared" si="43"/>
        <v>265.87</v>
      </c>
      <c r="F166" s="96">
        <f t="shared" si="44"/>
        <v>260.64999999999998</v>
      </c>
      <c r="G166" s="16">
        <f t="shared" si="51"/>
        <v>526.52</v>
      </c>
      <c r="H166" s="16">
        <f t="shared" si="52"/>
        <v>265.87</v>
      </c>
      <c r="I166" s="16">
        <f t="shared" si="53"/>
        <v>260.64999999999998</v>
      </c>
      <c r="J166" s="57">
        <f t="shared" si="54"/>
        <v>526.52</v>
      </c>
      <c r="P166" s="97">
        <v>265.87171000000001</v>
      </c>
      <c r="Q166" s="98">
        <v>260.64847899999995</v>
      </c>
    </row>
    <row r="167" spans="1:17" x14ac:dyDescent="0.3">
      <c r="A167" s="21" t="s">
        <v>322</v>
      </c>
      <c r="B167" s="13" t="s">
        <v>323</v>
      </c>
      <c r="C167" s="14">
        <v>154</v>
      </c>
      <c r="D167" s="15" t="s">
        <v>36</v>
      </c>
      <c r="E167" s="95">
        <f t="shared" si="43"/>
        <v>35.78</v>
      </c>
      <c r="F167" s="96">
        <f t="shared" si="44"/>
        <v>21.36</v>
      </c>
      <c r="G167" s="16">
        <f t="shared" si="51"/>
        <v>57.14</v>
      </c>
      <c r="H167" s="16">
        <f t="shared" si="52"/>
        <v>5510.12</v>
      </c>
      <c r="I167" s="16">
        <f t="shared" si="53"/>
        <v>3289.44</v>
      </c>
      <c r="J167" s="57">
        <f t="shared" si="54"/>
        <v>8799.56</v>
      </c>
      <c r="P167" s="97">
        <v>35.780393999999994</v>
      </c>
      <c r="Q167" s="98">
        <v>21.355529000000001</v>
      </c>
    </row>
    <row r="168" spans="1:17" x14ac:dyDescent="0.3">
      <c r="A168" s="21" t="s">
        <v>324</v>
      </c>
      <c r="B168" s="13" t="s">
        <v>325</v>
      </c>
      <c r="C168" s="14">
        <v>23</v>
      </c>
      <c r="D168" s="15" t="s">
        <v>36</v>
      </c>
      <c r="E168" s="95">
        <f t="shared" si="43"/>
        <v>35.78</v>
      </c>
      <c r="F168" s="96">
        <f t="shared" si="44"/>
        <v>61.7</v>
      </c>
      <c r="G168" s="16">
        <f t="shared" si="51"/>
        <v>97.48</v>
      </c>
      <c r="H168" s="16">
        <f t="shared" si="52"/>
        <v>822.94</v>
      </c>
      <c r="I168" s="16">
        <f t="shared" si="53"/>
        <v>1419.1000000000001</v>
      </c>
      <c r="J168" s="57">
        <f t="shared" si="54"/>
        <v>2242.04</v>
      </c>
      <c r="P168" s="97">
        <v>35.780393999999994</v>
      </c>
      <c r="Q168" s="98">
        <v>61.703095999999995</v>
      </c>
    </row>
    <row r="169" spans="1:17" x14ac:dyDescent="0.3">
      <c r="A169" s="21" t="s">
        <v>326</v>
      </c>
      <c r="B169" s="13" t="s">
        <v>327</v>
      </c>
      <c r="C169" s="14">
        <v>43</v>
      </c>
      <c r="D169" s="15" t="s">
        <v>36</v>
      </c>
      <c r="E169" s="95">
        <f t="shared" si="43"/>
        <v>494.33</v>
      </c>
      <c r="F169" s="96">
        <f t="shared" si="44"/>
        <v>124.14</v>
      </c>
      <c r="G169" s="16">
        <f t="shared" si="51"/>
        <v>618.47</v>
      </c>
      <c r="H169" s="16">
        <f t="shared" si="52"/>
        <v>21256.19</v>
      </c>
      <c r="I169" s="16">
        <f t="shared" si="53"/>
        <v>5338.02</v>
      </c>
      <c r="J169" s="57">
        <f t="shared" si="54"/>
        <v>26594.210000000003</v>
      </c>
      <c r="P169" s="97">
        <v>494.33129200000002</v>
      </c>
      <c r="Q169" s="98">
        <v>124.13794899999999</v>
      </c>
    </row>
    <row r="170" spans="1:17" x14ac:dyDescent="0.3">
      <c r="A170" s="21" t="s">
        <v>328</v>
      </c>
      <c r="B170" s="13" t="s">
        <v>329</v>
      </c>
      <c r="C170" s="14">
        <v>1</v>
      </c>
      <c r="D170" s="15" t="s">
        <v>85</v>
      </c>
      <c r="E170" s="95">
        <f t="shared" si="43"/>
        <v>398.47</v>
      </c>
      <c r="F170" s="96">
        <f t="shared" si="44"/>
        <v>32.81</v>
      </c>
      <c r="G170" s="16">
        <f t="shared" si="51"/>
        <v>431.28000000000003</v>
      </c>
      <c r="H170" s="16">
        <f t="shared" si="52"/>
        <v>398.47</v>
      </c>
      <c r="I170" s="16">
        <f t="shared" si="53"/>
        <v>32.81</v>
      </c>
      <c r="J170" s="57">
        <f t="shared" si="54"/>
        <v>431.28000000000003</v>
      </c>
      <c r="P170" s="97">
        <v>398.47112499999997</v>
      </c>
      <c r="Q170" s="98">
        <v>32.811310999999996</v>
      </c>
    </row>
    <row r="171" spans="1:17" x14ac:dyDescent="0.3">
      <c r="A171" s="21" t="s">
        <v>330</v>
      </c>
      <c r="B171" s="13" t="s">
        <v>331</v>
      </c>
      <c r="C171" s="14">
        <v>1</v>
      </c>
      <c r="D171" s="15" t="s">
        <v>85</v>
      </c>
      <c r="E171" s="95">
        <f t="shared" si="43"/>
        <v>177.31</v>
      </c>
      <c r="F171" s="96">
        <f t="shared" si="44"/>
        <v>31.1</v>
      </c>
      <c r="G171" s="16">
        <f t="shared" si="51"/>
        <v>208.41</v>
      </c>
      <c r="H171" s="16">
        <f t="shared" si="52"/>
        <v>177.31</v>
      </c>
      <c r="I171" s="16">
        <f t="shared" si="53"/>
        <v>31.1</v>
      </c>
      <c r="J171" s="57">
        <f t="shared" si="54"/>
        <v>208.41</v>
      </c>
      <c r="P171" s="97">
        <v>177.31229099999999</v>
      </c>
      <c r="Q171" s="98">
        <v>31.103877999999995</v>
      </c>
    </row>
    <row r="172" spans="1:17" x14ac:dyDescent="0.3">
      <c r="A172" s="21" t="s">
        <v>332</v>
      </c>
      <c r="B172" s="13" t="s">
        <v>333</v>
      </c>
      <c r="C172" s="14">
        <v>19</v>
      </c>
      <c r="D172" s="15" t="s">
        <v>85</v>
      </c>
      <c r="E172" s="95">
        <f t="shared" si="43"/>
        <v>2.6</v>
      </c>
      <c r="F172" s="96">
        <f t="shared" si="44"/>
        <v>42.67</v>
      </c>
      <c r="G172" s="16">
        <f t="shared" si="51"/>
        <v>45.27</v>
      </c>
      <c r="H172" s="16">
        <f t="shared" si="52"/>
        <v>49.4</v>
      </c>
      <c r="I172" s="16">
        <f t="shared" si="53"/>
        <v>810.73</v>
      </c>
      <c r="J172" s="57">
        <f t="shared" si="54"/>
        <v>860.13000000000011</v>
      </c>
      <c r="P172" s="97">
        <v>2.5989989999999996</v>
      </c>
      <c r="Q172" s="98">
        <v>42.669002999999996</v>
      </c>
    </row>
    <row r="173" spans="1:17" x14ac:dyDescent="0.3">
      <c r="A173" s="21" t="s">
        <v>334</v>
      </c>
      <c r="B173" s="13" t="s">
        <v>335</v>
      </c>
      <c r="C173" s="14">
        <v>1</v>
      </c>
      <c r="D173" s="15" t="s">
        <v>36</v>
      </c>
      <c r="E173" s="95">
        <f t="shared" si="43"/>
        <v>99.11</v>
      </c>
      <c r="F173" s="96">
        <f t="shared" si="44"/>
        <v>36.93</v>
      </c>
      <c r="G173" s="16">
        <f t="shared" si="51"/>
        <v>136.04</v>
      </c>
      <c r="H173" s="16">
        <f t="shared" si="52"/>
        <v>99.11</v>
      </c>
      <c r="I173" s="16">
        <f t="shared" si="53"/>
        <v>36.93</v>
      </c>
      <c r="J173" s="57">
        <f t="shared" si="54"/>
        <v>136.04</v>
      </c>
      <c r="P173" s="97">
        <v>99.106812999999988</v>
      </c>
      <c r="Q173" s="98">
        <v>36.932700999999994</v>
      </c>
    </row>
    <row r="174" spans="1:17" x14ac:dyDescent="0.3">
      <c r="A174" s="21" t="s">
        <v>336</v>
      </c>
      <c r="B174" s="13" t="s">
        <v>337</v>
      </c>
      <c r="C174" s="14">
        <v>1</v>
      </c>
      <c r="D174" s="15" t="s">
        <v>85</v>
      </c>
      <c r="E174" s="95">
        <f t="shared" si="43"/>
        <v>287.92</v>
      </c>
      <c r="F174" s="96">
        <f t="shared" si="44"/>
        <v>325.55</v>
      </c>
      <c r="G174" s="16">
        <f t="shared" si="51"/>
        <v>613.47</v>
      </c>
      <c r="H174" s="16">
        <f t="shared" si="52"/>
        <v>287.92</v>
      </c>
      <c r="I174" s="16">
        <f t="shared" si="53"/>
        <v>325.55</v>
      </c>
      <c r="J174" s="57">
        <f t="shared" si="54"/>
        <v>613.47</v>
      </c>
      <c r="P174" s="97">
        <v>287.91694100000001</v>
      </c>
      <c r="Q174" s="98">
        <v>325.547755</v>
      </c>
    </row>
    <row r="175" spans="1:17" x14ac:dyDescent="0.3">
      <c r="A175" s="21" t="s">
        <v>338</v>
      </c>
      <c r="B175" s="13" t="s">
        <v>339</v>
      </c>
      <c r="C175" s="14">
        <v>1</v>
      </c>
      <c r="D175" s="15" t="s">
        <v>85</v>
      </c>
      <c r="E175" s="95">
        <f t="shared" si="43"/>
        <v>3995.67</v>
      </c>
      <c r="F175" s="96">
        <f t="shared" si="44"/>
        <v>101.83</v>
      </c>
      <c r="G175" s="16">
        <f t="shared" si="51"/>
        <v>4097.5</v>
      </c>
      <c r="H175" s="16">
        <f t="shared" si="52"/>
        <v>3995.67</v>
      </c>
      <c r="I175" s="16">
        <f t="shared" si="53"/>
        <v>101.83</v>
      </c>
      <c r="J175" s="57">
        <f t="shared" si="54"/>
        <v>4097.5</v>
      </c>
      <c r="P175" s="97">
        <v>3995.6707829999996</v>
      </c>
      <c r="Q175" s="98">
        <v>101.83197699999999</v>
      </c>
    </row>
    <row r="176" spans="1:17" x14ac:dyDescent="0.3">
      <c r="A176" s="21" t="s">
        <v>340</v>
      </c>
      <c r="B176" s="13" t="s">
        <v>341</v>
      </c>
      <c r="C176" s="14">
        <v>1</v>
      </c>
      <c r="D176" s="15" t="s">
        <v>85</v>
      </c>
      <c r="E176" s="95">
        <f t="shared" si="43"/>
        <v>2541.34</v>
      </c>
      <c r="F176" s="96">
        <f t="shared" si="44"/>
        <v>101.83</v>
      </c>
      <c r="G176" s="16">
        <f t="shared" si="51"/>
        <v>2643.17</v>
      </c>
      <c r="H176" s="16">
        <f t="shared" si="52"/>
        <v>2541.34</v>
      </c>
      <c r="I176" s="16">
        <f t="shared" si="53"/>
        <v>101.83</v>
      </c>
      <c r="J176" s="57">
        <f t="shared" si="54"/>
        <v>2643.17</v>
      </c>
      <c r="P176" s="97">
        <v>2541.3415949999999</v>
      </c>
      <c r="Q176" s="98">
        <v>101.83197699999999</v>
      </c>
    </row>
    <row r="177" spans="1:17" x14ac:dyDescent="0.3">
      <c r="A177" s="21" t="s">
        <v>342</v>
      </c>
      <c r="B177" s="13" t="s">
        <v>343</v>
      </c>
      <c r="C177" s="14">
        <v>1</v>
      </c>
      <c r="D177" s="15" t="s">
        <v>85</v>
      </c>
      <c r="E177" s="95">
        <f t="shared" si="43"/>
        <v>819.96</v>
      </c>
      <c r="F177" s="96">
        <f t="shared" si="44"/>
        <v>144.49</v>
      </c>
      <c r="G177" s="16">
        <f t="shared" si="51"/>
        <v>964.45</v>
      </c>
      <c r="H177" s="16">
        <f t="shared" si="52"/>
        <v>819.96</v>
      </c>
      <c r="I177" s="16">
        <f t="shared" si="53"/>
        <v>144.49</v>
      </c>
      <c r="J177" s="57">
        <f t="shared" si="54"/>
        <v>964.45</v>
      </c>
      <c r="P177" s="97">
        <v>819.96315699999991</v>
      </c>
      <c r="Q177" s="98">
        <v>144.49256899999997</v>
      </c>
    </row>
    <row r="178" spans="1:17" x14ac:dyDescent="0.3">
      <c r="A178" s="21" t="s">
        <v>344</v>
      </c>
      <c r="B178" s="13" t="s">
        <v>345</v>
      </c>
      <c r="C178" s="14">
        <v>1</v>
      </c>
      <c r="D178" s="15" t="s">
        <v>36</v>
      </c>
      <c r="E178" s="95">
        <f t="shared" si="43"/>
        <v>408.1</v>
      </c>
      <c r="F178" s="96">
        <f t="shared" si="44"/>
        <v>48.98</v>
      </c>
      <c r="G178" s="16">
        <f t="shared" si="51"/>
        <v>457.08000000000004</v>
      </c>
      <c r="H178" s="16">
        <f t="shared" si="52"/>
        <v>408.1</v>
      </c>
      <c r="I178" s="16">
        <f t="shared" si="53"/>
        <v>48.98</v>
      </c>
      <c r="J178" s="57">
        <f t="shared" si="54"/>
        <v>457.08000000000004</v>
      </c>
      <c r="P178" s="97">
        <v>408.10171999999994</v>
      </c>
      <c r="Q178" s="98">
        <v>48.977252999999997</v>
      </c>
    </row>
    <row r="179" spans="1:17" x14ac:dyDescent="0.3">
      <c r="A179" s="21" t="s">
        <v>346</v>
      </c>
      <c r="B179" s="13" t="s">
        <v>347</v>
      </c>
      <c r="C179" s="14">
        <v>1</v>
      </c>
      <c r="D179" s="15" t="s">
        <v>36</v>
      </c>
      <c r="E179" s="95">
        <f t="shared" si="43"/>
        <v>408.1</v>
      </c>
      <c r="F179" s="96">
        <f t="shared" si="44"/>
        <v>19.59</v>
      </c>
      <c r="G179" s="16">
        <f t="shared" si="51"/>
        <v>427.69</v>
      </c>
      <c r="H179" s="16">
        <f t="shared" si="52"/>
        <v>408.1</v>
      </c>
      <c r="I179" s="16">
        <f t="shared" si="53"/>
        <v>19.59</v>
      </c>
      <c r="J179" s="57">
        <f t="shared" si="54"/>
        <v>427.69</v>
      </c>
      <c r="P179" s="97">
        <v>408.10171999999994</v>
      </c>
      <c r="Q179" s="98">
        <v>19.589219</v>
      </c>
    </row>
    <row r="180" spans="1:17" x14ac:dyDescent="0.3">
      <c r="A180" s="21" t="s">
        <v>348</v>
      </c>
      <c r="B180" s="13" t="s">
        <v>349</v>
      </c>
      <c r="C180" s="14">
        <v>1</v>
      </c>
      <c r="D180" s="15" t="s">
        <v>36</v>
      </c>
      <c r="E180" s="95">
        <f t="shared" si="43"/>
        <v>408.1</v>
      </c>
      <c r="F180" s="96">
        <f t="shared" si="44"/>
        <v>9.8000000000000007</v>
      </c>
      <c r="G180" s="16">
        <f t="shared" si="51"/>
        <v>417.90000000000003</v>
      </c>
      <c r="H180" s="16">
        <f t="shared" si="52"/>
        <v>408.1</v>
      </c>
      <c r="I180" s="16">
        <f t="shared" si="53"/>
        <v>9.8000000000000007</v>
      </c>
      <c r="J180" s="57">
        <f t="shared" si="54"/>
        <v>417.90000000000003</v>
      </c>
      <c r="P180" s="97">
        <v>408.10171999999994</v>
      </c>
      <c r="Q180" s="98">
        <v>9.7988149999999994</v>
      </c>
    </row>
    <row r="181" spans="1:17" x14ac:dyDescent="0.3">
      <c r="A181" s="21" t="s">
        <v>350</v>
      </c>
      <c r="B181" s="13" t="s">
        <v>351</v>
      </c>
      <c r="C181" s="14">
        <v>1</v>
      </c>
      <c r="D181" s="15" t="s">
        <v>51</v>
      </c>
      <c r="E181" s="95">
        <f t="shared" si="43"/>
        <v>166.8</v>
      </c>
      <c r="F181" s="96">
        <f t="shared" si="44"/>
        <v>27.64</v>
      </c>
      <c r="G181" s="16">
        <f t="shared" si="51"/>
        <v>194.44</v>
      </c>
      <c r="H181" s="16">
        <f t="shared" si="52"/>
        <v>166.8</v>
      </c>
      <c r="I181" s="16">
        <f t="shared" si="53"/>
        <v>27.64</v>
      </c>
      <c r="J181" s="57">
        <f t="shared" si="54"/>
        <v>194.44</v>
      </c>
      <c r="P181" s="97">
        <v>166.798541</v>
      </c>
      <c r="Q181" s="98">
        <v>27.638545999999998</v>
      </c>
    </row>
    <row r="182" spans="1:17" x14ac:dyDescent="0.3">
      <c r="A182" s="21" t="s">
        <v>352</v>
      </c>
      <c r="B182" s="13" t="s">
        <v>353</v>
      </c>
      <c r="C182" s="14">
        <v>1</v>
      </c>
      <c r="D182" s="15" t="s">
        <v>51</v>
      </c>
      <c r="E182" s="95">
        <f t="shared" si="43"/>
        <v>209.96</v>
      </c>
      <c r="F182" s="96">
        <f t="shared" si="44"/>
        <v>21.33</v>
      </c>
      <c r="G182" s="16">
        <f t="shared" si="51"/>
        <v>231.29000000000002</v>
      </c>
      <c r="H182" s="16">
        <f t="shared" si="52"/>
        <v>209.96</v>
      </c>
      <c r="I182" s="16">
        <f t="shared" si="53"/>
        <v>21.33</v>
      </c>
      <c r="J182" s="57">
        <f t="shared" si="54"/>
        <v>231.29000000000002</v>
      </c>
      <c r="P182" s="97">
        <v>209.96379299999998</v>
      </c>
      <c r="Q182" s="98">
        <v>21.330295999999997</v>
      </c>
    </row>
    <row r="183" spans="1:17" x14ac:dyDescent="0.3">
      <c r="A183" s="21" t="s">
        <v>354</v>
      </c>
      <c r="B183" s="13" t="s">
        <v>355</v>
      </c>
      <c r="C183" s="14">
        <v>1</v>
      </c>
      <c r="D183" s="15" t="s">
        <v>51</v>
      </c>
      <c r="E183" s="95">
        <f t="shared" si="43"/>
        <v>413.04</v>
      </c>
      <c r="F183" s="96">
        <f t="shared" si="44"/>
        <v>41.7</v>
      </c>
      <c r="G183" s="16">
        <f t="shared" si="51"/>
        <v>454.74</v>
      </c>
      <c r="H183" s="16">
        <f t="shared" si="52"/>
        <v>413.04</v>
      </c>
      <c r="I183" s="16">
        <f t="shared" si="53"/>
        <v>41.7</v>
      </c>
      <c r="J183" s="57">
        <f t="shared" si="54"/>
        <v>454.74</v>
      </c>
      <c r="P183" s="97">
        <v>413.03897699999999</v>
      </c>
      <c r="Q183" s="98">
        <v>41.701737999999999</v>
      </c>
    </row>
    <row r="184" spans="1:17" x14ac:dyDescent="0.3">
      <c r="A184" s="21" t="s">
        <v>356</v>
      </c>
      <c r="B184" s="13" t="s">
        <v>357</v>
      </c>
      <c r="C184" s="14">
        <v>1</v>
      </c>
      <c r="D184" s="15" t="s">
        <v>85</v>
      </c>
      <c r="E184" s="95">
        <f t="shared" si="43"/>
        <v>609.38</v>
      </c>
      <c r="F184" s="96">
        <f t="shared" si="44"/>
        <v>67.89</v>
      </c>
      <c r="G184" s="16">
        <f t="shared" si="51"/>
        <v>677.27</v>
      </c>
      <c r="H184" s="16">
        <f t="shared" si="52"/>
        <v>609.38</v>
      </c>
      <c r="I184" s="16">
        <f t="shared" si="53"/>
        <v>67.89</v>
      </c>
      <c r="J184" s="57">
        <f t="shared" si="54"/>
        <v>677.27</v>
      </c>
      <c r="P184" s="97">
        <v>609.37694999999997</v>
      </c>
      <c r="Q184" s="98">
        <v>67.885180999999989</v>
      </c>
    </row>
    <row r="185" spans="1:17" x14ac:dyDescent="0.3">
      <c r="A185" s="21" t="s">
        <v>358</v>
      </c>
      <c r="B185" s="13" t="s">
        <v>359</v>
      </c>
      <c r="C185" s="14">
        <v>1</v>
      </c>
      <c r="D185" s="15" t="s">
        <v>85</v>
      </c>
      <c r="E185" s="95">
        <f t="shared" si="43"/>
        <v>403.41</v>
      </c>
      <c r="F185" s="96">
        <f t="shared" si="44"/>
        <v>67.89</v>
      </c>
      <c r="G185" s="16">
        <f t="shared" si="51"/>
        <v>471.3</v>
      </c>
      <c r="H185" s="16">
        <f t="shared" si="52"/>
        <v>403.41</v>
      </c>
      <c r="I185" s="16">
        <f t="shared" si="53"/>
        <v>67.89</v>
      </c>
      <c r="J185" s="57">
        <f t="shared" si="54"/>
        <v>471.3</v>
      </c>
      <c r="P185" s="97">
        <v>403.40838199999996</v>
      </c>
      <c r="Q185" s="98">
        <v>67.885180999999989</v>
      </c>
    </row>
    <row r="186" spans="1:17" x14ac:dyDescent="0.3">
      <c r="A186" s="21" t="s">
        <v>360</v>
      </c>
      <c r="B186" s="13" t="s">
        <v>361</v>
      </c>
      <c r="C186" s="14">
        <v>1</v>
      </c>
      <c r="D186" s="15" t="s">
        <v>85</v>
      </c>
      <c r="E186" s="95">
        <f t="shared" si="43"/>
        <v>866.29</v>
      </c>
      <c r="F186" s="96">
        <f t="shared" si="44"/>
        <v>67.89</v>
      </c>
      <c r="G186" s="16">
        <f t="shared" si="51"/>
        <v>934.18</v>
      </c>
      <c r="H186" s="16">
        <f t="shared" si="52"/>
        <v>866.29</v>
      </c>
      <c r="I186" s="16">
        <f t="shared" si="53"/>
        <v>67.89</v>
      </c>
      <c r="J186" s="57">
        <f t="shared" si="54"/>
        <v>934.18</v>
      </c>
      <c r="P186" s="97">
        <v>866.29094499999997</v>
      </c>
      <c r="Q186" s="98">
        <v>67.885180999999989</v>
      </c>
    </row>
    <row r="187" spans="1:17" x14ac:dyDescent="0.3">
      <c r="A187" s="21" t="s">
        <v>362</v>
      </c>
      <c r="B187" s="13" t="s">
        <v>363</v>
      </c>
      <c r="C187" s="14">
        <v>1</v>
      </c>
      <c r="D187" s="15" t="s">
        <v>85</v>
      </c>
      <c r="E187" s="95">
        <f t="shared" si="43"/>
        <v>222.46</v>
      </c>
      <c r="F187" s="96">
        <f t="shared" si="44"/>
        <v>64</v>
      </c>
      <c r="G187" s="16">
        <f t="shared" si="51"/>
        <v>286.46000000000004</v>
      </c>
      <c r="H187" s="16">
        <f t="shared" si="52"/>
        <v>222.46</v>
      </c>
      <c r="I187" s="16">
        <f t="shared" si="53"/>
        <v>64</v>
      </c>
      <c r="J187" s="57">
        <f t="shared" si="54"/>
        <v>286.46000000000004</v>
      </c>
      <c r="P187" s="97">
        <v>222.46253899999999</v>
      </c>
      <c r="Q187" s="98">
        <v>63.999299000000001</v>
      </c>
    </row>
    <row r="188" spans="1:17" x14ac:dyDescent="0.3">
      <c r="A188" s="21" t="s">
        <v>364</v>
      </c>
      <c r="B188" s="13" t="s">
        <v>365</v>
      </c>
      <c r="C188" s="14">
        <v>1</v>
      </c>
      <c r="D188" s="15" t="s">
        <v>85</v>
      </c>
      <c r="E188" s="95">
        <f t="shared" si="43"/>
        <v>97.14</v>
      </c>
      <c r="F188" s="96">
        <f t="shared" si="44"/>
        <v>42.67</v>
      </c>
      <c r="G188" s="16">
        <f t="shared" si="51"/>
        <v>139.81</v>
      </c>
      <c r="H188" s="16">
        <f t="shared" si="52"/>
        <v>97.14</v>
      </c>
      <c r="I188" s="16">
        <f t="shared" si="53"/>
        <v>42.67</v>
      </c>
      <c r="J188" s="57">
        <f t="shared" si="54"/>
        <v>139.81</v>
      </c>
      <c r="P188" s="97">
        <v>97.138638999999998</v>
      </c>
      <c r="Q188" s="98">
        <v>42.669002999999996</v>
      </c>
    </row>
    <row r="189" spans="1:17" x14ac:dyDescent="0.3">
      <c r="A189" s="21" t="s">
        <v>366</v>
      </c>
      <c r="B189" s="13" t="s">
        <v>367</v>
      </c>
      <c r="C189" s="14">
        <v>1</v>
      </c>
      <c r="D189" s="15" t="s">
        <v>36</v>
      </c>
      <c r="E189" s="95">
        <f t="shared" si="43"/>
        <v>261.77999999999997</v>
      </c>
      <c r="F189" s="96">
        <f t="shared" si="44"/>
        <v>85.34</v>
      </c>
      <c r="G189" s="16">
        <f t="shared" si="51"/>
        <v>347.12</v>
      </c>
      <c r="H189" s="16">
        <f t="shared" si="52"/>
        <v>261.77999999999997</v>
      </c>
      <c r="I189" s="16">
        <f t="shared" si="53"/>
        <v>85.34</v>
      </c>
      <c r="J189" s="57">
        <f t="shared" si="54"/>
        <v>347.12</v>
      </c>
      <c r="P189" s="97">
        <v>261.775553</v>
      </c>
      <c r="Q189" s="98">
        <v>85.338005999999993</v>
      </c>
    </row>
    <row r="190" spans="1:17" x14ac:dyDescent="0.3">
      <c r="A190" s="21" t="s">
        <v>368</v>
      </c>
      <c r="B190" s="13" t="s">
        <v>369</v>
      </c>
      <c r="C190" s="14">
        <v>1</v>
      </c>
      <c r="D190" s="15" t="s">
        <v>85</v>
      </c>
      <c r="E190" s="95">
        <f t="shared" si="43"/>
        <v>994.19</v>
      </c>
      <c r="F190" s="96">
        <f t="shared" si="44"/>
        <v>46.74</v>
      </c>
      <c r="G190" s="16">
        <f t="shared" si="51"/>
        <v>1040.93</v>
      </c>
      <c r="H190" s="16">
        <f t="shared" si="52"/>
        <v>994.19</v>
      </c>
      <c r="I190" s="16">
        <f t="shared" si="53"/>
        <v>46.74</v>
      </c>
      <c r="J190" s="57">
        <f t="shared" si="54"/>
        <v>1040.93</v>
      </c>
      <c r="P190" s="97">
        <v>994.18861099999992</v>
      </c>
      <c r="Q190" s="98">
        <v>46.739926999999994</v>
      </c>
    </row>
    <row r="191" spans="1:17" x14ac:dyDescent="0.3">
      <c r="A191" s="17">
        <v>15</v>
      </c>
      <c r="B191" s="18" t="s">
        <v>370</v>
      </c>
      <c r="C191" s="9"/>
      <c r="D191" s="9"/>
      <c r="E191" s="95">
        <f t="shared" si="43"/>
        <v>0</v>
      </c>
      <c r="F191" s="96">
        <f t="shared" si="44"/>
        <v>0</v>
      </c>
      <c r="G191" s="11">
        <f t="shared" ref="G191:I191" si="55">SUBTOTAL(109,G192:G208)</f>
        <v>3068.88</v>
      </c>
      <c r="H191" s="11">
        <f t="shared" si="55"/>
        <v>110090.39999999998</v>
      </c>
      <c r="I191" s="11">
        <f t="shared" si="55"/>
        <v>32250.680000000004</v>
      </c>
      <c r="J191" s="56">
        <f>SUBTOTAL(109,J192:J208)</f>
        <v>142341.08000000002</v>
      </c>
      <c r="P191" s="87"/>
      <c r="Q191" s="88"/>
    </row>
    <row r="192" spans="1:17" ht="28.8" x14ac:dyDescent="0.3">
      <c r="A192" s="21" t="s">
        <v>371</v>
      </c>
      <c r="B192" s="13" t="s">
        <v>372</v>
      </c>
      <c r="C192" s="14">
        <v>84</v>
      </c>
      <c r="D192" s="15" t="s">
        <v>373</v>
      </c>
      <c r="E192" s="95">
        <f t="shared" si="43"/>
        <v>166.2</v>
      </c>
      <c r="F192" s="96">
        <f t="shared" si="44"/>
        <v>284.22000000000003</v>
      </c>
      <c r="G192" s="16">
        <f t="shared" ref="G192:G208" si="56">SUM(E192:F192)</f>
        <v>450.42</v>
      </c>
      <c r="H192" s="16">
        <f t="shared" ref="H192:H208" si="57">C192*E192</f>
        <v>13960.8</v>
      </c>
      <c r="I192" s="16">
        <f t="shared" ref="I192:I208" si="58">C192*F192</f>
        <v>23874.480000000003</v>
      </c>
      <c r="J192" s="57">
        <f t="shared" ref="J192:J208" si="59">SUM(E192:F192)*C192</f>
        <v>37835.279999999999</v>
      </c>
      <c r="P192" s="97">
        <v>166.20135999999999</v>
      </c>
      <c r="Q192" s="98">
        <v>284.224512</v>
      </c>
    </row>
    <row r="193" spans="1:17" x14ac:dyDescent="0.3">
      <c r="A193" s="21" t="s">
        <v>374</v>
      </c>
      <c r="B193" s="13" t="s">
        <v>375</v>
      </c>
      <c r="C193" s="14">
        <v>52</v>
      </c>
      <c r="D193" s="15" t="s">
        <v>373</v>
      </c>
      <c r="E193" s="95">
        <f t="shared" si="43"/>
        <v>33.479999999999997</v>
      </c>
      <c r="F193" s="96">
        <f t="shared" si="44"/>
        <v>30.77</v>
      </c>
      <c r="G193" s="16">
        <f t="shared" si="56"/>
        <v>64.25</v>
      </c>
      <c r="H193" s="16">
        <f t="shared" si="57"/>
        <v>1740.9599999999998</v>
      </c>
      <c r="I193" s="16">
        <f t="shared" si="58"/>
        <v>1600.04</v>
      </c>
      <c r="J193" s="57">
        <f t="shared" si="59"/>
        <v>3341</v>
      </c>
      <c r="P193" s="97">
        <v>33.484191000000003</v>
      </c>
      <c r="Q193" s="98">
        <v>30.767437999999999</v>
      </c>
    </row>
    <row r="194" spans="1:17" x14ac:dyDescent="0.3">
      <c r="A194" s="21" t="s">
        <v>376</v>
      </c>
      <c r="B194" s="13" t="s">
        <v>377</v>
      </c>
      <c r="C194" s="14">
        <v>39</v>
      </c>
      <c r="D194" s="15" t="s">
        <v>373</v>
      </c>
      <c r="E194" s="95">
        <f t="shared" si="43"/>
        <v>142.66999999999999</v>
      </c>
      <c r="F194" s="96">
        <f t="shared" si="44"/>
        <v>31.32</v>
      </c>
      <c r="G194" s="16">
        <f t="shared" si="56"/>
        <v>173.98999999999998</v>
      </c>
      <c r="H194" s="16">
        <f t="shared" si="57"/>
        <v>5564.1299999999992</v>
      </c>
      <c r="I194" s="16">
        <f t="shared" si="58"/>
        <v>1221.48</v>
      </c>
      <c r="J194" s="57">
        <f t="shared" si="59"/>
        <v>6785.61</v>
      </c>
      <c r="P194" s="97">
        <v>142.667382</v>
      </c>
      <c r="Q194" s="98">
        <v>31.322564</v>
      </c>
    </row>
    <row r="195" spans="1:17" x14ac:dyDescent="0.3">
      <c r="A195" s="21" t="s">
        <v>378</v>
      </c>
      <c r="B195" s="13" t="s">
        <v>379</v>
      </c>
      <c r="C195" s="14">
        <v>1</v>
      </c>
      <c r="D195" s="15" t="s">
        <v>85</v>
      </c>
      <c r="E195" s="95">
        <f t="shared" si="43"/>
        <v>23.54</v>
      </c>
      <c r="F195" s="96">
        <f t="shared" si="44"/>
        <v>19.95</v>
      </c>
      <c r="G195" s="16">
        <f t="shared" si="56"/>
        <v>43.489999999999995</v>
      </c>
      <c r="H195" s="16">
        <f t="shared" si="57"/>
        <v>23.54</v>
      </c>
      <c r="I195" s="16">
        <f t="shared" si="58"/>
        <v>19.95</v>
      </c>
      <c r="J195" s="57">
        <f t="shared" si="59"/>
        <v>43.489999999999995</v>
      </c>
      <c r="P195" s="97">
        <v>23.542388999999996</v>
      </c>
      <c r="Q195" s="98">
        <v>19.950892</v>
      </c>
    </row>
    <row r="196" spans="1:17" x14ac:dyDescent="0.3">
      <c r="A196" s="21" t="s">
        <v>380</v>
      </c>
      <c r="B196" s="13" t="s">
        <v>381</v>
      </c>
      <c r="C196" s="14">
        <v>1</v>
      </c>
      <c r="D196" s="15" t="s">
        <v>85</v>
      </c>
      <c r="E196" s="95">
        <f t="shared" si="43"/>
        <v>217.7</v>
      </c>
      <c r="F196" s="96">
        <f t="shared" si="44"/>
        <v>20.91</v>
      </c>
      <c r="G196" s="16">
        <f t="shared" si="56"/>
        <v>238.60999999999999</v>
      </c>
      <c r="H196" s="16">
        <f t="shared" si="57"/>
        <v>217.7</v>
      </c>
      <c r="I196" s="16">
        <f t="shared" si="58"/>
        <v>20.91</v>
      </c>
      <c r="J196" s="57">
        <f t="shared" si="59"/>
        <v>238.60999999999999</v>
      </c>
      <c r="P196" s="97">
        <v>217.70191299999996</v>
      </c>
      <c r="Q196" s="98">
        <v>20.909745999999998</v>
      </c>
    </row>
    <row r="197" spans="1:17" ht="28.8" x14ac:dyDescent="0.3">
      <c r="A197" s="21" t="s">
        <v>382</v>
      </c>
      <c r="B197" s="13" t="s">
        <v>383</v>
      </c>
      <c r="C197" s="14">
        <v>71</v>
      </c>
      <c r="D197" s="15" t="s">
        <v>85</v>
      </c>
      <c r="E197" s="95">
        <f t="shared" si="43"/>
        <v>895.65</v>
      </c>
      <c r="F197" s="96">
        <f t="shared" si="44"/>
        <v>20.91</v>
      </c>
      <c r="G197" s="16">
        <f t="shared" si="56"/>
        <v>916.56</v>
      </c>
      <c r="H197" s="16">
        <f t="shared" si="57"/>
        <v>63591.15</v>
      </c>
      <c r="I197" s="16">
        <f t="shared" si="58"/>
        <v>1484.61</v>
      </c>
      <c r="J197" s="57">
        <f t="shared" si="59"/>
        <v>65075.759999999995</v>
      </c>
      <c r="P197" s="97">
        <v>895.64533499999993</v>
      </c>
      <c r="Q197" s="98">
        <v>20.909745999999998</v>
      </c>
    </row>
    <row r="198" spans="1:17" x14ac:dyDescent="0.3">
      <c r="A198" s="21" t="s">
        <v>384</v>
      </c>
      <c r="B198" s="13" t="s">
        <v>385</v>
      </c>
      <c r="C198" s="14">
        <v>52</v>
      </c>
      <c r="D198" s="15" t="s">
        <v>85</v>
      </c>
      <c r="E198" s="95">
        <f t="shared" si="43"/>
        <v>2.62</v>
      </c>
      <c r="F198" s="96">
        <f t="shared" si="44"/>
        <v>20.91</v>
      </c>
      <c r="G198" s="16">
        <f t="shared" si="56"/>
        <v>23.53</v>
      </c>
      <c r="H198" s="16">
        <f t="shared" si="57"/>
        <v>136.24</v>
      </c>
      <c r="I198" s="16">
        <f t="shared" si="58"/>
        <v>1087.32</v>
      </c>
      <c r="J198" s="57">
        <f t="shared" si="59"/>
        <v>1223.56</v>
      </c>
      <c r="P198" s="97">
        <v>2.6242320000000001</v>
      </c>
      <c r="Q198" s="98">
        <v>20.909745999999998</v>
      </c>
    </row>
    <row r="199" spans="1:17" x14ac:dyDescent="0.3">
      <c r="A199" s="21" t="s">
        <v>386</v>
      </c>
      <c r="B199" s="13" t="s">
        <v>387</v>
      </c>
      <c r="C199" s="14">
        <v>84</v>
      </c>
      <c r="D199" s="15" t="s">
        <v>85</v>
      </c>
      <c r="E199" s="95">
        <f t="shared" si="43"/>
        <v>172.48</v>
      </c>
      <c r="F199" s="96">
        <f t="shared" si="44"/>
        <v>7.79</v>
      </c>
      <c r="G199" s="16">
        <f t="shared" si="56"/>
        <v>180.26999999999998</v>
      </c>
      <c r="H199" s="16">
        <f t="shared" si="57"/>
        <v>14488.32</v>
      </c>
      <c r="I199" s="16">
        <f t="shared" si="58"/>
        <v>654.36</v>
      </c>
      <c r="J199" s="57">
        <f t="shared" si="59"/>
        <v>15142.679999999998</v>
      </c>
      <c r="P199" s="97">
        <v>172.475966</v>
      </c>
      <c r="Q199" s="98">
        <v>7.7885859999999996</v>
      </c>
    </row>
    <row r="200" spans="1:17" x14ac:dyDescent="0.3">
      <c r="A200" s="21" t="s">
        <v>388</v>
      </c>
      <c r="B200" s="13" t="s">
        <v>389</v>
      </c>
      <c r="C200" s="14">
        <v>39</v>
      </c>
      <c r="D200" s="15" t="s">
        <v>85</v>
      </c>
      <c r="E200" s="95">
        <f t="shared" si="43"/>
        <v>113.77</v>
      </c>
      <c r="F200" s="96">
        <f t="shared" si="44"/>
        <v>20.51</v>
      </c>
      <c r="G200" s="16">
        <f t="shared" si="56"/>
        <v>134.28</v>
      </c>
      <c r="H200" s="16">
        <f t="shared" si="57"/>
        <v>4437.03</v>
      </c>
      <c r="I200" s="16">
        <f t="shared" si="58"/>
        <v>799.8900000000001</v>
      </c>
      <c r="J200" s="57">
        <f t="shared" si="59"/>
        <v>5236.92</v>
      </c>
      <c r="P200" s="97">
        <v>113.76718599999998</v>
      </c>
      <c r="Q200" s="98">
        <v>20.514429</v>
      </c>
    </row>
    <row r="201" spans="1:17" x14ac:dyDescent="0.3">
      <c r="A201" s="21" t="s">
        <v>390</v>
      </c>
      <c r="B201" s="13" t="s">
        <v>391</v>
      </c>
      <c r="C201" s="14">
        <v>1</v>
      </c>
      <c r="D201" s="15" t="s">
        <v>51</v>
      </c>
      <c r="E201" s="95">
        <f t="shared" si="43"/>
        <v>93.66</v>
      </c>
      <c r="F201" s="96">
        <f t="shared" si="44"/>
        <v>15.22</v>
      </c>
      <c r="G201" s="16">
        <f t="shared" si="56"/>
        <v>108.88</v>
      </c>
      <c r="H201" s="16">
        <f t="shared" si="57"/>
        <v>93.66</v>
      </c>
      <c r="I201" s="16">
        <f t="shared" si="58"/>
        <v>15.22</v>
      </c>
      <c r="J201" s="57">
        <f t="shared" si="59"/>
        <v>108.88</v>
      </c>
      <c r="P201" s="97">
        <v>93.664895999999999</v>
      </c>
      <c r="Q201" s="98">
        <v>15.215498999999999</v>
      </c>
    </row>
    <row r="202" spans="1:17" x14ac:dyDescent="0.3">
      <c r="A202" s="21" t="s">
        <v>392</v>
      </c>
      <c r="B202" s="13" t="s">
        <v>393</v>
      </c>
      <c r="C202" s="14">
        <v>1</v>
      </c>
      <c r="D202" s="15" t="s">
        <v>85</v>
      </c>
      <c r="E202" s="95">
        <f t="shared" ref="E202:E265" si="60">ROUND(P202,2)</f>
        <v>62.72</v>
      </c>
      <c r="F202" s="96">
        <f t="shared" ref="F202:F265" si="61">ROUND(Q202,2)</f>
        <v>11.96</v>
      </c>
      <c r="G202" s="16">
        <f t="shared" si="56"/>
        <v>74.680000000000007</v>
      </c>
      <c r="H202" s="16">
        <f t="shared" si="57"/>
        <v>62.72</v>
      </c>
      <c r="I202" s="16">
        <f t="shared" si="58"/>
        <v>11.96</v>
      </c>
      <c r="J202" s="57">
        <f t="shared" si="59"/>
        <v>74.680000000000007</v>
      </c>
      <c r="P202" s="97">
        <v>62.720826999999993</v>
      </c>
      <c r="Q202" s="98">
        <v>11.960442</v>
      </c>
    </row>
    <row r="203" spans="1:17" x14ac:dyDescent="0.3">
      <c r="A203" s="21" t="s">
        <v>394</v>
      </c>
      <c r="B203" s="13" t="s">
        <v>395</v>
      </c>
      <c r="C203" s="14">
        <v>1</v>
      </c>
      <c r="D203" s="15" t="s">
        <v>85</v>
      </c>
      <c r="E203" s="95">
        <f t="shared" si="60"/>
        <v>74.150000000000006</v>
      </c>
      <c r="F203" s="96">
        <f t="shared" si="61"/>
        <v>12.31</v>
      </c>
      <c r="G203" s="16">
        <f t="shared" si="56"/>
        <v>86.460000000000008</v>
      </c>
      <c r="H203" s="16">
        <f t="shared" si="57"/>
        <v>74.150000000000006</v>
      </c>
      <c r="I203" s="16">
        <f t="shared" si="58"/>
        <v>12.31</v>
      </c>
      <c r="J203" s="57">
        <f t="shared" si="59"/>
        <v>86.460000000000008</v>
      </c>
      <c r="P203" s="97">
        <v>74.151375999999999</v>
      </c>
      <c r="Q203" s="98">
        <v>12.305293000000001</v>
      </c>
    </row>
    <row r="204" spans="1:17" x14ac:dyDescent="0.3">
      <c r="A204" s="21" t="s">
        <v>396</v>
      </c>
      <c r="B204" s="13" t="s">
        <v>397</v>
      </c>
      <c r="C204" s="14">
        <v>1</v>
      </c>
      <c r="D204" s="15" t="s">
        <v>85</v>
      </c>
      <c r="E204" s="95">
        <f t="shared" si="60"/>
        <v>155.97999999999999</v>
      </c>
      <c r="F204" s="96">
        <f t="shared" si="61"/>
        <v>20.16</v>
      </c>
      <c r="G204" s="16">
        <f t="shared" si="56"/>
        <v>176.14</v>
      </c>
      <c r="H204" s="16">
        <f t="shared" si="57"/>
        <v>155.97999999999999</v>
      </c>
      <c r="I204" s="16">
        <f t="shared" si="58"/>
        <v>20.16</v>
      </c>
      <c r="J204" s="57">
        <f t="shared" si="59"/>
        <v>176.14</v>
      </c>
      <c r="P204" s="97">
        <v>155.98199499999998</v>
      </c>
      <c r="Q204" s="98">
        <v>20.161166999999999</v>
      </c>
    </row>
    <row r="205" spans="1:17" x14ac:dyDescent="0.3">
      <c r="A205" s="21" t="s">
        <v>398</v>
      </c>
      <c r="B205" s="13" t="s">
        <v>399</v>
      </c>
      <c r="C205" s="14">
        <v>1</v>
      </c>
      <c r="D205" s="15" t="s">
        <v>85</v>
      </c>
      <c r="E205" s="95">
        <f t="shared" si="60"/>
        <v>86.43</v>
      </c>
      <c r="F205" s="96">
        <f t="shared" si="61"/>
        <v>20.16</v>
      </c>
      <c r="G205" s="16">
        <f t="shared" si="56"/>
        <v>106.59</v>
      </c>
      <c r="H205" s="16">
        <f t="shared" si="57"/>
        <v>86.43</v>
      </c>
      <c r="I205" s="16">
        <f t="shared" si="58"/>
        <v>20.16</v>
      </c>
      <c r="J205" s="57">
        <f t="shared" si="59"/>
        <v>106.59</v>
      </c>
      <c r="P205" s="97">
        <v>86.431436000000005</v>
      </c>
      <c r="Q205" s="98">
        <v>20.161166999999999</v>
      </c>
    </row>
    <row r="206" spans="1:17" x14ac:dyDescent="0.3">
      <c r="A206" s="21" t="s">
        <v>400</v>
      </c>
      <c r="B206" s="13" t="s">
        <v>401</v>
      </c>
      <c r="C206" s="14">
        <v>20</v>
      </c>
      <c r="D206" s="15" t="s">
        <v>85</v>
      </c>
      <c r="E206" s="95">
        <f t="shared" si="60"/>
        <v>66.88</v>
      </c>
      <c r="F206" s="96">
        <f t="shared" si="61"/>
        <v>30.87</v>
      </c>
      <c r="G206" s="16">
        <f t="shared" si="56"/>
        <v>97.75</v>
      </c>
      <c r="H206" s="16">
        <f t="shared" si="57"/>
        <v>1337.6</v>
      </c>
      <c r="I206" s="16">
        <f t="shared" si="58"/>
        <v>617.4</v>
      </c>
      <c r="J206" s="57">
        <f t="shared" si="59"/>
        <v>1955</v>
      </c>
      <c r="P206" s="97">
        <v>66.884271999999996</v>
      </c>
      <c r="Q206" s="98">
        <v>30.868370000000002</v>
      </c>
    </row>
    <row r="207" spans="1:17" x14ac:dyDescent="0.3">
      <c r="A207" s="21" t="s">
        <v>402</v>
      </c>
      <c r="B207" s="13" t="s">
        <v>403</v>
      </c>
      <c r="C207" s="14">
        <v>64</v>
      </c>
      <c r="D207" s="15" t="s">
        <v>85</v>
      </c>
      <c r="E207" s="95">
        <f t="shared" si="60"/>
        <v>62.85</v>
      </c>
      <c r="F207" s="96">
        <f t="shared" si="61"/>
        <v>12.03</v>
      </c>
      <c r="G207" s="16">
        <f t="shared" si="56"/>
        <v>74.88</v>
      </c>
      <c r="H207" s="16">
        <f t="shared" si="57"/>
        <v>4022.4</v>
      </c>
      <c r="I207" s="16">
        <f t="shared" si="58"/>
        <v>769.92</v>
      </c>
      <c r="J207" s="57">
        <f t="shared" si="59"/>
        <v>4792.32</v>
      </c>
      <c r="P207" s="97">
        <v>62.846991999999993</v>
      </c>
      <c r="Q207" s="98">
        <v>12.02773</v>
      </c>
    </row>
    <row r="208" spans="1:17" x14ac:dyDescent="0.3">
      <c r="A208" s="21" t="s">
        <v>404</v>
      </c>
      <c r="B208" s="13" t="s">
        <v>405</v>
      </c>
      <c r="C208" s="14">
        <v>1</v>
      </c>
      <c r="D208" s="15" t="s">
        <v>85</v>
      </c>
      <c r="E208" s="95">
        <f t="shared" si="60"/>
        <v>97.59</v>
      </c>
      <c r="F208" s="96">
        <f t="shared" si="61"/>
        <v>20.51</v>
      </c>
      <c r="G208" s="16">
        <f t="shared" si="56"/>
        <v>118.10000000000001</v>
      </c>
      <c r="H208" s="16">
        <f t="shared" si="57"/>
        <v>97.59</v>
      </c>
      <c r="I208" s="16">
        <f t="shared" si="58"/>
        <v>20.51</v>
      </c>
      <c r="J208" s="57">
        <f t="shared" si="59"/>
        <v>118.10000000000001</v>
      </c>
      <c r="P208" s="97">
        <v>97.592832999999999</v>
      </c>
      <c r="Q208" s="98">
        <v>20.514429</v>
      </c>
    </row>
    <row r="209" spans="1:17" x14ac:dyDescent="0.3">
      <c r="A209" s="17">
        <v>16</v>
      </c>
      <c r="B209" s="18" t="s">
        <v>406</v>
      </c>
      <c r="C209" s="9"/>
      <c r="D209" s="9"/>
      <c r="E209" s="95">
        <f t="shared" si="60"/>
        <v>0</v>
      </c>
      <c r="F209" s="96">
        <f t="shared" si="61"/>
        <v>0</v>
      </c>
      <c r="G209" s="11">
        <f t="shared" ref="G209:I209" si="62">SUBTOTAL(109,G210:G227)</f>
        <v>6097.4100000000008</v>
      </c>
      <c r="H209" s="11">
        <f t="shared" si="62"/>
        <v>34151.780000000006</v>
      </c>
      <c r="I209" s="11">
        <f t="shared" si="62"/>
        <v>3818.57</v>
      </c>
      <c r="J209" s="56">
        <f>SUBTOTAL(109,J210:J227)</f>
        <v>37970.350000000006</v>
      </c>
      <c r="P209" s="87"/>
      <c r="Q209" s="88"/>
    </row>
    <row r="210" spans="1:17" x14ac:dyDescent="0.3">
      <c r="A210" s="21" t="s">
        <v>407</v>
      </c>
      <c r="B210" s="13" t="s">
        <v>408</v>
      </c>
      <c r="C210" s="14">
        <v>53</v>
      </c>
      <c r="D210" s="15" t="s">
        <v>36</v>
      </c>
      <c r="E210" s="95">
        <f t="shared" si="60"/>
        <v>189.3</v>
      </c>
      <c r="F210" s="96">
        <f t="shared" si="61"/>
        <v>17.53</v>
      </c>
      <c r="G210" s="16">
        <f t="shared" ref="G210:G227" si="63">SUM(E210:F210)</f>
        <v>206.83</v>
      </c>
      <c r="H210" s="16">
        <f t="shared" ref="H210:H227" si="64">C210*E210</f>
        <v>10032.900000000001</v>
      </c>
      <c r="I210" s="16">
        <f t="shared" ref="I210:I227" si="65">C210*F210</f>
        <v>929.09</v>
      </c>
      <c r="J210" s="57">
        <f t="shared" ref="J210:J227" si="66">SUM(E210:F210)*C210</f>
        <v>10961.99</v>
      </c>
      <c r="P210" s="97">
        <v>189.297966</v>
      </c>
      <c r="Q210" s="98">
        <v>17.528523999999997</v>
      </c>
    </row>
    <row r="211" spans="1:17" x14ac:dyDescent="0.3">
      <c r="A211" s="21" t="s">
        <v>409</v>
      </c>
      <c r="B211" s="13" t="s">
        <v>410</v>
      </c>
      <c r="C211" s="14">
        <v>1</v>
      </c>
      <c r="D211" s="15" t="s">
        <v>36</v>
      </c>
      <c r="E211" s="95">
        <f t="shared" si="60"/>
        <v>252.5</v>
      </c>
      <c r="F211" s="96">
        <f t="shared" si="61"/>
        <v>19.48</v>
      </c>
      <c r="G211" s="16">
        <f t="shared" si="63"/>
        <v>271.98</v>
      </c>
      <c r="H211" s="16">
        <f t="shared" si="64"/>
        <v>252.5</v>
      </c>
      <c r="I211" s="16">
        <f t="shared" si="65"/>
        <v>19.48</v>
      </c>
      <c r="J211" s="57">
        <f t="shared" si="66"/>
        <v>271.98</v>
      </c>
      <c r="P211" s="97">
        <v>252.49821999999998</v>
      </c>
      <c r="Q211" s="98">
        <v>19.479876000000001</v>
      </c>
    </row>
    <row r="212" spans="1:17" x14ac:dyDescent="0.3">
      <c r="A212" s="21" t="s">
        <v>411</v>
      </c>
      <c r="B212" s="13" t="s">
        <v>412</v>
      </c>
      <c r="C212" s="14">
        <v>1</v>
      </c>
      <c r="D212" s="15" t="s">
        <v>36</v>
      </c>
      <c r="E212" s="95">
        <f t="shared" si="60"/>
        <v>164.01</v>
      </c>
      <c r="F212" s="96">
        <f t="shared" si="61"/>
        <v>17.53</v>
      </c>
      <c r="G212" s="16">
        <f t="shared" si="63"/>
        <v>181.54</v>
      </c>
      <c r="H212" s="16">
        <f t="shared" si="64"/>
        <v>164.01</v>
      </c>
      <c r="I212" s="16">
        <f t="shared" si="65"/>
        <v>17.53</v>
      </c>
      <c r="J212" s="57">
        <f t="shared" si="66"/>
        <v>181.54</v>
      </c>
      <c r="P212" s="97">
        <v>164.006089</v>
      </c>
      <c r="Q212" s="98">
        <v>17.528523999999997</v>
      </c>
    </row>
    <row r="213" spans="1:17" x14ac:dyDescent="0.3">
      <c r="A213" s="21" t="s">
        <v>413</v>
      </c>
      <c r="B213" s="13" t="s">
        <v>414</v>
      </c>
      <c r="C213" s="14">
        <v>1</v>
      </c>
      <c r="D213" s="15" t="s">
        <v>36</v>
      </c>
      <c r="E213" s="95">
        <f t="shared" si="60"/>
        <v>416.83</v>
      </c>
      <c r="F213" s="96">
        <f t="shared" si="61"/>
        <v>17.53</v>
      </c>
      <c r="G213" s="16">
        <f t="shared" si="63"/>
        <v>434.36</v>
      </c>
      <c r="H213" s="16">
        <f t="shared" si="64"/>
        <v>416.83</v>
      </c>
      <c r="I213" s="16">
        <f t="shared" si="65"/>
        <v>17.53</v>
      </c>
      <c r="J213" s="57">
        <f t="shared" si="66"/>
        <v>434.36</v>
      </c>
      <c r="P213" s="97">
        <v>416.83233799999999</v>
      </c>
      <c r="Q213" s="98">
        <v>17.528523999999997</v>
      </c>
    </row>
    <row r="214" spans="1:17" x14ac:dyDescent="0.3">
      <c r="A214" s="21" t="s">
        <v>415</v>
      </c>
      <c r="B214" s="13" t="s">
        <v>416</v>
      </c>
      <c r="C214" s="14">
        <v>16</v>
      </c>
      <c r="D214" s="15" t="s">
        <v>36</v>
      </c>
      <c r="E214" s="95">
        <f t="shared" si="60"/>
        <v>476.64</v>
      </c>
      <c r="F214" s="96">
        <f t="shared" si="61"/>
        <v>19.48</v>
      </c>
      <c r="G214" s="16">
        <f t="shared" si="63"/>
        <v>496.12</v>
      </c>
      <c r="H214" s="16">
        <f t="shared" si="64"/>
        <v>7626.24</v>
      </c>
      <c r="I214" s="16">
        <f t="shared" si="65"/>
        <v>311.68</v>
      </c>
      <c r="J214" s="57">
        <f t="shared" si="66"/>
        <v>7937.92</v>
      </c>
      <c r="P214" s="97">
        <v>476.64295900000002</v>
      </c>
      <c r="Q214" s="98">
        <v>19.479876000000001</v>
      </c>
    </row>
    <row r="215" spans="1:17" ht="28.8" x14ac:dyDescent="0.3">
      <c r="A215" s="21" t="s">
        <v>417</v>
      </c>
      <c r="B215" s="13" t="s">
        <v>418</v>
      </c>
      <c r="C215" s="14">
        <v>1</v>
      </c>
      <c r="D215" s="15" t="s">
        <v>36</v>
      </c>
      <c r="E215" s="95">
        <f t="shared" si="60"/>
        <v>782.13</v>
      </c>
      <c r="F215" s="96">
        <f t="shared" si="61"/>
        <v>19.48</v>
      </c>
      <c r="G215" s="16">
        <f t="shared" si="63"/>
        <v>801.61</v>
      </c>
      <c r="H215" s="16">
        <f t="shared" si="64"/>
        <v>782.13</v>
      </c>
      <c r="I215" s="16">
        <f t="shared" si="65"/>
        <v>19.48</v>
      </c>
      <c r="J215" s="57">
        <f t="shared" si="66"/>
        <v>801.61</v>
      </c>
      <c r="P215" s="97">
        <v>782.13047899999992</v>
      </c>
      <c r="Q215" s="98">
        <v>19.479876000000001</v>
      </c>
    </row>
    <row r="216" spans="1:17" ht="28.8" x14ac:dyDescent="0.3">
      <c r="A216" s="21" t="s">
        <v>419</v>
      </c>
      <c r="B216" s="13" t="s">
        <v>420</v>
      </c>
      <c r="C216" s="14">
        <v>1</v>
      </c>
      <c r="D216" s="15" t="s">
        <v>36</v>
      </c>
      <c r="E216" s="95">
        <f t="shared" si="60"/>
        <v>944.93</v>
      </c>
      <c r="F216" s="96">
        <f t="shared" si="61"/>
        <v>19.48</v>
      </c>
      <c r="G216" s="16">
        <f t="shared" si="63"/>
        <v>964.41</v>
      </c>
      <c r="H216" s="16">
        <f t="shared" si="64"/>
        <v>944.93</v>
      </c>
      <c r="I216" s="16">
        <f t="shared" si="65"/>
        <v>19.48</v>
      </c>
      <c r="J216" s="57">
        <f t="shared" si="66"/>
        <v>964.41</v>
      </c>
      <c r="P216" s="97">
        <v>944.92538400000001</v>
      </c>
      <c r="Q216" s="98">
        <v>19.479876000000001</v>
      </c>
    </row>
    <row r="217" spans="1:17" x14ac:dyDescent="0.3">
      <c r="A217" s="21" t="s">
        <v>421</v>
      </c>
      <c r="B217" s="13" t="s">
        <v>422</v>
      </c>
      <c r="C217" s="14">
        <v>1</v>
      </c>
      <c r="D217" s="15" t="s">
        <v>36</v>
      </c>
      <c r="E217" s="95">
        <f t="shared" si="60"/>
        <v>468.13</v>
      </c>
      <c r="F217" s="96">
        <f t="shared" si="61"/>
        <v>19.48</v>
      </c>
      <c r="G217" s="16">
        <f t="shared" si="63"/>
        <v>487.61</v>
      </c>
      <c r="H217" s="16">
        <f t="shared" si="64"/>
        <v>468.13</v>
      </c>
      <c r="I217" s="16">
        <f t="shared" si="65"/>
        <v>19.48</v>
      </c>
      <c r="J217" s="57">
        <f t="shared" si="66"/>
        <v>487.61</v>
      </c>
      <c r="P217" s="97">
        <v>468.13102700000002</v>
      </c>
      <c r="Q217" s="98">
        <v>19.479876000000001</v>
      </c>
    </row>
    <row r="218" spans="1:17" x14ac:dyDescent="0.3">
      <c r="A218" s="21" t="s">
        <v>423</v>
      </c>
      <c r="B218" s="13" t="s">
        <v>424</v>
      </c>
      <c r="C218" s="14">
        <v>1</v>
      </c>
      <c r="D218" s="15" t="s">
        <v>36</v>
      </c>
      <c r="E218" s="95">
        <f t="shared" si="60"/>
        <v>420.74</v>
      </c>
      <c r="F218" s="96">
        <f t="shared" si="61"/>
        <v>19.48</v>
      </c>
      <c r="G218" s="16">
        <f t="shared" si="63"/>
        <v>440.22</v>
      </c>
      <c r="H218" s="16">
        <f t="shared" si="64"/>
        <v>420.74</v>
      </c>
      <c r="I218" s="16">
        <f t="shared" si="65"/>
        <v>19.48</v>
      </c>
      <c r="J218" s="57">
        <f t="shared" si="66"/>
        <v>440.22</v>
      </c>
      <c r="P218" s="97">
        <v>420.73504200000002</v>
      </c>
      <c r="Q218" s="98">
        <v>19.479876000000001</v>
      </c>
    </row>
    <row r="219" spans="1:17" x14ac:dyDescent="0.3">
      <c r="A219" s="21" t="s">
        <v>425</v>
      </c>
      <c r="B219" s="13" t="s">
        <v>426</v>
      </c>
      <c r="C219" s="14">
        <v>37</v>
      </c>
      <c r="D219" s="15" t="s">
        <v>51</v>
      </c>
      <c r="E219" s="95">
        <f t="shared" si="60"/>
        <v>116.81</v>
      </c>
      <c r="F219" s="96">
        <f t="shared" si="61"/>
        <v>53.72</v>
      </c>
      <c r="G219" s="16">
        <f t="shared" si="63"/>
        <v>170.53</v>
      </c>
      <c r="H219" s="16">
        <f t="shared" si="64"/>
        <v>4321.97</v>
      </c>
      <c r="I219" s="16">
        <f t="shared" si="65"/>
        <v>1987.6399999999999</v>
      </c>
      <c r="J219" s="57">
        <f t="shared" si="66"/>
        <v>6309.61</v>
      </c>
      <c r="P219" s="97">
        <v>116.81196799999999</v>
      </c>
      <c r="Q219" s="98">
        <v>53.721056999999995</v>
      </c>
    </row>
    <row r="220" spans="1:17" x14ac:dyDescent="0.3">
      <c r="A220" s="21" t="s">
        <v>427</v>
      </c>
      <c r="B220" s="13" t="s">
        <v>428</v>
      </c>
      <c r="C220" s="14">
        <v>1</v>
      </c>
      <c r="D220" s="15" t="s">
        <v>51</v>
      </c>
      <c r="E220" s="95">
        <f t="shared" si="60"/>
        <v>70.27</v>
      </c>
      <c r="F220" s="96">
        <f t="shared" si="61"/>
        <v>11.96</v>
      </c>
      <c r="G220" s="16">
        <f t="shared" si="63"/>
        <v>82.22999999999999</v>
      </c>
      <c r="H220" s="16">
        <f t="shared" si="64"/>
        <v>70.27</v>
      </c>
      <c r="I220" s="16">
        <f t="shared" si="65"/>
        <v>11.96</v>
      </c>
      <c r="J220" s="57">
        <f t="shared" si="66"/>
        <v>82.22999999999999</v>
      </c>
      <c r="P220" s="97">
        <v>70.265494000000004</v>
      </c>
      <c r="Q220" s="98">
        <v>11.960442</v>
      </c>
    </row>
    <row r="221" spans="1:17" x14ac:dyDescent="0.3">
      <c r="A221" s="21" t="s">
        <v>429</v>
      </c>
      <c r="B221" s="13" t="s">
        <v>430</v>
      </c>
      <c r="C221" s="14">
        <v>1</v>
      </c>
      <c r="D221" s="15" t="s">
        <v>36</v>
      </c>
      <c r="E221" s="95">
        <f t="shared" si="60"/>
        <v>79.64</v>
      </c>
      <c r="F221" s="96">
        <f t="shared" si="61"/>
        <v>3.88</v>
      </c>
      <c r="G221" s="16">
        <f t="shared" si="63"/>
        <v>83.52</v>
      </c>
      <c r="H221" s="16">
        <f t="shared" si="64"/>
        <v>79.64</v>
      </c>
      <c r="I221" s="16">
        <f t="shared" si="65"/>
        <v>3.88</v>
      </c>
      <c r="J221" s="57">
        <f t="shared" si="66"/>
        <v>83.52</v>
      </c>
      <c r="P221" s="97">
        <v>79.635348000000008</v>
      </c>
      <c r="Q221" s="98">
        <v>3.8774709999999999</v>
      </c>
    </row>
    <row r="222" spans="1:17" x14ac:dyDescent="0.3">
      <c r="A222" s="21" t="s">
        <v>431</v>
      </c>
      <c r="B222" s="13" t="s">
        <v>432</v>
      </c>
      <c r="C222" s="14">
        <v>1</v>
      </c>
      <c r="D222" s="15" t="s">
        <v>36</v>
      </c>
      <c r="E222" s="95">
        <f t="shared" si="60"/>
        <v>79.64</v>
      </c>
      <c r="F222" s="96">
        <f t="shared" si="61"/>
        <v>18.46</v>
      </c>
      <c r="G222" s="16">
        <f t="shared" si="63"/>
        <v>98.1</v>
      </c>
      <c r="H222" s="16">
        <f t="shared" si="64"/>
        <v>79.64</v>
      </c>
      <c r="I222" s="16">
        <f t="shared" si="65"/>
        <v>18.46</v>
      </c>
      <c r="J222" s="57">
        <f t="shared" si="66"/>
        <v>98.1</v>
      </c>
      <c r="P222" s="97">
        <v>79.635348000000008</v>
      </c>
      <c r="Q222" s="98">
        <v>18.462145</v>
      </c>
    </row>
    <row r="223" spans="1:17" x14ac:dyDescent="0.3">
      <c r="A223" s="21" t="s">
        <v>433</v>
      </c>
      <c r="B223" s="13" t="s">
        <v>434</v>
      </c>
      <c r="C223" s="14">
        <v>1</v>
      </c>
      <c r="D223" s="15" t="s">
        <v>36</v>
      </c>
      <c r="E223" s="95">
        <f t="shared" si="60"/>
        <v>502.72</v>
      </c>
      <c r="F223" s="96">
        <f t="shared" si="61"/>
        <v>77.930000000000007</v>
      </c>
      <c r="G223" s="16">
        <f t="shared" si="63"/>
        <v>580.65000000000009</v>
      </c>
      <c r="H223" s="16">
        <f t="shared" si="64"/>
        <v>502.72</v>
      </c>
      <c r="I223" s="16">
        <f t="shared" si="65"/>
        <v>77.930000000000007</v>
      </c>
      <c r="J223" s="57">
        <f t="shared" si="66"/>
        <v>580.65000000000009</v>
      </c>
      <c r="P223" s="97">
        <v>502.71705900000001</v>
      </c>
      <c r="Q223" s="98">
        <v>77.927914999999999</v>
      </c>
    </row>
    <row r="224" spans="1:17" x14ac:dyDescent="0.3">
      <c r="A224" s="21" t="s">
        <v>435</v>
      </c>
      <c r="B224" s="13" t="s">
        <v>436</v>
      </c>
      <c r="C224" s="14">
        <v>1</v>
      </c>
      <c r="D224" s="15" t="s">
        <v>437</v>
      </c>
      <c r="E224" s="95">
        <f t="shared" si="60"/>
        <v>201.17</v>
      </c>
      <c r="F224" s="96">
        <f t="shared" si="61"/>
        <v>41.87</v>
      </c>
      <c r="G224" s="16">
        <f t="shared" si="63"/>
        <v>243.04</v>
      </c>
      <c r="H224" s="16">
        <f t="shared" si="64"/>
        <v>201.17</v>
      </c>
      <c r="I224" s="16">
        <f t="shared" si="65"/>
        <v>41.87</v>
      </c>
      <c r="J224" s="57">
        <f t="shared" si="66"/>
        <v>243.04</v>
      </c>
      <c r="P224" s="97">
        <v>201.17429799999999</v>
      </c>
      <c r="Q224" s="98">
        <v>41.869957999999997</v>
      </c>
    </row>
    <row r="225" spans="1:17" x14ac:dyDescent="0.3">
      <c r="A225" s="21" t="s">
        <v>438</v>
      </c>
      <c r="B225" s="13" t="s">
        <v>439</v>
      </c>
      <c r="C225" s="14">
        <v>38</v>
      </c>
      <c r="D225" s="15" t="s">
        <v>36</v>
      </c>
      <c r="E225" s="95">
        <f t="shared" si="60"/>
        <v>196.11</v>
      </c>
      <c r="F225" s="96">
        <f t="shared" si="61"/>
        <v>7.59</v>
      </c>
      <c r="G225" s="16">
        <f t="shared" si="63"/>
        <v>203.70000000000002</v>
      </c>
      <c r="H225" s="16">
        <f t="shared" si="64"/>
        <v>7452.18</v>
      </c>
      <c r="I225" s="16">
        <f t="shared" si="65"/>
        <v>288.42</v>
      </c>
      <c r="J225" s="57">
        <f t="shared" si="66"/>
        <v>7740.6</v>
      </c>
      <c r="P225" s="97">
        <v>196.11087599999999</v>
      </c>
      <c r="Q225" s="98">
        <v>7.5867219999999991</v>
      </c>
    </row>
    <row r="226" spans="1:17" x14ac:dyDescent="0.3">
      <c r="A226" s="21" t="s">
        <v>440</v>
      </c>
      <c r="B226" s="13" t="s">
        <v>441</v>
      </c>
      <c r="C226" s="14">
        <v>1</v>
      </c>
      <c r="D226" s="15" t="s">
        <v>36</v>
      </c>
      <c r="E226" s="95">
        <f t="shared" si="60"/>
        <v>316.38</v>
      </c>
      <c r="F226" s="96">
        <f t="shared" si="61"/>
        <v>7.59</v>
      </c>
      <c r="G226" s="16">
        <f t="shared" si="63"/>
        <v>323.96999999999997</v>
      </c>
      <c r="H226" s="16">
        <f t="shared" si="64"/>
        <v>316.38</v>
      </c>
      <c r="I226" s="16">
        <f t="shared" si="65"/>
        <v>7.59</v>
      </c>
      <c r="J226" s="57">
        <f t="shared" si="66"/>
        <v>323.96999999999997</v>
      </c>
      <c r="P226" s="97">
        <v>316.37976499999996</v>
      </c>
      <c r="Q226" s="98">
        <v>7.5867219999999991</v>
      </c>
    </row>
    <row r="227" spans="1:17" x14ac:dyDescent="0.3">
      <c r="A227" s="21" t="s">
        <v>442</v>
      </c>
      <c r="B227" s="13" t="s">
        <v>443</v>
      </c>
      <c r="C227" s="14">
        <v>1</v>
      </c>
      <c r="D227" s="15" t="s">
        <v>437</v>
      </c>
      <c r="E227" s="95">
        <f t="shared" si="60"/>
        <v>19.399999999999999</v>
      </c>
      <c r="F227" s="96">
        <f t="shared" si="61"/>
        <v>7.59</v>
      </c>
      <c r="G227" s="16">
        <f t="shared" si="63"/>
        <v>26.99</v>
      </c>
      <c r="H227" s="16">
        <f t="shared" si="64"/>
        <v>19.399999999999999</v>
      </c>
      <c r="I227" s="16">
        <f t="shared" si="65"/>
        <v>7.59</v>
      </c>
      <c r="J227" s="57">
        <f t="shared" si="66"/>
        <v>26.99</v>
      </c>
      <c r="P227" s="97">
        <v>19.395765999999998</v>
      </c>
      <c r="Q227" s="98">
        <v>7.5867219999999991</v>
      </c>
    </row>
    <row r="228" spans="1:17" x14ac:dyDescent="0.3">
      <c r="A228" s="17">
        <v>17</v>
      </c>
      <c r="B228" s="18" t="s">
        <v>444</v>
      </c>
      <c r="C228" s="9"/>
      <c r="D228" s="9"/>
      <c r="E228" s="95">
        <f t="shared" si="60"/>
        <v>0</v>
      </c>
      <c r="F228" s="96">
        <f t="shared" si="61"/>
        <v>0</v>
      </c>
      <c r="G228" s="11">
        <f t="shared" ref="G228:I228" si="67">SUBTOTAL(109,G229:G239)</f>
        <v>252.29999999999998</v>
      </c>
      <c r="H228" s="11">
        <f t="shared" si="67"/>
        <v>699307.6</v>
      </c>
      <c r="I228" s="11">
        <f t="shared" si="67"/>
        <v>557234.31000000006</v>
      </c>
      <c r="J228" s="56">
        <f>SUBTOTAL(109,J229:J239)</f>
        <v>1256541.9099999999</v>
      </c>
      <c r="P228" s="87"/>
      <c r="Q228" s="88"/>
    </row>
    <row r="229" spans="1:17" x14ac:dyDescent="0.3">
      <c r="A229" s="21" t="s">
        <v>445</v>
      </c>
      <c r="B229" s="13" t="s">
        <v>446</v>
      </c>
      <c r="C229" s="14">
        <v>1604</v>
      </c>
      <c r="D229" s="15" t="s">
        <v>36</v>
      </c>
      <c r="E229" s="95">
        <f t="shared" si="60"/>
        <v>8.76</v>
      </c>
      <c r="F229" s="96">
        <f t="shared" si="61"/>
        <v>21.36</v>
      </c>
      <c r="G229" s="16">
        <f t="shared" ref="G229:G239" si="68">SUM(E229:F229)</f>
        <v>30.119999999999997</v>
      </c>
      <c r="H229" s="16">
        <f t="shared" ref="H229:H239" si="69">C229*E229</f>
        <v>14051.039999999999</v>
      </c>
      <c r="I229" s="16">
        <f t="shared" ref="I229:I239" si="70">C229*F229</f>
        <v>34261.440000000002</v>
      </c>
      <c r="J229" s="57">
        <f t="shared" ref="J229:J239" si="71">SUM(E229:F229)*C229</f>
        <v>48312.479999999996</v>
      </c>
      <c r="P229" s="97">
        <v>8.7558509999999998</v>
      </c>
      <c r="Q229" s="98">
        <v>21.363939999999999</v>
      </c>
    </row>
    <row r="230" spans="1:17" x14ac:dyDescent="0.3">
      <c r="A230" s="21" t="s">
        <v>447</v>
      </c>
      <c r="B230" s="13" t="s">
        <v>448</v>
      </c>
      <c r="C230" s="14">
        <v>4208</v>
      </c>
      <c r="D230" s="15" t="s">
        <v>36</v>
      </c>
      <c r="E230" s="95">
        <f t="shared" si="60"/>
        <v>4.05</v>
      </c>
      <c r="F230" s="96">
        <f t="shared" si="61"/>
        <v>10.98</v>
      </c>
      <c r="G230" s="16">
        <f t="shared" si="68"/>
        <v>15.030000000000001</v>
      </c>
      <c r="H230" s="16">
        <f t="shared" si="69"/>
        <v>17042.399999999998</v>
      </c>
      <c r="I230" s="16">
        <f t="shared" si="70"/>
        <v>46203.840000000004</v>
      </c>
      <c r="J230" s="57">
        <f t="shared" si="71"/>
        <v>63246.240000000005</v>
      </c>
      <c r="P230" s="97">
        <v>4.0541020000000003</v>
      </c>
      <c r="Q230" s="98">
        <v>10.976355</v>
      </c>
    </row>
    <row r="231" spans="1:17" x14ac:dyDescent="0.3">
      <c r="A231" s="21" t="s">
        <v>449</v>
      </c>
      <c r="B231" s="13" t="s">
        <v>450</v>
      </c>
      <c r="C231" s="14">
        <v>4422</v>
      </c>
      <c r="D231" s="15" t="s">
        <v>36</v>
      </c>
      <c r="E231" s="95">
        <f t="shared" si="60"/>
        <v>15</v>
      </c>
      <c r="F231" s="96">
        <f t="shared" si="61"/>
        <v>5.84</v>
      </c>
      <c r="G231" s="16">
        <f t="shared" si="68"/>
        <v>20.84</v>
      </c>
      <c r="H231" s="16">
        <f t="shared" si="69"/>
        <v>66330</v>
      </c>
      <c r="I231" s="16">
        <f t="shared" si="70"/>
        <v>25824.48</v>
      </c>
      <c r="J231" s="57">
        <f t="shared" si="71"/>
        <v>92154.48</v>
      </c>
      <c r="P231" s="97">
        <v>14.996812999999998</v>
      </c>
      <c r="Q231" s="98">
        <v>5.8372340000000005</v>
      </c>
    </row>
    <row r="232" spans="1:17" ht="28.8" x14ac:dyDescent="0.3">
      <c r="A232" s="21" t="s">
        <v>451</v>
      </c>
      <c r="B232" s="13" t="s">
        <v>452</v>
      </c>
      <c r="C232" s="14">
        <v>4369</v>
      </c>
      <c r="D232" s="15" t="s">
        <v>36</v>
      </c>
      <c r="E232" s="95">
        <f t="shared" si="60"/>
        <v>7.88</v>
      </c>
      <c r="F232" s="96">
        <f t="shared" si="61"/>
        <v>6.11</v>
      </c>
      <c r="G232" s="16">
        <f t="shared" si="68"/>
        <v>13.99</v>
      </c>
      <c r="H232" s="16">
        <f t="shared" si="69"/>
        <v>34427.72</v>
      </c>
      <c r="I232" s="16">
        <f t="shared" si="70"/>
        <v>26694.59</v>
      </c>
      <c r="J232" s="57">
        <f t="shared" si="71"/>
        <v>61122.31</v>
      </c>
      <c r="P232" s="97">
        <v>7.8811069999999992</v>
      </c>
      <c r="Q232" s="98">
        <v>6.1147969999999994</v>
      </c>
    </row>
    <row r="233" spans="1:17" x14ac:dyDescent="0.3">
      <c r="A233" s="21" t="s">
        <v>453</v>
      </c>
      <c r="B233" s="13" t="s">
        <v>454</v>
      </c>
      <c r="C233" s="14">
        <v>1525</v>
      </c>
      <c r="D233" s="15" t="s">
        <v>36</v>
      </c>
      <c r="E233" s="95">
        <f t="shared" si="60"/>
        <v>7.1</v>
      </c>
      <c r="F233" s="96">
        <f t="shared" si="61"/>
        <v>10.98</v>
      </c>
      <c r="G233" s="16">
        <f t="shared" si="68"/>
        <v>18.079999999999998</v>
      </c>
      <c r="H233" s="16">
        <f t="shared" si="69"/>
        <v>10827.5</v>
      </c>
      <c r="I233" s="16">
        <f t="shared" si="70"/>
        <v>16744.5</v>
      </c>
      <c r="J233" s="57">
        <f t="shared" si="71"/>
        <v>27571.999999999996</v>
      </c>
      <c r="P233" s="97">
        <v>7.0988839999999991</v>
      </c>
      <c r="Q233" s="98">
        <v>10.976355</v>
      </c>
    </row>
    <row r="234" spans="1:17" ht="28.8" x14ac:dyDescent="0.3">
      <c r="A234" s="21" t="s">
        <v>455</v>
      </c>
      <c r="B234" s="13" t="s">
        <v>456</v>
      </c>
      <c r="C234" s="14">
        <v>26532</v>
      </c>
      <c r="D234" s="15" t="s">
        <v>36</v>
      </c>
      <c r="E234" s="95">
        <f t="shared" si="60"/>
        <v>16.22</v>
      </c>
      <c r="F234" s="96">
        <f t="shared" si="61"/>
        <v>7.02</v>
      </c>
      <c r="G234" s="16">
        <f t="shared" si="68"/>
        <v>23.24</v>
      </c>
      <c r="H234" s="16">
        <f t="shared" si="69"/>
        <v>430349.04</v>
      </c>
      <c r="I234" s="16">
        <f t="shared" si="70"/>
        <v>186254.63999999998</v>
      </c>
      <c r="J234" s="57">
        <f t="shared" si="71"/>
        <v>616603.67999999993</v>
      </c>
      <c r="P234" s="97">
        <v>16.216408000000001</v>
      </c>
      <c r="Q234" s="98">
        <v>7.0231849999999998</v>
      </c>
    </row>
    <row r="235" spans="1:17" x14ac:dyDescent="0.3">
      <c r="A235" s="21" t="s">
        <v>457</v>
      </c>
      <c r="B235" s="13" t="s">
        <v>458</v>
      </c>
      <c r="C235" s="14">
        <v>1442</v>
      </c>
      <c r="D235" s="15" t="s">
        <v>36</v>
      </c>
      <c r="E235" s="95">
        <f t="shared" si="60"/>
        <v>13.05</v>
      </c>
      <c r="F235" s="96">
        <f t="shared" si="61"/>
        <v>16.170000000000002</v>
      </c>
      <c r="G235" s="16">
        <f t="shared" si="68"/>
        <v>29.220000000000002</v>
      </c>
      <c r="H235" s="16">
        <f t="shared" si="69"/>
        <v>18818.100000000002</v>
      </c>
      <c r="I235" s="16">
        <f t="shared" si="70"/>
        <v>23317.140000000003</v>
      </c>
      <c r="J235" s="57">
        <f t="shared" si="71"/>
        <v>42135.240000000005</v>
      </c>
      <c r="P235" s="97">
        <v>13.053871999999998</v>
      </c>
      <c r="Q235" s="98">
        <v>16.165941999999998</v>
      </c>
    </row>
    <row r="236" spans="1:17" x14ac:dyDescent="0.3">
      <c r="A236" s="21" t="s">
        <v>459</v>
      </c>
      <c r="B236" s="13" t="s">
        <v>460</v>
      </c>
      <c r="C236" s="14">
        <v>9038</v>
      </c>
      <c r="D236" s="15" t="s">
        <v>36</v>
      </c>
      <c r="E236" s="95">
        <f t="shared" si="60"/>
        <v>7.53</v>
      </c>
      <c r="F236" s="96">
        <f t="shared" si="61"/>
        <v>18.23</v>
      </c>
      <c r="G236" s="16">
        <f t="shared" si="68"/>
        <v>25.76</v>
      </c>
      <c r="H236" s="16">
        <f t="shared" si="69"/>
        <v>68056.14</v>
      </c>
      <c r="I236" s="16">
        <f t="shared" si="70"/>
        <v>164762.74</v>
      </c>
      <c r="J236" s="57">
        <f t="shared" si="71"/>
        <v>232818.88</v>
      </c>
      <c r="P236" s="97">
        <v>7.5278449999999992</v>
      </c>
      <c r="Q236" s="98">
        <v>18.226637</v>
      </c>
    </row>
    <row r="237" spans="1:17" x14ac:dyDescent="0.3">
      <c r="A237" s="21" t="s">
        <v>461</v>
      </c>
      <c r="B237" s="13" t="s">
        <v>462</v>
      </c>
      <c r="C237" s="14">
        <v>1939</v>
      </c>
      <c r="D237" s="15" t="s">
        <v>36</v>
      </c>
      <c r="E237" s="95">
        <f t="shared" si="60"/>
        <v>20.309999999999999</v>
      </c>
      <c r="F237" s="96">
        <f t="shared" si="61"/>
        <v>17.100000000000001</v>
      </c>
      <c r="G237" s="16">
        <f t="shared" si="68"/>
        <v>37.409999999999997</v>
      </c>
      <c r="H237" s="16">
        <f t="shared" si="69"/>
        <v>39381.089999999997</v>
      </c>
      <c r="I237" s="16">
        <f t="shared" si="70"/>
        <v>33156.9</v>
      </c>
      <c r="J237" s="57">
        <f t="shared" si="71"/>
        <v>72537.989999999991</v>
      </c>
      <c r="P237" s="97">
        <v>20.312564999999999</v>
      </c>
      <c r="Q237" s="98">
        <v>17.099562999999996</v>
      </c>
    </row>
    <row r="238" spans="1:17" ht="28.8" x14ac:dyDescent="0.3">
      <c r="A238" s="21" t="s">
        <v>463</v>
      </c>
      <c r="B238" s="13" t="s">
        <v>464</v>
      </c>
      <c r="C238" s="14">
        <v>1</v>
      </c>
      <c r="D238" s="15" t="s">
        <v>36</v>
      </c>
      <c r="E238" s="95">
        <f t="shared" si="60"/>
        <v>4.91</v>
      </c>
      <c r="F238" s="96">
        <f t="shared" si="61"/>
        <v>7.02</v>
      </c>
      <c r="G238" s="16">
        <f t="shared" si="68"/>
        <v>11.93</v>
      </c>
      <c r="H238" s="16">
        <f t="shared" si="69"/>
        <v>4.91</v>
      </c>
      <c r="I238" s="16">
        <f t="shared" si="70"/>
        <v>7.02</v>
      </c>
      <c r="J238" s="57">
        <f t="shared" si="71"/>
        <v>11.93</v>
      </c>
      <c r="P238" s="97">
        <v>4.9120239999999997</v>
      </c>
      <c r="Q238" s="98">
        <v>7.0231849999999998</v>
      </c>
    </row>
    <row r="239" spans="1:17" ht="28.8" x14ac:dyDescent="0.3">
      <c r="A239" s="21" t="s">
        <v>465</v>
      </c>
      <c r="B239" s="13" t="s">
        <v>466</v>
      </c>
      <c r="C239" s="14">
        <v>1</v>
      </c>
      <c r="D239" s="15" t="s">
        <v>36</v>
      </c>
      <c r="E239" s="95">
        <f t="shared" si="60"/>
        <v>19.66</v>
      </c>
      <c r="F239" s="96">
        <f t="shared" si="61"/>
        <v>7.02</v>
      </c>
      <c r="G239" s="16">
        <f t="shared" si="68"/>
        <v>26.68</v>
      </c>
      <c r="H239" s="16">
        <f t="shared" si="69"/>
        <v>19.66</v>
      </c>
      <c r="I239" s="16">
        <f t="shared" si="70"/>
        <v>7.02</v>
      </c>
      <c r="J239" s="57">
        <f t="shared" si="71"/>
        <v>26.68</v>
      </c>
      <c r="P239" s="97">
        <v>19.664917999999997</v>
      </c>
      <c r="Q239" s="98">
        <v>7.0231849999999998</v>
      </c>
    </row>
    <row r="240" spans="1:17" x14ac:dyDescent="0.3">
      <c r="A240" s="17">
        <v>18</v>
      </c>
      <c r="B240" s="18" t="s">
        <v>467</v>
      </c>
      <c r="C240" s="9"/>
      <c r="D240" s="9"/>
      <c r="E240" s="95">
        <f t="shared" si="60"/>
        <v>0</v>
      </c>
      <c r="F240" s="96">
        <f t="shared" si="61"/>
        <v>0</v>
      </c>
      <c r="G240" s="10">
        <v>0</v>
      </c>
      <c r="H240" s="10">
        <v>0</v>
      </c>
      <c r="I240" s="10">
        <v>0</v>
      </c>
      <c r="J240" s="56">
        <v>0</v>
      </c>
      <c r="P240" s="87"/>
      <c r="Q240" s="88"/>
    </row>
    <row r="241" spans="1:17" x14ac:dyDescent="0.3">
      <c r="A241" s="17">
        <v>19</v>
      </c>
      <c r="B241" s="18" t="s">
        <v>468</v>
      </c>
      <c r="C241" s="9"/>
      <c r="D241" s="9"/>
      <c r="E241" s="95">
        <f t="shared" si="60"/>
        <v>0</v>
      </c>
      <c r="F241" s="96">
        <f t="shared" si="61"/>
        <v>0</v>
      </c>
      <c r="G241" s="11">
        <f t="shared" ref="G241:I241" si="72">SUBTOTAL(109,G242:G371)</f>
        <v>30535.550000000003</v>
      </c>
      <c r="H241" s="11">
        <f t="shared" si="72"/>
        <v>702692.97999999986</v>
      </c>
      <c r="I241" s="11">
        <f t="shared" si="72"/>
        <v>190108.07000000018</v>
      </c>
      <c r="J241" s="56">
        <f>SUBTOTAL(109,J242:J371)</f>
        <v>892801.04999999981</v>
      </c>
      <c r="P241" s="86"/>
      <c r="Q241" s="86"/>
    </row>
    <row r="242" spans="1:17" x14ac:dyDescent="0.3">
      <c r="A242" s="21" t="s">
        <v>469</v>
      </c>
      <c r="B242" s="23" t="s">
        <v>470</v>
      </c>
      <c r="C242" s="14">
        <v>1</v>
      </c>
      <c r="D242" s="24" t="s">
        <v>25</v>
      </c>
      <c r="E242" s="95">
        <f t="shared" si="60"/>
        <v>38.520000000000003</v>
      </c>
      <c r="F242" s="96">
        <f t="shared" si="61"/>
        <v>19.63</v>
      </c>
      <c r="G242" s="16">
        <f t="shared" ref="G242:G305" si="73">SUM(E242:F242)</f>
        <v>58.150000000000006</v>
      </c>
      <c r="H242" s="16">
        <f t="shared" ref="H242:H273" si="74">C242*E242</f>
        <v>38.520000000000003</v>
      </c>
      <c r="I242" s="16">
        <f t="shared" ref="I242:I273" si="75">C242*F242</f>
        <v>19.63</v>
      </c>
      <c r="J242" s="57">
        <f t="shared" ref="J242:J273" si="76">SUM(E242:F242)*C242</f>
        <v>58.150000000000006</v>
      </c>
      <c r="P242" s="89">
        <v>38.522379999999998</v>
      </c>
      <c r="Q242" s="89">
        <v>19.631273999999998</v>
      </c>
    </row>
    <row r="243" spans="1:17" x14ac:dyDescent="0.3">
      <c r="A243" s="21" t="s">
        <v>471</v>
      </c>
      <c r="B243" s="23" t="s">
        <v>472</v>
      </c>
      <c r="C243" s="14">
        <v>177</v>
      </c>
      <c r="D243" s="24" t="s">
        <v>51</v>
      </c>
      <c r="E243" s="95">
        <f t="shared" si="60"/>
        <v>26.18</v>
      </c>
      <c r="F243" s="96">
        <f t="shared" si="61"/>
        <v>4.67</v>
      </c>
      <c r="G243" s="16">
        <f t="shared" si="73"/>
        <v>30.85</v>
      </c>
      <c r="H243" s="16">
        <f t="shared" si="74"/>
        <v>4633.8599999999997</v>
      </c>
      <c r="I243" s="16">
        <f t="shared" si="75"/>
        <v>826.59</v>
      </c>
      <c r="J243" s="57">
        <f t="shared" si="76"/>
        <v>5460.45</v>
      </c>
      <c r="P243" s="90">
        <v>26.175031999999998</v>
      </c>
      <c r="Q243" s="90">
        <v>4.6681049999999997</v>
      </c>
    </row>
    <row r="244" spans="1:17" x14ac:dyDescent="0.3">
      <c r="A244" s="21" t="s">
        <v>473</v>
      </c>
      <c r="B244" s="23" t="s">
        <v>474</v>
      </c>
      <c r="C244" s="14">
        <v>301</v>
      </c>
      <c r="D244" s="24" t="s">
        <v>25</v>
      </c>
      <c r="E244" s="95">
        <f t="shared" si="60"/>
        <v>13.8</v>
      </c>
      <c r="F244" s="96">
        <f t="shared" si="61"/>
        <v>9.82</v>
      </c>
      <c r="G244" s="16">
        <f t="shared" si="73"/>
        <v>23.62</v>
      </c>
      <c r="H244" s="16">
        <f t="shared" si="74"/>
        <v>4153.8</v>
      </c>
      <c r="I244" s="16">
        <f t="shared" si="75"/>
        <v>2955.82</v>
      </c>
      <c r="J244" s="57">
        <f t="shared" si="76"/>
        <v>7109.62</v>
      </c>
      <c r="P244" s="89">
        <v>13.802451</v>
      </c>
      <c r="Q244" s="89">
        <v>9.8156369999999988</v>
      </c>
    </row>
    <row r="245" spans="1:17" x14ac:dyDescent="0.3">
      <c r="A245" s="21" t="s">
        <v>475</v>
      </c>
      <c r="B245" s="23" t="s">
        <v>476</v>
      </c>
      <c r="C245" s="14">
        <v>3736</v>
      </c>
      <c r="D245" s="24" t="s">
        <v>51</v>
      </c>
      <c r="E245" s="95">
        <f t="shared" si="60"/>
        <v>58.61</v>
      </c>
      <c r="F245" s="96">
        <f t="shared" si="61"/>
        <v>4.67</v>
      </c>
      <c r="G245" s="16">
        <f t="shared" si="73"/>
        <v>63.28</v>
      </c>
      <c r="H245" s="16">
        <f t="shared" si="74"/>
        <v>218966.96</v>
      </c>
      <c r="I245" s="16">
        <f t="shared" si="75"/>
        <v>17447.12</v>
      </c>
      <c r="J245" s="57">
        <f t="shared" si="76"/>
        <v>236414.08000000002</v>
      </c>
      <c r="P245" s="90">
        <v>58.607848000000004</v>
      </c>
      <c r="Q245" s="90">
        <v>4.6681049999999997</v>
      </c>
    </row>
    <row r="246" spans="1:17" x14ac:dyDescent="0.3">
      <c r="A246" s="21" t="s">
        <v>477</v>
      </c>
      <c r="B246" s="23" t="s">
        <v>478</v>
      </c>
      <c r="C246" s="14">
        <v>896</v>
      </c>
      <c r="D246" s="24" t="s">
        <v>51</v>
      </c>
      <c r="E246" s="95">
        <f t="shared" si="60"/>
        <v>49.89</v>
      </c>
      <c r="F246" s="96">
        <f t="shared" si="61"/>
        <v>4.67</v>
      </c>
      <c r="G246" s="16">
        <f t="shared" si="73"/>
        <v>54.56</v>
      </c>
      <c r="H246" s="16">
        <f t="shared" si="74"/>
        <v>44701.440000000002</v>
      </c>
      <c r="I246" s="16">
        <f t="shared" si="75"/>
        <v>4184.32</v>
      </c>
      <c r="J246" s="57">
        <f t="shared" si="76"/>
        <v>48885.760000000002</v>
      </c>
      <c r="P246" s="89">
        <v>49.885641</v>
      </c>
      <c r="Q246" s="89">
        <v>4.6681049999999997</v>
      </c>
    </row>
    <row r="247" spans="1:17" x14ac:dyDescent="0.3">
      <c r="A247" s="21" t="s">
        <v>479</v>
      </c>
      <c r="B247" s="23" t="s">
        <v>480</v>
      </c>
      <c r="C247" s="14">
        <v>1</v>
      </c>
      <c r="D247" s="24" t="s">
        <v>25</v>
      </c>
      <c r="E247" s="95">
        <f t="shared" si="60"/>
        <v>21.1</v>
      </c>
      <c r="F247" s="96">
        <f t="shared" si="61"/>
        <v>5.45</v>
      </c>
      <c r="G247" s="16">
        <f t="shared" si="73"/>
        <v>26.55</v>
      </c>
      <c r="H247" s="16">
        <f t="shared" si="74"/>
        <v>21.1</v>
      </c>
      <c r="I247" s="16">
        <f t="shared" si="75"/>
        <v>5.45</v>
      </c>
      <c r="J247" s="57">
        <f t="shared" si="76"/>
        <v>26.55</v>
      </c>
      <c r="P247" s="90">
        <v>21.103199</v>
      </c>
      <c r="Q247" s="90">
        <v>5.4503279999999998</v>
      </c>
    </row>
    <row r="248" spans="1:17" x14ac:dyDescent="0.3">
      <c r="A248" s="21" t="s">
        <v>481</v>
      </c>
      <c r="B248" s="23" t="s">
        <v>482</v>
      </c>
      <c r="C248" s="14">
        <v>26</v>
      </c>
      <c r="D248" s="24" t="s">
        <v>25</v>
      </c>
      <c r="E248" s="95">
        <f t="shared" si="60"/>
        <v>33.479999999999997</v>
      </c>
      <c r="F248" s="96">
        <f t="shared" si="61"/>
        <v>1.25</v>
      </c>
      <c r="G248" s="16">
        <f t="shared" si="73"/>
        <v>34.729999999999997</v>
      </c>
      <c r="H248" s="16">
        <f t="shared" si="74"/>
        <v>870.4799999999999</v>
      </c>
      <c r="I248" s="16">
        <f t="shared" si="75"/>
        <v>32.5</v>
      </c>
      <c r="J248" s="57">
        <f t="shared" si="76"/>
        <v>902.9799999999999</v>
      </c>
      <c r="P248" s="89">
        <v>33.484191000000003</v>
      </c>
      <c r="Q248" s="89">
        <v>1.253239</v>
      </c>
    </row>
    <row r="249" spans="1:17" x14ac:dyDescent="0.3">
      <c r="A249" s="21" t="s">
        <v>483</v>
      </c>
      <c r="B249" s="23" t="s">
        <v>484</v>
      </c>
      <c r="C249" s="14">
        <v>327</v>
      </c>
      <c r="D249" s="24" t="s">
        <v>25</v>
      </c>
      <c r="E249" s="95">
        <f t="shared" si="60"/>
        <v>112.24</v>
      </c>
      <c r="F249" s="96">
        <f t="shared" si="61"/>
        <v>19.63</v>
      </c>
      <c r="G249" s="16">
        <f t="shared" si="73"/>
        <v>131.87</v>
      </c>
      <c r="H249" s="16">
        <f t="shared" si="74"/>
        <v>36702.479999999996</v>
      </c>
      <c r="I249" s="16">
        <f t="shared" si="75"/>
        <v>6419.0099999999993</v>
      </c>
      <c r="J249" s="57">
        <f t="shared" si="76"/>
        <v>43121.49</v>
      </c>
      <c r="P249" s="90">
        <v>112.23638399999999</v>
      </c>
      <c r="Q249" s="90">
        <v>19.631273999999998</v>
      </c>
    </row>
    <row r="250" spans="1:17" x14ac:dyDescent="0.3">
      <c r="A250" s="21" t="s">
        <v>485</v>
      </c>
      <c r="B250" s="23" t="s">
        <v>486</v>
      </c>
      <c r="C250" s="14">
        <v>199</v>
      </c>
      <c r="D250" s="24" t="s">
        <v>25</v>
      </c>
      <c r="E250" s="95">
        <f t="shared" si="60"/>
        <v>0</v>
      </c>
      <c r="F250" s="96">
        <f t="shared" si="61"/>
        <v>47.3</v>
      </c>
      <c r="G250" s="16">
        <f t="shared" si="73"/>
        <v>47.3</v>
      </c>
      <c r="H250" s="16">
        <f t="shared" si="74"/>
        <v>0</v>
      </c>
      <c r="I250" s="16">
        <f t="shared" si="75"/>
        <v>9412.6999999999989</v>
      </c>
      <c r="J250" s="57">
        <f t="shared" si="76"/>
        <v>9412.6999999999989</v>
      </c>
      <c r="P250" s="89">
        <v>0</v>
      </c>
      <c r="Q250" s="89">
        <v>47.303463999999998</v>
      </c>
    </row>
    <row r="251" spans="1:17" x14ac:dyDescent="0.3">
      <c r="A251" s="21" t="s">
        <v>487</v>
      </c>
      <c r="B251" s="23" t="s">
        <v>488</v>
      </c>
      <c r="C251" s="14">
        <v>160</v>
      </c>
      <c r="D251" s="24" t="s">
        <v>25</v>
      </c>
      <c r="E251" s="95">
        <f t="shared" si="60"/>
        <v>62.03</v>
      </c>
      <c r="F251" s="96">
        <f t="shared" si="61"/>
        <v>9.82</v>
      </c>
      <c r="G251" s="16">
        <f t="shared" si="73"/>
        <v>71.849999999999994</v>
      </c>
      <c r="H251" s="16">
        <f t="shared" si="74"/>
        <v>9924.7999999999993</v>
      </c>
      <c r="I251" s="16">
        <f t="shared" si="75"/>
        <v>1571.2</v>
      </c>
      <c r="J251" s="57">
        <f t="shared" si="76"/>
        <v>11496</v>
      </c>
      <c r="P251" s="90">
        <v>62.031124999999996</v>
      </c>
      <c r="Q251" s="90">
        <v>9.8156369999999988</v>
      </c>
    </row>
    <row r="252" spans="1:17" x14ac:dyDescent="0.3">
      <c r="A252" s="21" t="s">
        <v>489</v>
      </c>
      <c r="B252" s="23" t="s">
        <v>490</v>
      </c>
      <c r="C252" s="14">
        <v>1</v>
      </c>
      <c r="D252" s="24" t="s">
        <v>25</v>
      </c>
      <c r="E252" s="95">
        <f t="shared" si="60"/>
        <v>449.82</v>
      </c>
      <c r="F252" s="96">
        <f t="shared" si="61"/>
        <v>31.27</v>
      </c>
      <c r="G252" s="16">
        <f t="shared" si="73"/>
        <v>481.09</v>
      </c>
      <c r="H252" s="16">
        <f t="shared" si="74"/>
        <v>449.82</v>
      </c>
      <c r="I252" s="16">
        <f t="shared" si="75"/>
        <v>31.27</v>
      </c>
      <c r="J252" s="57">
        <f t="shared" si="76"/>
        <v>481.09</v>
      </c>
      <c r="P252" s="89">
        <v>449.82027999999991</v>
      </c>
      <c r="Q252" s="89">
        <v>31.272098</v>
      </c>
    </row>
    <row r="253" spans="1:17" x14ac:dyDescent="0.3">
      <c r="A253" s="21" t="s">
        <v>491</v>
      </c>
      <c r="B253" s="23" t="s">
        <v>492</v>
      </c>
      <c r="C253" s="14">
        <v>1</v>
      </c>
      <c r="D253" s="24" t="s">
        <v>25</v>
      </c>
      <c r="E253" s="95">
        <f t="shared" si="60"/>
        <v>274.67</v>
      </c>
      <c r="F253" s="96">
        <f t="shared" si="61"/>
        <v>191.33</v>
      </c>
      <c r="G253" s="16">
        <f t="shared" si="73"/>
        <v>466</v>
      </c>
      <c r="H253" s="16">
        <f t="shared" si="74"/>
        <v>274.67</v>
      </c>
      <c r="I253" s="16">
        <f t="shared" si="75"/>
        <v>191.33</v>
      </c>
      <c r="J253" s="57">
        <f t="shared" si="76"/>
        <v>466</v>
      </c>
      <c r="P253" s="90">
        <v>274.66961599999996</v>
      </c>
      <c r="Q253" s="90">
        <v>191.325017</v>
      </c>
    </row>
    <row r="254" spans="1:17" x14ac:dyDescent="0.3">
      <c r="A254" s="21" t="s">
        <v>493</v>
      </c>
      <c r="B254" s="23" t="s">
        <v>494</v>
      </c>
      <c r="C254" s="14">
        <v>423</v>
      </c>
      <c r="D254" s="24" t="s">
        <v>25</v>
      </c>
      <c r="E254" s="95">
        <f t="shared" si="60"/>
        <v>30.34</v>
      </c>
      <c r="F254" s="96">
        <f t="shared" si="61"/>
        <v>23.37</v>
      </c>
      <c r="G254" s="16">
        <f t="shared" si="73"/>
        <v>53.71</v>
      </c>
      <c r="H254" s="16">
        <f t="shared" si="74"/>
        <v>12833.82</v>
      </c>
      <c r="I254" s="16">
        <f t="shared" si="75"/>
        <v>9885.51</v>
      </c>
      <c r="J254" s="57">
        <f t="shared" si="76"/>
        <v>22719.33</v>
      </c>
      <c r="P254" s="89">
        <v>30.338476999999997</v>
      </c>
      <c r="Q254" s="89">
        <v>23.374168999999998</v>
      </c>
    </row>
    <row r="255" spans="1:17" x14ac:dyDescent="0.3">
      <c r="A255" s="21" t="s">
        <v>495</v>
      </c>
      <c r="B255" s="23" t="s">
        <v>496</v>
      </c>
      <c r="C255" s="14">
        <v>1</v>
      </c>
      <c r="D255" s="24" t="s">
        <v>25</v>
      </c>
      <c r="E255" s="95">
        <f t="shared" si="60"/>
        <v>0</v>
      </c>
      <c r="F255" s="96">
        <f t="shared" si="61"/>
        <v>35.07</v>
      </c>
      <c r="G255" s="16">
        <f t="shared" si="73"/>
        <v>35.07</v>
      </c>
      <c r="H255" s="16">
        <f t="shared" si="74"/>
        <v>0</v>
      </c>
      <c r="I255" s="16">
        <f t="shared" si="75"/>
        <v>35.07</v>
      </c>
      <c r="J255" s="57">
        <f t="shared" si="76"/>
        <v>35.07</v>
      </c>
      <c r="P255" s="90">
        <v>0</v>
      </c>
      <c r="Q255" s="90">
        <v>35.065458999999997</v>
      </c>
    </row>
    <row r="256" spans="1:17" x14ac:dyDescent="0.3">
      <c r="A256" s="21" t="s">
        <v>497</v>
      </c>
      <c r="B256" s="23" t="s">
        <v>498</v>
      </c>
      <c r="C256" s="14">
        <v>165</v>
      </c>
      <c r="D256" s="24" t="s">
        <v>25</v>
      </c>
      <c r="E256" s="95">
        <f t="shared" si="60"/>
        <v>46.24</v>
      </c>
      <c r="F256" s="96">
        <f t="shared" si="61"/>
        <v>15.43</v>
      </c>
      <c r="G256" s="16">
        <f t="shared" si="73"/>
        <v>61.67</v>
      </c>
      <c r="H256" s="16">
        <f t="shared" si="74"/>
        <v>7629.6</v>
      </c>
      <c r="I256" s="16">
        <f t="shared" si="75"/>
        <v>2545.9499999999998</v>
      </c>
      <c r="J256" s="57">
        <f t="shared" si="76"/>
        <v>10175.550000000001</v>
      </c>
      <c r="P256" s="89">
        <v>46.243677999999996</v>
      </c>
      <c r="Q256" s="89">
        <v>15.425773999999999</v>
      </c>
    </row>
    <row r="257" spans="1:17" x14ac:dyDescent="0.3">
      <c r="A257" s="21" t="s">
        <v>499</v>
      </c>
      <c r="B257" s="23" t="s">
        <v>500</v>
      </c>
      <c r="C257" s="14">
        <v>2074</v>
      </c>
      <c r="D257" s="24" t="s">
        <v>25</v>
      </c>
      <c r="E257" s="95">
        <f t="shared" si="60"/>
        <v>0</v>
      </c>
      <c r="F257" s="96">
        <f t="shared" si="61"/>
        <v>23.37</v>
      </c>
      <c r="G257" s="16">
        <f t="shared" si="73"/>
        <v>23.37</v>
      </c>
      <c r="H257" s="16">
        <f t="shared" si="74"/>
        <v>0</v>
      </c>
      <c r="I257" s="16">
        <f t="shared" si="75"/>
        <v>48469.380000000005</v>
      </c>
      <c r="J257" s="57">
        <f t="shared" si="76"/>
        <v>48469.380000000005</v>
      </c>
      <c r="P257" s="90">
        <v>0</v>
      </c>
      <c r="Q257" s="90">
        <v>23.374168999999998</v>
      </c>
    </row>
    <row r="258" spans="1:17" x14ac:dyDescent="0.3">
      <c r="A258" s="21" t="s">
        <v>501</v>
      </c>
      <c r="B258" s="23" t="s">
        <v>502</v>
      </c>
      <c r="C258" s="14">
        <v>1</v>
      </c>
      <c r="D258" s="24" t="s">
        <v>25</v>
      </c>
      <c r="E258" s="95">
        <f t="shared" si="60"/>
        <v>330.39</v>
      </c>
      <c r="F258" s="96">
        <f t="shared" si="61"/>
        <v>23.37</v>
      </c>
      <c r="G258" s="16">
        <f t="shared" si="73"/>
        <v>353.76</v>
      </c>
      <c r="H258" s="16">
        <f t="shared" si="74"/>
        <v>330.39</v>
      </c>
      <c r="I258" s="16">
        <f t="shared" si="75"/>
        <v>23.37</v>
      </c>
      <c r="J258" s="57">
        <f t="shared" si="76"/>
        <v>353.76</v>
      </c>
      <c r="P258" s="89">
        <v>330.39249100000001</v>
      </c>
      <c r="Q258" s="89">
        <v>23.374168999999998</v>
      </c>
    </row>
    <row r="259" spans="1:17" x14ac:dyDescent="0.3">
      <c r="A259" s="21" t="s">
        <v>503</v>
      </c>
      <c r="B259" s="23" t="s">
        <v>504</v>
      </c>
      <c r="C259" s="14">
        <v>1</v>
      </c>
      <c r="D259" s="24" t="s">
        <v>25</v>
      </c>
      <c r="E259" s="95">
        <f t="shared" si="60"/>
        <v>82.34</v>
      </c>
      <c r="F259" s="96">
        <f t="shared" si="61"/>
        <v>8.4700000000000006</v>
      </c>
      <c r="G259" s="16">
        <f t="shared" si="73"/>
        <v>90.81</v>
      </c>
      <c r="H259" s="16">
        <f t="shared" si="74"/>
        <v>82.34</v>
      </c>
      <c r="I259" s="16">
        <f t="shared" si="75"/>
        <v>8.4700000000000006</v>
      </c>
      <c r="J259" s="57">
        <f t="shared" si="76"/>
        <v>90.81</v>
      </c>
      <c r="P259" s="90">
        <v>82.335279</v>
      </c>
      <c r="Q259" s="90">
        <v>8.4698770000000003</v>
      </c>
    </row>
    <row r="260" spans="1:17" x14ac:dyDescent="0.3">
      <c r="A260" s="21" t="s">
        <v>505</v>
      </c>
      <c r="B260" s="23" t="s">
        <v>506</v>
      </c>
      <c r="C260" s="14">
        <v>436</v>
      </c>
      <c r="D260" s="24" t="s">
        <v>25</v>
      </c>
      <c r="E260" s="95">
        <f t="shared" si="60"/>
        <v>40.79</v>
      </c>
      <c r="F260" s="96">
        <f t="shared" si="61"/>
        <v>12.61</v>
      </c>
      <c r="G260" s="16">
        <f t="shared" si="73"/>
        <v>53.4</v>
      </c>
      <c r="H260" s="16">
        <f t="shared" si="74"/>
        <v>17784.439999999999</v>
      </c>
      <c r="I260" s="16">
        <f t="shared" si="75"/>
        <v>5497.96</v>
      </c>
      <c r="J260" s="57">
        <f t="shared" si="76"/>
        <v>23282.399999999998</v>
      </c>
      <c r="P260" s="89">
        <v>40.793349999999997</v>
      </c>
      <c r="Q260" s="89">
        <v>12.608089</v>
      </c>
    </row>
    <row r="261" spans="1:17" x14ac:dyDescent="0.3">
      <c r="A261" s="21" t="s">
        <v>507</v>
      </c>
      <c r="B261" s="23" t="s">
        <v>508</v>
      </c>
      <c r="C261" s="14">
        <v>109</v>
      </c>
      <c r="D261" s="24" t="s">
        <v>25</v>
      </c>
      <c r="E261" s="95">
        <f t="shared" si="60"/>
        <v>113.15</v>
      </c>
      <c r="F261" s="96">
        <f t="shared" si="61"/>
        <v>46.74</v>
      </c>
      <c r="G261" s="16">
        <f t="shared" si="73"/>
        <v>159.89000000000001</v>
      </c>
      <c r="H261" s="16">
        <f t="shared" si="74"/>
        <v>12333.35</v>
      </c>
      <c r="I261" s="16">
        <f t="shared" si="75"/>
        <v>5094.66</v>
      </c>
      <c r="J261" s="57">
        <f t="shared" si="76"/>
        <v>17428.010000000002</v>
      </c>
      <c r="P261" s="90">
        <v>113.153183</v>
      </c>
      <c r="Q261" s="90">
        <v>46.739926999999994</v>
      </c>
    </row>
    <row r="262" spans="1:17" x14ac:dyDescent="0.3">
      <c r="A262" s="21" t="s">
        <v>509</v>
      </c>
      <c r="B262" s="23" t="s">
        <v>510</v>
      </c>
      <c r="C262" s="14">
        <v>1</v>
      </c>
      <c r="D262" s="24" t="s">
        <v>25</v>
      </c>
      <c r="E262" s="95">
        <f t="shared" si="60"/>
        <v>238.37</v>
      </c>
      <c r="F262" s="96">
        <f t="shared" si="61"/>
        <v>46.74</v>
      </c>
      <c r="G262" s="16">
        <f t="shared" si="73"/>
        <v>285.11</v>
      </c>
      <c r="H262" s="16">
        <f t="shared" si="74"/>
        <v>238.37</v>
      </c>
      <c r="I262" s="16">
        <f t="shared" si="75"/>
        <v>46.74</v>
      </c>
      <c r="J262" s="57">
        <f t="shared" si="76"/>
        <v>285.11</v>
      </c>
      <c r="P262" s="89">
        <v>238.36773999999997</v>
      </c>
      <c r="Q262" s="89">
        <v>46.739926999999994</v>
      </c>
    </row>
    <row r="263" spans="1:17" x14ac:dyDescent="0.3">
      <c r="A263" s="21" t="s">
        <v>511</v>
      </c>
      <c r="B263" s="23" t="s">
        <v>512</v>
      </c>
      <c r="C263" s="14">
        <v>1</v>
      </c>
      <c r="D263" s="24" t="s">
        <v>25</v>
      </c>
      <c r="E263" s="95">
        <f t="shared" si="60"/>
        <v>89.89</v>
      </c>
      <c r="F263" s="96">
        <f t="shared" si="61"/>
        <v>93.49</v>
      </c>
      <c r="G263" s="16">
        <f t="shared" si="73"/>
        <v>183.38</v>
      </c>
      <c r="H263" s="16">
        <f t="shared" si="74"/>
        <v>89.89</v>
      </c>
      <c r="I263" s="16">
        <f t="shared" si="75"/>
        <v>93.49</v>
      </c>
      <c r="J263" s="57">
        <f t="shared" si="76"/>
        <v>183.38</v>
      </c>
      <c r="P263" s="90">
        <v>89.888356999999999</v>
      </c>
      <c r="Q263" s="90">
        <v>93.488264999999998</v>
      </c>
    </row>
    <row r="264" spans="1:17" x14ac:dyDescent="0.3">
      <c r="A264" s="21" t="s">
        <v>513</v>
      </c>
      <c r="B264" s="23" t="s">
        <v>514</v>
      </c>
      <c r="C264" s="14">
        <v>1</v>
      </c>
      <c r="D264" s="24" t="s">
        <v>25</v>
      </c>
      <c r="E264" s="95">
        <f t="shared" si="60"/>
        <v>35.35</v>
      </c>
      <c r="F264" s="96">
        <f t="shared" si="61"/>
        <v>28.04</v>
      </c>
      <c r="G264" s="16">
        <f t="shared" si="73"/>
        <v>63.39</v>
      </c>
      <c r="H264" s="16">
        <f t="shared" si="74"/>
        <v>35.35</v>
      </c>
      <c r="I264" s="16">
        <f t="shared" si="75"/>
        <v>28.04</v>
      </c>
      <c r="J264" s="57">
        <f t="shared" si="76"/>
        <v>63.39</v>
      </c>
      <c r="P264" s="89">
        <v>35.351433</v>
      </c>
      <c r="Q264" s="89">
        <v>28.042274000000003</v>
      </c>
    </row>
    <row r="265" spans="1:17" x14ac:dyDescent="0.3">
      <c r="A265" s="21" t="s">
        <v>515</v>
      </c>
      <c r="B265" s="23" t="s">
        <v>516</v>
      </c>
      <c r="C265" s="14">
        <v>1</v>
      </c>
      <c r="D265" s="24" t="s">
        <v>25</v>
      </c>
      <c r="E265" s="95">
        <f t="shared" si="60"/>
        <v>173.25</v>
      </c>
      <c r="F265" s="96">
        <f t="shared" si="61"/>
        <v>28.04</v>
      </c>
      <c r="G265" s="16">
        <f t="shared" si="73"/>
        <v>201.29</v>
      </c>
      <c r="H265" s="16">
        <f t="shared" si="74"/>
        <v>173.25</v>
      </c>
      <c r="I265" s="16">
        <f t="shared" si="75"/>
        <v>28.04</v>
      </c>
      <c r="J265" s="57">
        <f t="shared" si="76"/>
        <v>201.29</v>
      </c>
      <c r="P265" s="90">
        <v>173.24977799999999</v>
      </c>
      <c r="Q265" s="90">
        <v>28.042274000000003</v>
      </c>
    </row>
    <row r="266" spans="1:17" x14ac:dyDescent="0.3">
      <c r="A266" s="21" t="s">
        <v>517</v>
      </c>
      <c r="B266" s="23" t="s">
        <v>518</v>
      </c>
      <c r="C266" s="14">
        <v>58</v>
      </c>
      <c r="D266" s="24" t="s">
        <v>25</v>
      </c>
      <c r="E266" s="95">
        <f t="shared" ref="E266:E329" si="77">ROUND(P266,2)</f>
        <v>6.93</v>
      </c>
      <c r="F266" s="96">
        <f t="shared" ref="F266:F329" si="78">ROUND(Q266,2)</f>
        <v>8.4700000000000006</v>
      </c>
      <c r="G266" s="16">
        <f t="shared" si="73"/>
        <v>15.4</v>
      </c>
      <c r="H266" s="16">
        <f t="shared" si="74"/>
        <v>401.94</v>
      </c>
      <c r="I266" s="16">
        <f t="shared" si="75"/>
        <v>491.26000000000005</v>
      </c>
      <c r="J266" s="57">
        <f t="shared" si="76"/>
        <v>893.2</v>
      </c>
      <c r="P266" s="89">
        <v>6.9306640000000002</v>
      </c>
      <c r="Q266" s="89">
        <v>8.4698770000000003</v>
      </c>
    </row>
    <row r="267" spans="1:17" x14ac:dyDescent="0.3">
      <c r="A267" s="21" t="s">
        <v>519</v>
      </c>
      <c r="B267" s="23" t="s">
        <v>520</v>
      </c>
      <c r="C267" s="14">
        <v>77</v>
      </c>
      <c r="D267" s="24" t="s">
        <v>25</v>
      </c>
      <c r="E267" s="95">
        <f t="shared" si="77"/>
        <v>9.9600000000000009</v>
      </c>
      <c r="F267" s="96">
        <f t="shared" si="78"/>
        <v>5.65</v>
      </c>
      <c r="G267" s="16">
        <f t="shared" si="73"/>
        <v>15.610000000000001</v>
      </c>
      <c r="H267" s="16">
        <f t="shared" si="74"/>
        <v>766.92000000000007</v>
      </c>
      <c r="I267" s="16">
        <f t="shared" si="75"/>
        <v>435.05</v>
      </c>
      <c r="J267" s="57">
        <f t="shared" si="76"/>
        <v>1201.97</v>
      </c>
      <c r="P267" s="90">
        <v>9.9586239999999986</v>
      </c>
      <c r="Q267" s="90">
        <v>5.6521919999999994</v>
      </c>
    </row>
    <row r="268" spans="1:17" x14ac:dyDescent="0.3">
      <c r="A268" s="21" t="s">
        <v>521</v>
      </c>
      <c r="B268" s="23" t="s">
        <v>522</v>
      </c>
      <c r="C268" s="14">
        <v>135</v>
      </c>
      <c r="D268" s="24" t="s">
        <v>25</v>
      </c>
      <c r="E268" s="95">
        <f t="shared" si="77"/>
        <v>5.2</v>
      </c>
      <c r="F268" s="96">
        <f t="shared" si="78"/>
        <v>8.4700000000000006</v>
      </c>
      <c r="G268" s="16">
        <f t="shared" si="73"/>
        <v>13.670000000000002</v>
      </c>
      <c r="H268" s="16">
        <f t="shared" si="74"/>
        <v>702</v>
      </c>
      <c r="I268" s="16">
        <f t="shared" si="75"/>
        <v>1143.45</v>
      </c>
      <c r="J268" s="57">
        <f t="shared" si="76"/>
        <v>1845.4500000000003</v>
      </c>
      <c r="P268" s="89">
        <v>5.1979979999999992</v>
      </c>
      <c r="Q268" s="89">
        <v>8.4698770000000003</v>
      </c>
    </row>
    <row r="269" spans="1:17" x14ac:dyDescent="0.3">
      <c r="A269" s="21" t="s">
        <v>523</v>
      </c>
      <c r="B269" s="23" t="s">
        <v>524</v>
      </c>
      <c r="C269" s="14">
        <v>781</v>
      </c>
      <c r="D269" s="24" t="s">
        <v>25</v>
      </c>
      <c r="E269" s="95">
        <f t="shared" si="77"/>
        <v>5.52</v>
      </c>
      <c r="F269" s="96">
        <f t="shared" si="78"/>
        <v>8.4700000000000006</v>
      </c>
      <c r="G269" s="16">
        <f t="shared" si="73"/>
        <v>13.99</v>
      </c>
      <c r="H269" s="16">
        <f t="shared" si="74"/>
        <v>4311.12</v>
      </c>
      <c r="I269" s="16">
        <f t="shared" si="75"/>
        <v>6615.0700000000006</v>
      </c>
      <c r="J269" s="57">
        <f t="shared" si="76"/>
        <v>10926.19</v>
      </c>
      <c r="P269" s="90">
        <v>5.5176159999999994</v>
      </c>
      <c r="Q269" s="90">
        <v>8.4698770000000003</v>
      </c>
    </row>
    <row r="270" spans="1:17" x14ac:dyDescent="0.3">
      <c r="A270" s="21" t="s">
        <v>525</v>
      </c>
      <c r="B270" s="23" t="s">
        <v>526</v>
      </c>
      <c r="C270" s="14">
        <v>231</v>
      </c>
      <c r="D270" s="24" t="s">
        <v>25</v>
      </c>
      <c r="E270" s="95">
        <f t="shared" si="77"/>
        <v>6.93</v>
      </c>
      <c r="F270" s="96">
        <f t="shared" si="78"/>
        <v>8.4700000000000006</v>
      </c>
      <c r="G270" s="16">
        <f t="shared" si="73"/>
        <v>15.4</v>
      </c>
      <c r="H270" s="16">
        <f t="shared" si="74"/>
        <v>1600.83</v>
      </c>
      <c r="I270" s="16">
        <f t="shared" si="75"/>
        <v>1956.5700000000002</v>
      </c>
      <c r="J270" s="57">
        <f t="shared" si="76"/>
        <v>3557.4</v>
      </c>
      <c r="P270" s="89">
        <v>6.9306640000000002</v>
      </c>
      <c r="Q270" s="89">
        <v>8.4698770000000003</v>
      </c>
    </row>
    <row r="271" spans="1:17" x14ac:dyDescent="0.3">
      <c r="A271" s="21" t="s">
        <v>527</v>
      </c>
      <c r="B271" s="23" t="s">
        <v>528</v>
      </c>
      <c r="C271" s="14">
        <v>1</v>
      </c>
      <c r="D271" s="24" t="s">
        <v>25</v>
      </c>
      <c r="E271" s="95">
        <f t="shared" si="77"/>
        <v>25.04</v>
      </c>
      <c r="F271" s="96">
        <f t="shared" si="78"/>
        <v>5.65</v>
      </c>
      <c r="G271" s="16">
        <f t="shared" si="73"/>
        <v>30.689999999999998</v>
      </c>
      <c r="H271" s="16">
        <f t="shared" si="74"/>
        <v>25.04</v>
      </c>
      <c r="I271" s="16">
        <f t="shared" si="75"/>
        <v>5.65</v>
      </c>
      <c r="J271" s="57">
        <f t="shared" si="76"/>
        <v>30.689999999999998</v>
      </c>
      <c r="P271" s="90">
        <v>25.039546999999999</v>
      </c>
      <c r="Q271" s="90">
        <v>5.6521919999999994</v>
      </c>
    </row>
    <row r="272" spans="1:17" x14ac:dyDescent="0.3">
      <c r="A272" s="21" t="s">
        <v>529</v>
      </c>
      <c r="B272" s="23" t="s">
        <v>530</v>
      </c>
      <c r="C272" s="14">
        <v>1</v>
      </c>
      <c r="D272" s="24" t="s">
        <v>25</v>
      </c>
      <c r="E272" s="95">
        <f t="shared" si="77"/>
        <v>35.18</v>
      </c>
      <c r="F272" s="96">
        <f t="shared" si="78"/>
        <v>5.65</v>
      </c>
      <c r="G272" s="16">
        <f t="shared" si="73"/>
        <v>40.83</v>
      </c>
      <c r="H272" s="16">
        <f t="shared" si="74"/>
        <v>35.18</v>
      </c>
      <c r="I272" s="16">
        <f t="shared" si="75"/>
        <v>5.65</v>
      </c>
      <c r="J272" s="57">
        <f t="shared" si="76"/>
        <v>40.83</v>
      </c>
      <c r="P272" s="89">
        <v>35.183212999999995</v>
      </c>
      <c r="Q272" s="89">
        <v>5.6521919999999994</v>
      </c>
    </row>
    <row r="273" spans="1:17" x14ac:dyDescent="0.3">
      <c r="A273" s="21" t="s">
        <v>531</v>
      </c>
      <c r="B273" s="23" t="s">
        <v>532</v>
      </c>
      <c r="C273" s="14">
        <v>1223</v>
      </c>
      <c r="D273" s="24" t="s">
        <v>25</v>
      </c>
      <c r="E273" s="95">
        <f t="shared" si="77"/>
        <v>10.51</v>
      </c>
      <c r="F273" s="96">
        <f t="shared" si="78"/>
        <v>5.65</v>
      </c>
      <c r="G273" s="16">
        <f t="shared" si="73"/>
        <v>16.16</v>
      </c>
      <c r="H273" s="16">
        <f t="shared" si="74"/>
        <v>12853.73</v>
      </c>
      <c r="I273" s="16">
        <f t="shared" si="75"/>
        <v>6909.9500000000007</v>
      </c>
      <c r="J273" s="57">
        <f t="shared" si="76"/>
        <v>19763.68</v>
      </c>
      <c r="P273" s="90">
        <v>10.51375</v>
      </c>
      <c r="Q273" s="90">
        <v>5.6521919999999994</v>
      </c>
    </row>
    <row r="274" spans="1:17" x14ac:dyDescent="0.3">
      <c r="A274" s="21" t="s">
        <v>533</v>
      </c>
      <c r="B274" s="23" t="s">
        <v>534</v>
      </c>
      <c r="C274" s="14">
        <v>1</v>
      </c>
      <c r="D274" s="24" t="s">
        <v>25</v>
      </c>
      <c r="E274" s="95">
        <f t="shared" si="77"/>
        <v>113.46</v>
      </c>
      <c r="F274" s="96">
        <f t="shared" si="78"/>
        <v>5.65</v>
      </c>
      <c r="G274" s="16">
        <f t="shared" si="73"/>
        <v>119.11</v>
      </c>
      <c r="H274" s="16">
        <f t="shared" ref="H274:H305" si="79">C274*E274</f>
        <v>113.46</v>
      </c>
      <c r="I274" s="16">
        <f t="shared" ref="I274:I305" si="80">C274*F274</f>
        <v>5.65</v>
      </c>
      <c r="J274" s="57">
        <f t="shared" ref="J274:J305" si="81">SUM(E274:F274)*C274</f>
        <v>119.11</v>
      </c>
      <c r="P274" s="89">
        <v>113.45597899999999</v>
      </c>
      <c r="Q274" s="89">
        <v>5.6521919999999994</v>
      </c>
    </row>
    <row r="275" spans="1:17" x14ac:dyDescent="0.3">
      <c r="A275" s="21" t="s">
        <v>535</v>
      </c>
      <c r="B275" s="23" t="s">
        <v>536</v>
      </c>
      <c r="C275" s="14">
        <v>608</v>
      </c>
      <c r="D275" s="24" t="s">
        <v>25</v>
      </c>
      <c r="E275" s="95">
        <f t="shared" si="77"/>
        <v>9.32</v>
      </c>
      <c r="F275" s="96">
        <f t="shared" si="78"/>
        <v>5.65</v>
      </c>
      <c r="G275" s="16">
        <f t="shared" si="73"/>
        <v>14.97</v>
      </c>
      <c r="H275" s="16">
        <f t="shared" si="79"/>
        <v>5666.56</v>
      </c>
      <c r="I275" s="16">
        <f t="shared" si="80"/>
        <v>3435.2000000000003</v>
      </c>
      <c r="J275" s="57">
        <f t="shared" si="81"/>
        <v>9101.76</v>
      </c>
      <c r="P275" s="90">
        <v>9.319388</v>
      </c>
      <c r="Q275" s="90">
        <v>5.6521919999999994</v>
      </c>
    </row>
    <row r="276" spans="1:17" x14ac:dyDescent="0.3">
      <c r="A276" s="21" t="s">
        <v>537</v>
      </c>
      <c r="B276" s="23" t="s">
        <v>538</v>
      </c>
      <c r="C276" s="14">
        <v>1</v>
      </c>
      <c r="D276" s="24" t="s">
        <v>25</v>
      </c>
      <c r="E276" s="95">
        <f t="shared" si="77"/>
        <v>75.98</v>
      </c>
      <c r="F276" s="96">
        <f t="shared" si="78"/>
        <v>8.4700000000000006</v>
      </c>
      <c r="G276" s="16">
        <f t="shared" si="73"/>
        <v>84.45</v>
      </c>
      <c r="H276" s="16">
        <f t="shared" si="79"/>
        <v>75.98</v>
      </c>
      <c r="I276" s="16">
        <f t="shared" si="80"/>
        <v>8.4700000000000006</v>
      </c>
      <c r="J276" s="57">
        <f t="shared" si="81"/>
        <v>84.45</v>
      </c>
      <c r="P276" s="89">
        <v>75.976562999999999</v>
      </c>
      <c r="Q276" s="89">
        <v>8.4698770000000003</v>
      </c>
    </row>
    <row r="277" spans="1:17" x14ac:dyDescent="0.3">
      <c r="A277" s="21" t="s">
        <v>539</v>
      </c>
      <c r="B277" s="23" t="s">
        <v>540</v>
      </c>
      <c r="C277" s="14">
        <v>557</v>
      </c>
      <c r="D277" s="24" t="s">
        <v>25</v>
      </c>
      <c r="E277" s="95">
        <f t="shared" si="77"/>
        <v>12.45</v>
      </c>
      <c r="F277" s="96">
        <f t="shared" si="78"/>
        <v>8.4700000000000006</v>
      </c>
      <c r="G277" s="16">
        <f t="shared" si="73"/>
        <v>20.92</v>
      </c>
      <c r="H277" s="16">
        <f t="shared" si="79"/>
        <v>6934.65</v>
      </c>
      <c r="I277" s="16">
        <f t="shared" si="80"/>
        <v>4717.79</v>
      </c>
      <c r="J277" s="57">
        <f t="shared" si="81"/>
        <v>11652.44</v>
      </c>
      <c r="P277" s="90">
        <v>12.44828</v>
      </c>
      <c r="Q277" s="90">
        <v>8.4698770000000003</v>
      </c>
    </row>
    <row r="278" spans="1:17" x14ac:dyDescent="0.3">
      <c r="A278" s="21" t="s">
        <v>541</v>
      </c>
      <c r="B278" s="23" t="s">
        <v>542</v>
      </c>
      <c r="C278" s="14">
        <v>1</v>
      </c>
      <c r="D278" s="24" t="s">
        <v>25</v>
      </c>
      <c r="E278" s="95">
        <f t="shared" si="77"/>
        <v>17.86</v>
      </c>
      <c r="F278" s="96">
        <f t="shared" si="78"/>
        <v>8.4700000000000006</v>
      </c>
      <c r="G278" s="16">
        <f t="shared" si="73"/>
        <v>26.33</v>
      </c>
      <c r="H278" s="16">
        <f t="shared" si="79"/>
        <v>17.86</v>
      </c>
      <c r="I278" s="16">
        <f t="shared" si="80"/>
        <v>8.4700000000000006</v>
      </c>
      <c r="J278" s="57">
        <f t="shared" si="81"/>
        <v>26.33</v>
      </c>
      <c r="P278" s="89">
        <v>17.864963999999997</v>
      </c>
      <c r="Q278" s="89">
        <v>8.4698770000000003</v>
      </c>
    </row>
    <row r="279" spans="1:17" x14ac:dyDescent="0.3">
      <c r="A279" s="21" t="s">
        <v>543</v>
      </c>
      <c r="B279" s="23" t="s">
        <v>544</v>
      </c>
      <c r="C279" s="14">
        <v>1</v>
      </c>
      <c r="D279" s="24" t="s">
        <v>25</v>
      </c>
      <c r="E279" s="95">
        <f t="shared" si="77"/>
        <v>19.739999999999998</v>
      </c>
      <c r="F279" s="96">
        <f t="shared" si="78"/>
        <v>8.4700000000000006</v>
      </c>
      <c r="G279" s="16">
        <f t="shared" si="73"/>
        <v>28.21</v>
      </c>
      <c r="H279" s="16">
        <f t="shared" si="79"/>
        <v>19.739999999999998</v>
      </c>
      <c r="I279" s="16">
        <f t="shared" si="80"/>
        <v>8.4700000000000006</v>
      </c>
      <c r="J279" s="57">
        <f t="shared" si="81"/>
        <v>28.21</v>
      </c>
      <c r="P279" s="90">
        <v>19.740616999999997</v>
      </c>
      <c r="Q279" s="90">
        <v>8.4698770000000003</v>
      </c>
    </row>
    <row r="280" spans="1:17" x14ac:dyDescent="0.3">
      <c r="A280" s="21" t="s">
        <v>545</v>
      </c>
      <c r="B280" s="23" t="s">
        <v>546</v>
      </c>
      <c r="C280" s="14">
        <v>39</v>
      </c>
      <c r="D280" s="24" t="s">
        <v>25</v>
      </c>
      <c r="E280" s="95">
        <f t="shared" si="77"/>
        <v>28.8</v>
      </c>
      <c r="F280" s="96">
        <f t="shared" si="78"/>
        <v>14.02</v>
      </c>
      <c r="G280" s="16">
        <f t="shared" si="73"/>
        <v>42.82</v>
      </c>
      <c r="H280" s="16">
        <f t="shared" si="79"/>
        <v>1123.2</v>
      </c>
      <c r="I280" s="16">
        <f t="shared" si="80"/>
        <v>546.78</v>
      </c>
      <c r="J280" s="57">
        <f t="shared" si="81"/>
        <v>1669.98</v>
      </c>
      <c r="P280" s="89">
        <v>28.799264000000001</v>
      </c>
      <c r="Q280" s="89">
        <v>14.021137000000001</v>
      </c>
    </row>
    <row r="281" spans="1:17" x14ac:dyDescent="0.3">
      <c r="A281" s="21" t="s">
        <v>547</v>
      </c>
      <c r="B281" s="23" t="s">
        <v>548</v>
      </c>
      <c r="C281" s="14">
        <v>20</v>
      </c>
      <c r="D281" s="24" t="s">
        <v>25</v>
      </c>
      <c r="E281" s="95">
        <f t="shared" si="77"/>
        <v>56.36</v>
      </c>
      <c r="F281" s="96">
        <f t="shared" si="78"/>
        <v>14.02</v>
      </c>
      <c r="G281" s="16">
        <f t="shared" si="73"/>
        <v>70.38</v>
      </c>
      <c r="H281" s="16">
        <f t="shared" si="79"/>
        <v>1127.2</v>
      </c>
      <c r="I281" s="16">
        <f t="shared" si="80"/>
        <v>280.39999999999998</v>
      </c>
      <c r="J281" s="57">
        <f t="shared" si="81"/>
        <v>1407.6</v>
      </c>
      <c r="P281" s="90">
        <v>56.362110999999999</v>
      </c>
      <c r="Q281" s="90">
        <v>14.021137000000001</v>
      </c>
    </row>
    <row r="282" spans="1:17" x14ac:dyDescent="0.3">
      <c r="A282" s="21" t="s">
        <v>549</v>
      </c>
      <c r="B282" s="23" t="s">
        <v>550</v>
      </c>
      <c r="C282" s="14">
        <v>26</v>
      </c>
      <c r="D282" s="24" t="s">
        <v>25</v>
      </c>
      <c r="E282" s="95">
        <f t="shared" si="77"/>
        <v>56.36</v>
      </c>
      <c r="F282" s="96">
        <f t="shared" si="78"/>
        <v>14.02</v>
      </c>
      <c r="G282" s="16">
        <f t="shared" si="73"/>
        <v>70.38</v>
      </c>
      <c r="H282" s="16">
        <f t="shared" si="79"/>
        <v>1465.36</v>
      </c>
      <c r="I282" s="16">
        <f t="shared" si="80"/>
        <v>364.52</v>
      </c>
      <c r="J282" s="57">
        <f t="shared" si="81"/>
        <v>1829.8799999999999</v>
      </c>
      <c r="P282" s="89">
        <v>56.362110999999999</v>
      </c>
      <c r="Q282" s="89">
        <v>14.021137000000001</v>
      </c>
    </row>
    <row r="283" spans="1:17" x14ac:dyDescent="0.3">
      <c r="A283" s="21" t="s">
        <v>551</v>
      </c>
      <c r="B283" s="23" t="s">
        <v>552</v>
      </c>
      <c r="C283" s="14">
        <v>20</v>
      </c>
      <c r="D283" s="24" t="s">
        <v>25</v>
      </c>
      <c r="E283" s="95">
        <f t="shared" si="77"/>
        <v>451.86</v>
      </c>
      <c r="F283" s="96">
        <f t="shared" si="78"/>
        <v>34.64</v>
      </c>
      <c r="G283" s="16">
        <f t="shared" si="73"/>
        <v>486.5</v>
      </c>
      <c r="H283" s="16">
        <f t="shared" si="79"/>
        <v>9037.2000000000007</v>
      </c>
      <c r="I283" s="16">
        <f t="shared" si="80"/>
        <v>692.8</v>
      </c>
      <c r="J283" s="57">
        <f t="shared" si="81"/>
        <v>9730</v>
      </c>
      <c r="P283" s="90">
        <v>451.86415299999999</v>
      </c>
      <c r="Q283" s="90">
        <v>34.636497999999996</v>
      </c>
    </row>
    <row r="284" spans="1:17" x14ac:dyDescent="0.3">
      <c r="A284" s="21" t="s">
        <v>553</v>
      </c>
      <c r="B284" s="23" t="s">
        <v>554</v>
      </c>
      <c r="C284" s="14">
        <v>58</v>
      </c>
      <c r="D284" s="24" t="s">
        <v>25</v>
      </c>
      <c r="E284" s="95">
        <f t="shared" si="77"/>
        <v>23.41</v>
      </c>
      <c r="F284" s="96">
        <f t="shared" si="78"/>
        <v>6.13</v>
      </c>
      <c r="G284" s="16">
        <f t="shared" si="73"/>
        <v>29.54</v>
      </c>
      <c r="H284" s="16">
        <f t="shared" si="79"/>
        <v>1357.78</v>
      </c>
      <c r="I284" s="16">
        <f t="shared" si="80"/>
        <v>355.54</v>
      </c>
      <c r="J284" s="57">
        <f t="shared" si="81"/>
        <v>1713.32</v>
      </c>
      <c r="P284" s="89">
        <v>23.407812999999997</v>
      </c>
      <c r="Q284" s="89">
        <v>6.1316189999999997</v>
      </c>
    </row>
    <row r="285" spans="1:17" x14ac:dyDescent="0.3">
      <c r="A285" s="21" t="s">
        <v>555</v>
      </c>
      <c r="B285" s="23" t="s">
        <v>556</v>
      </c>
      <c r="C285" s="14">
        <v>17</v>
      </c>
      <c r="D285" s="24" t="s">
        <v>25</v>
      </c>
      <c r="E285" s="95">
        <f t="shared" si="77"/>
        <v>194.23</v>
      </c>
      <c r="F285" s="96">
        <f t="shared" si="78"/>
        <v>34.64</v>
      </c>
      <c r="G285" s="16">
        <f t="shared" si="73"/>
        <v>228.87</v>
      </c>
      <c r="H285" s="16">
        <f t="shared" si="79"/>
        <v>3301.91</v>
      </c>
      <c r="I285" s="16">
        <f t="shared" si="80"/>
        <v>588.88</v>
      </c>
      <c r="J285" s="57">
        <f t="shared" si="81"/>
        <v>3890.79</v>
      </c>
      <c r="P285" s="90">
        <v>194.22681199999997</v>
      </c>
      <c r="Q285" s="90">
        <v>34.636497999999996</v>
      </c>
    </row>
    <row r="286" spans="1:17" x14ac:dyDescent="0.3">
      <c r="A286" s="21" t="s">
        <v>557</v>
      </c>
      <c r="B286" s="23" t="s">
        <v>558</v>
      </c>
      <c r="C286" s="14">
        <v>1</v>
      </c>
      <c r="D286" s="24" t="s">
        <v>25</v>
      </c>
      <c r="E286" s="95">
        <f t="shared" si="77"/>
        <v>220</v>
      </c>
      <c r="F286" s="96">
        <f t="shared" si="78"/>
        <v>34.64</v>
      </c>
      <c r="G286" s="16">
        <f t="shared" si="73"/>
        <v>254.64</v>
      </c>
      <c r="H286" s="16">
        <f t="shared" si="79"/>
        <v>220</v>
      </c>
      <c r="I286" s="16">
        <f t="shared" si="80"/>
        <v>34.64</v>
      </c>
      <c r="J286" s="57">
        <f t="shared" si="81"/>
        <v>254.64</v>
      </c>
      <c r="P286" s="89">
        <v>219.99811599999998</v>
      </c>
      <c r="Q286" s="89">
        <v>34.636497999999996</v>
      </c>
    </row>
    <row r="287" spans="1:17" x14ac:dyDescent="0.3">
      <c r="A287" s="21" t="s">
        <v>559</v>
      </c>
      <c r="B287" s="23" t="s">
        <v>560</v>
      </c>
      <c r="C287" s="14">
        <v>1</v>
      </c>
      <c r="D287" s="24" t="s">
        <v>25</v>
      </c>
      <c r="E287" s="95">
        <f t="shared" si="77"/>
        <v>179.33</v>
      </c>
      <c r="F287" s="96">
        <f t="shared" si="78"/>
        <v>34.64</v>
      </c>
      <c r="G287" s="16">
        <f t="shared" si="73"/>
        <v>213.97000000000003</v>
      </c>
      <c r="H287" s="16">
        <f t="shared" si="79"/>
        <v>179.33</v>
      </c>
      <c r="I287" s="16">
        <f t="shared" si="80"/>
        <v>34.64</v>
      </c>
      <c r="J287" s="57">
        <f t="shared" si="81"/>
        <v>213.97000000000003</v>
      </c>
      <c r="P287" s="90">
        <v>179.33093099999999</v>
      </c>
      <c r="Q287" s="90">
        <v>34.636497999999996</v>
      </c>
    </row>
    <row r="288" spans="1:17" ht="28.8" x14ac:dyDescent="0.3">
      <c r="A288" s="21" t="s">
        <v>561</v>
      </c>
      <c r="B288" s="23" t="s">
        <v>562</v>
      </c>
      <c r="C288" s="14">
        <v>1</v>
      </c>
      <c r="D288" s="24" t="s">
        <v>25</v>
      </c>
      <c r="E288" s="95">
        <f t="shared" si="77"/>
        <v>148.22999999999999</v>
      </c>
      <c r="F288" s="96">
        <f t="shared" si="78"/>
        <v>34.64</v>
      </c>
      <c r="G288" s="16">
        <f t="shared" si="73"/>
        <v>182.87</v>
      </c>
      <c r="H288" s="16">
        <f t="shared" si="79"/>
        <v>148.22999999999999</v>
      </c>
      <c r="I288" s="16">
        <f t="shared" si="80"/>
        <v>34.64</v>
      </c>
      <c r="J288" s="57">
        <f t="shared" si="81"/>
        <v>182.87</v>
      </c>
      <c r="P288" s="89">
        <v>148.22705299999998</v>
      </c>
      <c r="Q288" s="89">
        <v>34.636497999999996</v>
      </c>
    </row>
    <row r="289" spans="1:17" x14ac:dyDescent="0.3">
      <c r="A289" s="21" t="s">
        <v>563</v>
      </c>
      <c r="B289" s="23" t="s">
        <v>564</v>
      </c>
      <c r="C289" s="14">
        <v>20</v>
      </c>
      <c r="D289" s="24" t="s">
        <v>25</v>
      </c>
      <c r="E289" s="95">
        <f t="shared" si="77"/>
        <v>80.39</v>
      </c>
      <c r="F289" s="96">
        <f t="shared" si="78"/>
        <v>34.64</v>
      </c>
      <c r="G289" s="16">
        <f t="shared" si="73"/>
        <v>115.03</v>
      </c>
      <c r="H289" s="16">
        <f t="shared" si="79"/>
        <v>1607.8</v>
      </c>
      <c r="I289" s="16">
        <f t="shared" si="80"/>
        <v>692.8</v>
      </c>
      <c r="J289" s="57">
        <f t="shared" si="81"/>
        <v>2300.6</v>
      </c>
      <c r="P289" s="90">
        <v>80.392337999999995</v>
      </c>
      <c r="Q289" s="90">
        <v>34.636497999999996</v>
      </c>
    </row>
    <row r="290" spans="1:17" x14ac:dyDescent="0.3">
      <c r="A290" s="21" t="s">
        <v>565</v>
      </c>
      <c r="B290" s="23" t="s">
        <v>566</v>
      </c>
      <c r="C290" s="14">
        <v>1</v>
      </c>
      <c r="D290" s="24" t="s">
        <v>25</v>
      </c>
      <c r="E290" s="95">
        <f t="shared" si="77"/>
        <v>21.87</v>
      </c>
      <c r="F290" s="96">
        <f t="shared" si="78"/>
        <v>15.43</v>
      </c>
      <c r="G290" s="16">
        <f t="shared" si="73"/>
        <v>37.299999999999997</v>
      </c>
      <c r="H290" s="16">
        <f t="shared" si="79"/>
        <v>21.87</v>
      </c>
      <c r="I290" s="16">
        <f t="shared" si="80"/>
        <v>15.43</v>
      </c>
      <c r="J290" s="57">
        <f t="shared" si="81"/>
        <v>37.299999999999997</v>
      </c>
      <c r="P290" s="89">
        <v>21.868600000000001</v>
      </c>
      <c r="Q290" s="89">
        <v>15.425773999999999</v>
      </c>
    </row>
    <row r="291" spans="1:17" x14ac:dyDescent="0.3">
      <c r="A291" s="21" t="s">
        <v>567</v>
      </c>
      <c r="B291" s="23" t="s">
        <v>568</v>
      </c>
      <c r="C291" s="14">
        <v>20</v>
      </c>
      <c r="D291" s="24" t="s">
        <v>25</v>
      </c>
      <c r="E291" s="95">
        <f t="shared" si="77"/>
        <v>94.62</v>
      </c>
      <c r="F291" s="96">
        <f t="shared" si="78"/>
        <v>18.079999999999998</v>
      </c>
      <c r="G291" s="16">
        <f t="shared" si="73"/>
        <v>112.7</v>
      </c>
      <c r="H291" s="16">
        <f t="shared" si="79"/>
        <v>1892.4</v>
      </c>
      <c r="I291" s="16">
        <f t="shared" si="80"/>
        <v>361.59999999999997</v>
      </c>
      <c r="J291" s="57">
        <f t="shared" si="81"/>
        <v>2254</v>
      </c>
      <c r="P291" s="90">
        <v>94.623750000000001</v>
      </c>
      <c r="Q291" s="90">
        <v>18.083649999999999</v>
      </c>
    </row>
    <row r="292" spans="1:17" x14ac:dyDescent="0.3">
      <c r="A292" s="21" t="s">
        <v>569</v>
      </c>
      <c r="B292" s="23" t="s">
        <v>570</v>
      </c>
      <c r="C292" s="14">
        <v>1</v>
      </c>
      <c r="D292" s="24" t="s">
        <v>25</v>
      </c>
      <c r="E292" s="95">
        <f t="shared" si="77"/>
        <v>40.31</v>
      </c>
      <c r="F292" s="96">
        <f t="shared" si="78"/>
        <v>93.49</v>
      </c>
      <c r="G292" s="16">
        <f t="shared" si="73"/>
        <v>133.80000000000001</v>
      </c>
      <c r="H292" s="16">
        <f t="shared" si="79"/>
        <v>40.31</v>
      </c>
      <c r="I292" s="16">
        <f t="shared" si="80"/>
        <v>93.49</v>
      </c>
      <c r="J292" s="57">
        <f t="shared" si="81"/>
        <v>133.80000000000001</v>
      </c>
      <c r="P292" s="89">
        <v>40.305512</v>
      </c>
      <c r="Q292" s="89">
        <v>93.488264999999998</v>
      </c>
    </row>
    <row r="293" spans="1:17" x14ac:dyDescent="0.3">
      <c r="A293" s="21" t="s">
        <v>571</v>
      </c>
      <c r="B293" s="23" t="s">
        <v>572</v>
      </c>
      <c r="C293" s="14">
        <v>32</v>
      </c>
      <c r="D293" s="24" t="s">
        <v>25</v>
      </c>
      <c r="E293" s="95">
        <f t="shared" si="77"/>
        <v>60.58</v>
      </c>
      <c r="F293" s="96">
        <f t="shared" si="78"/>
        <v>8.5</v>
      </c>
      <c r="G293" s="16">
        <f t="shared" si="73"/>
        <v>69.08</v>
      </c>
      <c r="H293" s="16">
        <f t="shared" si="79"/>
        <v>1938.56</v>
      </c>
      <c r="I293" s="16">
        <f t="shared" si="80"/>
        <v>272</v>
      </c>
      <c r="J293" s="57">
        <f t="shared" si="81"/>
        <v>2210.56</v>
      </c>
      <c r="P293" s="90">
        <v>60.576021999999995</v>
      </c>
      <c r="Q293" s="90">
        <v>8.5035209999999992</v>
      </c>
    </row>
    <row r="294" spans="1:17" x14ac:dyDescent="0.3">
      <c r="A294" s="21" t="s">
        <v>573</v>
      </c>
      <c r="B294" s="23" t="s">
        <v>574</v>
      </c>
      <c r="C294" s="14">
        <v>77</v>
      </c>
      <c r="D294" s="24" t="s">
        <v>25</v>
      </c>
      <c r="E294" s="95">
        <f t="shared" si="77"/>
        <v>40.68</v>
      </c>
      <c r="F294" s="96">
        <f t="shared" si="78"/>
        <v>46.74</v>
      </c>
      <c r="G294" s="16">
        <f t="shared" si="73"/>
        <v>87.42</v>
      </c>
      <c r="H294" s="16">
        <f t="shared" si="79"/>
        <v>3132.36</v>
      </c>
      <c r="I294" s="16">
        <f t="shared" si="80"/>
        <v>3598.98</v>
      </c>
      <c r="J294" s="57">
        <f t="shared" si="81"/>
        <v>6731.34</v>
      </c>
      <c r="P294" s="89">
        <v>40.675595999999999</v>
      </c>
      <c r="Q294" s="89">
        <v>46.739926999999994</v>
      </c>
    </row>
    <row r="295" spans="1:17" x14ac:dyDescent="0.3">
      <c r="A295" s="21" t="s">
        <v>575</v>
      </c>
      <c r="B295" s="23" t="s">
        <v>576</v>
      </c>
      <c r="C295" s="14">
        <v>1</v>
      </c>
      <c r="D295" s="24" t="s">
        <v>25</v>
      </c>
      <c r="E295" s="95">
        <f t="shared" si="77"/>
        <v>1396.71</v>
      </c>
      <c r="F295" s="96">
        <f t="shared" si="78"/>
        <v>18.7</v>
      </c>
      <c r="G295" s="16">
        <f t="shared" si="73"/>
        <v>1415.41</v>
      </c>
      <c r="H295" s="16">
        <f t="shared" si="79"/>
        <v>1396.71</v>
      </c>
      <c r="I295" s="16">
        <f t="shared" si="80"/>
        <v>18.7</v>
      </c>
      <c r="J295" s="57">
        <f t="shared" si="81"/>
        <v>1415.41</v>
      </c>
      <c r="P295" s="90">
        <v>1396.7054269999999</v>
      </c>
      <c r="Q295" s="90">
        <v>18.697652999999999</v>
      </c>
    </row>
    <row r="296" spans="1:17" x14ac:dyDescent="0.3">
      <c r="A296" s="21" t="s">
        <v>577</v>
      </c>
      <c r="B296" s="23" t="s">
        <v>578</v>
      </c>
      <c r="C296" s="14">
        <v>1</v>
      </c>
      <c r="D296" s="24" t="s">
        <v>25</v>
      </c>
      <c r="E296" s="95">
        <f t="shared" si="77"/>
        <v>607.16999999999996</v>
      </c>
      <c r="F296" s="96">
        <f t="shared" si="78"/>
        <v>18.7</v>
      </c>
      <c r="G296" s="16">
        <f t="shared" si="73"/>
        <v>625.87</v>
      </c>
      <c r="H296" s="16">
        <f t="shared" si="79"/>
        <v>607.16999999999996</v>
      </c>
      <c r="I296" s="16">
        <f t="shared" si="80"/>
        <v>18.7</v>
      </c>
      <c r="J296" s="57">
        <f t="shared" si="81"/>
        <v>625.87</v>
      </c>
      <c r="P296" s="89">
        <v>607.17326800000001</v>
      </c>
      <c r="Q296" s="89">
        <v>18.697652999999999</v>
      </c>
    </row>
    <row r="297" spans="1:17" x14ac:dyDescent="0.3">
      <c r="A297" s="21" t="s">
        <v>579</v>
      </c>
      <c r="B297" s="23" t="s">
        <v>580</v>
      </c>
      <c r="C297" s="14">
        <v>1</v>
      </c>
      <c r="D297" s="24" t="s">
        <v>25</v>
      </c>
      <c r="E297" s="95">
        <f t="shared" si="77"/>
        <v>121.95</v>
      </c>
      <c r="F297" s="96">
        <f t="shared" si="78"/>
        <v>18.7</v>
      </c>
      <c r="G297" s="16">
        <f t="shared" si="73"/>
        <v>140.65</v>
      </c>
      <c r="H297" s="16">
        <f t="shared" si="79"/>
        <v>121.95</v>
      </c>
      <c r="I297" s="16">
        <f t="shared" si="80"/>
        <v>18.7</v>
      </c>
      <c r="J297" s="57">
        <f t="shared" si="81"/>
        <v>140.65</v>
      </c>
      <c r="P297" s="90">
        <v>121.951089</v>
      </c>
      <c r="Q297" s="90">
        <v>18.697652999999999</v>
      </c>
    </row>
    <row r="298" spans="1:17" x14ac:dyDescent="0.3">
      <c r="A298" s="21" t="s">
        <v>581</v>
      </c>
      <c r="B298" s="23" t="s">
        <v>582</v>
      </c>
      <c r="C298" s="14">
        <v>1</v>
      </c>
      <c r="D298" s="24" t="s">
        <v>25</v>
      </c>
      <c r="E298" s="95">
        <f t="shared" si="77"/>
        <v>76.650000000000006</v>
      </c>
      <c r="F298" s="96">
        <f t="shared" si="78"/>
        <v>26.55</v>
      </c>
      <c r="G298" s="16">
        <f t="shared" si="73"/>
        <v>103.2</v>
      </c>
      <c r="H298" s="16">
        <f t="shared" si="79"/>
        <v>76.650000000000006</v>
      </c>
      <c r="I298" s="16">
        <f t="shared" si="80"/>
        <v>26.55</v>
      </c>
      <c r="J298" s="57">
        <f t="shared" si="81"/>
        <v>103.2</v>
      </c>
      <c r="P298" s="89">
        <v>76.649442999999991</v>
      </c>
      <c r="Q298" s="89">
        <v>26.545115999999997</v>
      </c>
    </row>
    <row r="299" spans="1:17" x14ac:dyDescent="0.3">
      <c r="A299" s="21" t="s">
        <v>583</v>
      </c>
      <c r="B299" s="23" t="s">
        <v>584</v>
      </c>
      <c r="C299" s="14">
        <v>1</v>
      </c>
      <c r="D299" s="24" t="s">
        <v>25</v>
      </c>
      <c r="E299" s="95">
        <f t="shared" si="77"/>
        <v>60.68</v>
      </c>
      <c r="F299" s="96">
        <f t="shared" si="78"/>
        <v>17.670000000000002</v>
      </c>
      <c r="G299" s="16">
        <f t="shared" si="73"/>
        <v>78.349999999999994</v>
      </c>
      <c r="H299" s="16">
        <f t="shared" si="79"/>
        <v>60.68</v>
      </c>
      <c r="I299" s="16">
        <f t="shared" si="80"/>
        <v>17.670000000000002</v>
      </c>
      <c r="J299" s="57">
        <f t="shared" si="81"/>
        <v>78.349999999999994</v>
      </c>
      <c r="P299" s="90">
        <v>60.676953999999995</v>
      </c>
      <c r="Q299" s="90">
        <v>17.671510999999999</v>
      </c>
    </row>
    <row r="300" spans="1:17" x14ac:dyDescent="0.3">
      <c r="A300" s="21" t="s">
        <v>585</v>
      </c>
      <c r="B300" s="23" t="s">
        <v>586</v>
      </c>
      <c r="C300" s="14">
        <v>52</v>
      </c>
      <c r="D300" s="24" t="s">
        <v>25</v>
      </c>
      <c r="E300" s="95">
        <f t="shared" si="77"/>
        <v>17</v>
      </c>
      <c r="F300" s="96">
        <f t="shared" si="78"/>
        <v>8.83</v>
      </c>
      <c r="G300" s="16">
        <f t="shared" si="73"/>
        <v>25.83</v>
      </c>
      <c r="H300" s="16">
        <f t="shared" si="79"/>
        <v>884</v>
      </c>
      <c r="I300" s="16">
        <f t="shared" si="80"/>
        <v>459.16</v>
      </c>
      <c r="J300" s="57">
        <f t="shared" si="81"/>
        <v>1343.1599999999999</v>
      </c>
      <c r="P300" s="89">
        <v>16.998631</v>
      </c>
      <c r="Q300" s="89">
        <v>8.83155</v>
      </c>
    </row>
    <row r="301" spans="1:17" x14ac:dyDescent="0.3">
      <c r="A301" s="21" t="s">
        <v>587</v>
      </c>
      <c r="B301" s="23" t="s">
        <v>588</v>
      </c>
      <c r="C301" s="14">
        <v>1</v>
      </c>
      <c r="D301" s="24" t="s">
        <v>25</v>
      </c>
      <c r="E301" s="95">
        <f t="shared" si="77"/>
        <v>79.849999999999994</v>
      </c>
      <c r="F301" s="96">
        <f t="shared" si="78"/>
        <v>8.83</v>
      </c>
      <c r="G301" s="16">
        <f t="shared" si="73"/>
        <v>88.679999999999993</v>
      </c>
      <c r="H301" s="16">
        <f t="shared" si="79"/>
        <v>79.849999999999994</v>
      </c>
      <c r="I301" s="16">
        <f t="shared" si="80"/>
        <v>8.83</v>
      </c>
      <c r="J301" s="57">
        <f t="shared" si="81"/>
        <v>88.679999999999993</v>
      </c>
      <c r="P301" s="90">
        <v>79.854033999999999</v>
      </c>
      <c r="Q301" s="90">
        <v>8.83155</v>
      </c>
    </row>
    <row r="302" spans="1:17" x14ac:dyDescent="0.3">
      <c r="A302" s="21" t="s">
        <v>589</v>
      </c>
      <c r="B302" s="23" t="s">
        <v>590</v>
      </c>
      <c r="C302" s="14">
        <v>1</v>
      </c>
      <c r="D302" s="24" t="s">
        <v>25</v>
      </c>
      <c r="E302" s="95">
        <f t="shared" si="77"/>
        <v>201.37</v>
      </c>
      <c r="F302" s="96">
        <f t="shared" si="78"/>
        <v>8.83</v>
      </c>
      <c r="G302" s="16">
        <f t="shared" si="73"/>
        <v>210.20000000000002</v>
      </c>
      <c r="H302" s="16">
        <f t="shared" si="79"/>
        <v>201.37</v>
      </c>
      <c r="I302" s="16">
        <f t="shared" si="80"/>
        <v>8.83</v>
      </c>
      <c r="J302" s="57">
        <f t="shared" si="81"/>
        <v>210.20000000000002</v>
      </c>
      <c r="P302" s="89">
        <v>201.367751</v>
      </c>
      <c r="Q302" s="89">
        <v>8.83155</v>
      </c>
    </row>
    <row r="303" spans="1:17" x14ac:dyDescent="0.3">
      <c r="A303" s="21" t="s">
        <v>591</v>
      </c>
      <c r="B303" s="23" t="s">
        <v>592</v>
      </c>
      <c r="C303" s="14">
        <v>1</v>
      </c>
      <c r="D303" s="24" t="s">
        <v>25</v>
      </c>
      <c r="E303" s="95">
        <f t="shared" si="77"/>
        <v>201.37</v>
      </c>
      <c r="F303" s="96">
        <f t="shared" si="78"/>
        <v>8.83</v>
      </c>
      <c r="G303" s="16">
        <f t="shared" si="73"/>
        <v>210.20000000000002</v>
      </c>
      <c r="H303" s="16">
        <f t="shared" si="79"/>
        <v>201.37</v>
      </c>
      <c r="I303" s="16">
        <f t="shared" si="80"/>
        <v>8.83</v>
      </c>
      <c r="J303" s="57">
        <f t="shared" si="81"/>
        <v>210.20000000000002</v>
      </c>
      <c r="P303" s="90">
        <v>201.367751</v>
      </c>
      <c r="Q303" s="90">
        <v>8.83155</v>
      </c>
    </row>
    <row r="304" spans="1:17" x14ac:dyDescent="0.3">
      <c r="A304" s="21" t="s">
        <v>593</v>
      </c>
      <c r="B304" s="23" t="s">
        <v>594</v>
      </c>
      <c r="C304" s="14">
        <v>1</v>
      </c>
      <c r="D304" s="24" t="s">
        <v>25</v>
      </c>
      <c r="E304" s="95">
        <f t="shared" si="77"/>
        <v>171.32</v>
      </c>
      <c r="F304" s="96">
        <f t="shared" si="78"/>
        <v>17.670000000000002</v>
      </c>
      <c r="G304" s="16">
        <f t="shared" si="73"/>
        <v>188.99</v>
      </c>
      <c r="H304" s="16">
        <f t="shared" si="79"/>
        <v>171.32</v>
      </c>
      <c r="I304" s="16">
        <f t="shared" si="80"/>
        <v>17.670000000000002</v>
      </c>
      <c r="J304" s="57">
        <f t="shared" si="81"/>
        <v>188.99</v>
      </c>
      <c r="P304" s="89">
        <v>171.32365899999999</v>
      </c>
      <c r="Q304" s="89">
        <v>17.671510999999999</v>
      </c>
    </row>
    <row r="305" spans="1:17" x14ac:dyDescent="0.3">
      <c r="A305" s="21" t="s">
        <v>595</v>
      </c>
      <c r="B305" s="23" t="s">
        <v>596</v>
      </c>
      <c r="C305" s="14">
        <v>1</v>
      </c>
      <c r="D305" s="24" t="s">
        <v>25</v>
      </c>
      <c r="E305" s="95">
        <f t="shared" si="77"/>
        <v>181.37</v>
      </c>
      <c r="F305" s="96">
        <f t="shared" si="78"/>
        <v>26.55</v>
      </c>
      <c r="G305" s="16">
        <f t="shared" si="73"/>
        <v>207.92000000000002</v>
      </c>
      <c r="H305" s="16">
        <f t="shared" si="79"/>
        <v>181.37</v>
      </c>
      <c r="I305" s="16">
        <f t="shared" si="80"/>
        <v>26.55</v>
      </c>
      <c r="J305" s="57">
        <f t="shared" si="81"/>
        <v>207.92000000000002</v>
      </c>
      <c r="P305" s="90">
        <v>181.37480399999998</v>
      </c>
      <c r="Q305" s="90">
        <v>26.545115999999997</v>
      </c>
    </row>
    <row r="306" spans="1:17" x14ac:dyDescent="0.3">
      <c r="A306" s="21" t="s">
        <v>597</v>
      </c>
      <c r="B306" s="23" t="s">
        <v>598</v>
      </c>
      <c r="C306" s="14">
        <v>1</v>
      </c>
      <c r="D306" s="24" t="s">
        <v>25</v>
      </c>
      <c r="E306" s="95">
        <f t="shared" si="77"/>
        <v>197.26</v>
      </c>
      <c r="F306" s="96">
        <f t="shared" si="78"/>
        <v>26.55</v>
      </c>
      <c r="G306" s="16">
        <f t="shared" ref="G306:G369" si="82">SUM(E306:F306)</f>
        <v>223.81</v>
      </c>
      <c r="H306" s="16">
        <f t="shared" ref="H306:H337" si="83">C306*E306</f>
        <v>197.26</v>
      </c>
      <c r="I306" s="16">
        <f t="shared" ref="I306:I337" si="84">C306*F306</f>
        <v>26.55</v>
      </c>
      <c r="J306" s="57">
        <f t="shared" ref="J306:J337" si="85">SUM(E306:F306)*C306</f>
        <v>223.81</v>
      </c>
      <c r="P306" s="89">
        <v>197.263183</v>
      </c>
      <c r="Q306" s="89">
        <v>26.545115999999997</v>
      </c>
    </row>
    <row r="307" spans="1:17" x14ac:dyDescent="0.3">
      <c r="A307" s="21" t="s">
        <v>599</v>
      </c>
      <c r="B307" s="23" t="s">
        <v>600</v>
      </c>
      <c r="C307" s="14">
        <v>1</v>
      </c>
      <c r="D307" s="24" t="s">
        <v>25</v>
      </c>
      <c r="E307" s="95">
        <f t="shared" si="77"/>
        <v>181.51</v>
      </c>
      <c r="F307" s="96">
        <f t="shared" si="78"/>
        <v>153.93</v>
      </c>
      <c r="G307" s="16">
        <f t="shared" si="82"/>
        <v>335.44</v>
      </c>
      <c r="H307" s="16">
        <f t="shared" si="83"/>
        <v>181.51</v>
      </c>
      <c r="I307" s="16">
        <f t="shared" si="84"/>
        <v>153.93</v>
      </c>
      <c r="J307" s="57">
        <f t="shared" si="85"/>
        <v>335.44</v>
      </c>
      <c r="P307" s="90">
        <v>181.50937999999999</v>
      </c>
      <c r="Q307" s="90">
        <v>153.929711</v>
      </c>
    </row>
    <row r="308" spans="1:17" x14ac:dyDescent="0.3">
      <c r="A308" s="21" t="s">
        <v>601</v>
      </c>
      <c r="B308" s="23" t="s">
        <v>602</v>
      </c>
      <c r="C308" s="14">
        <v>90</v>
      </c>
      <c r="D308" s="24" t="s">
        <v>25</v>
      </c>
      <c r="E308" s="95">
        <f t="shared" si="77"/>
        <v>691.12</v>
      </c>
      <c r="F308" s="96">
        <f t="shared" si="78"/>
        <v>191.33</v>
      </c>
      <c r="G308" s="16">
        <f t="shared" si="82"/>
        <v>882.45</v>
      </c>
      <c r="H308" s="16">
        <f t="shared" si="83"/>
        <v>62200.800000000003</v>
      </c>
      <c r="I308" s="16">
        <f t="shared" si="84"/>
        <v>17219.7</v>
      </c>
      <c r="J308" s="57">
        <f t="shared" si="85"/>
        <v>79420.5</v>
      </c>
      <c r="P308" s="89">
        <v>691.11504799999989</v>
      </c>
      <c r="Q308" s="89">
        <v>191.325017</v>
      </c>
    </row>
    <row r="309" spans="1:17" x14ac:dyDescent="0.3">
      <c r="A309" s="21" t="s">
        <v>603</v>
      </c>
      <c r="B309" s="23" t="s">
        <v>604</v>
      </c>
      <c r="C309" s="14">
        <v>1</v>
      </c>
      <c r="D309" s="24" t="s">
        <v>25</v>
      </c>
      <c r="E309" s="95">
        <f t="shared" si="77"/>
        <v>1783.38</v>
      </c>
      <c r="F309" s="96">
        <f t="shared" si="78"/>
        <v>224.04</v>
      </c>
      <c r="G309" s="16">
        <f t="shared" si="82"/>
        <v>2007.42</v>
      </c>
      <c r="H309" s="16">
        <f t="shared" si="83"/>
        <v>1783.38</v>
      </c>
      <c r="I309" s="16">
        <f t="shared" si="84"/>
        <v>224.04</v>
      </c>
      <c r="J309" s="57">
        <f t="shared" si="85"/>
        <v>2007.42</v>
      </c>
      <c r="P309" s="90">
        <v>1783.3843300000001</v>
      </c>
      <c r="Q309" s="90">
        <v>224.04380699999999</v>
      </c>
    </row>
    <row r="310" spans="1:17" x14ac:dyDescent="0.3">
      <c r="A310" s="21" t="s">
        <v>605</v>
      </c>
      <c r="B310" s="23" t="s">
        <v>606</v>
      </c>
      <c r="C310" s="14">
        <v>1</v>
      </c>
      <c r="D310" s="24" t="s">
        <v>25</v>
      </c>
      <c r="E310" s="95">
        <f t="shared" si="77"/>
        <v>42.53</v>
      </c>
      <c r="F310" s="96">
        <f t="shared" si="78"/>
        <v>17.670000000000002</v>
      </c>
      <c r="G310" s="16">
        <f t="shared" si="82"/>
        <v>60.2</v>
      </c>
      <c r="H310" s="16">
        <f t="shared" si="83"/>
        <v>42.53</v>
      </c>
      <c r="I310" s="16">
        <f t="shared" si="84"/>
        <v>17.670000000000002</v>
      </c>
      <c r="J310" s="57">
        <f t="shared" si="85"/>
        <v>60.2</v>
      </c>
      <c r="P310" s="89">
        <v>42.534427000000001</v>
      </c>
      <c r="Q310" s="89">
        <v>17.671510999999999</v>
      </c>
    </row>
    <row r="311" spans="1:17" x14ac:dyDescent="0.3">
      <c r="A311" s="21" t="s">
        <v>607</v>
      </c>
      <c r="B311" s="23" t="s">
        <v>608</v>
      </c>
      <c r="C311" s="14">
        <v>1</v>
      </c>
      <c r="D311" s="24" t="s">
        <v>25</v>
      </c>
      <c r="E311" s="95">
        <f t="shared" si="77"/>
        <v>73.23</v>
      </c>
      <c r="F311" s="96">
        <f t="shared" si="78"/>
        <v>26.55</v>
      </c>
      <c r="G311" s="16">
        <f t="shared" si="82"/>
        <v>99.78</v>
      </c>
      <c r="H311" s="16">
        <f t="shared" si="83"/>
        <v>73.23</v>
      </c>
      <c r="I311" s="16">
        <f t="shared" si="84"/>
        <v>26.55</v>
      </c>
      <c r="J311" s="57">
        <f t="shared" si="85"/>
        <v>99.78</v>
      </c>
      <c r="P311" s="90">
        <v>73.234576999999987</v>
      </c>
      <c r="Q311" s="90">
        <v>26.545115999999997</v>
      </c>
    </row>
    <row r="312" spans="1:17" x14ac:dyDescent="0.3">
      <c r="A312" s="21" t="s">
        <v>609</v>
      </c>
      <c r="B312" s="23" t="s">
        <v>610</v>
      </c>
      <c r="C312" s="14">
        <v>1</v>
      </c>
      <c r="D312" s="24" t="s">
        <v>25</v>
      </c>
      <c r="E312" s="95">
        <f t="shared" si="77"/>
        <v>136.43</v>
      </c>
      <c r="F312" s="96">
        <f t="shared" si="78"/>
        <v>20.07</v>
      </c>
      <c r="G312" s="16">
        <f t="shared" si="82"/>
        <v>156.5</v>
      </c>
      <c r="H312" s="16">
        <f t="shared" si="83"/>
        <v>136.43</v>
      </c>
      <c r="I312" s="16">
        <f t="shared" si="84"/>
        <v>20.07</v>
      </c>
      <c r="J312" s="57">
        <f t="shared" si="85"/>
        <v>156.5</v>
      </c>
      <c r="P312" s="89">
        <v>136.434831</v>
      </c>
      <c r="Q312" s="89">
        <v>20.068645999999998</v>
      </c>
    </row>
    <row r="313" spans="1:17" x14ac:dyDescent="0.3">
      <c r="A313" s="21" t="s">
        <v>611</v>
      </c>
      <c r="B313" s="23" t="s">
        <v>612</v>
      </c>
      <c r="C313" s="14">
        <v>39</v>
      </c>
      <c r="D313" s="24" t="s">
        <v>51</v>
      </c>
      <c r="E313" s="95">
        <f t="shared" si="77"/>
        <v>12.46</v>
      </c>
      <c r="F313" s="96">
        <f t="shared" si="78"/>
        <v>4.4800000000000004</v>
      </c>
      <c r="G313" s="16">
        <f t="shared" si="82"/>
        <v>16.940000000000001</v>
      </c>
      <c r="H313" s="16">
        <f t="shared" si="83"/>
        <v>485.94000000000005</v>
      </c>
      <c r="I313" s="16">
        <f t="shared" si="84"/>
        <v>174.72000000000003</v>
      </c>
      <c r="J313" s="57">
        <f t="shared" si="85"/>
        <v>660.66000000000008</v>
      </c>
      <c r="P313" s="90">
        <v>12.456690999999999</v>
      </c>
      <c r="Q313" s="90">
        <v>4.4830629999999996</v>
      </c>
    </row>
    <row r="314" spans="1:17" x14ac:dyDescent="0.3">
      <c r="A314" s="21" t="s">
        <v>613</v>
      </c>
      <c r="B314" s="23" t="s">
        <v>614</v>
      </c>
      <c r="C314" s="14">
        <v>85</v>
      </c>
      <c r="D314" s="24" t="s">
        <v>51</v>
      </c>
      <c r="E314" s="95">
        <f t="shared" si="77"/>
        <v>38.5</v>
      </c>
      <c r="F314" s="96">
        <f t="shared" si="78"/>
        <v>3.2</v>
      </c>
      <c r="G314" s="16">
        <f t="shared" si="82"/>
        <v>41.7</v>
      </c>
      <c r="H314" s="16">
        <f t="shared" si="83"/>
        <v>3272.5</v>
      </c>
      <c r="I314" s="16">
        <f t="shared" si="84"/>
        <v>272</v>
      </c>
      <c r="J314" s="57">
        <f t="shared" si="85"/>
        <v>3544.5000000000005</v>
      </c>
      <c r="P314" s="89">
        <v>38.497146999999998</v>
      </c>
      <c r="Q314" s="89">
        <v>3.2045909999999997</v>
      </c>
    </row>
    <row r="315" spans="1:17" x14ac:dyDescent="0.3">
      <c r="A315" s="21" t="s">
        <v>615</v>
      </c>
      <c r="B315" s="23" t="s">
        <v>616</v>
      </c>
      <c r="C315" s="14">
        <v>31</v>
      </c>
      <c r="D315" s="24" t="s">
        <v>51</v>
      </c>
      <c r="E315" s="95">
        <f t="shared" si="77"/>
        <v>90.26</v>
      </c>
      <c r="F315" s="96">
        <f t="shared" si="78"/>
        <v>4.4800000000000004</v>
      </c>
      <c r="G315" s="16">
        <f t="shared" si="82"/>
        <v>94.740000000000009</v>
      </c>
      <c r="H315" s="16">
        <f t="shared" si="83"/>
        <v>2798.06</v>
      </c>
      <c r="I315" s="16">
        <f t="shared" si="84"/>
        <v>138.88000000000002</v>
      </c>
      <c r="J315" s="57">
        <f t="shared" si="85"/>
        <v>2936.9400000000005</v>
      </c>
      <c r="P315" s="90">
        <v>90.258440999999991</v>
      </c>
      <c r="Q315" s="90">
        <v>4.4830629999999996</v>
      </c>
    </row>
    <row r="316" spans="1:17" x14ac:dyDescent="0.3">
      <c r="A316" s="21" t="s">
        <v>617</v>
      </c>
      <c r="B316" s="23" t="s">
        <v>618</v>
      </c>
      <c r="C316" s="14">
        <v>1</v>
      </c>
      <c r="D316" s="24" t="s">
        <v>51</v>
      </c>
      <c r="E316" s="95">
        <f t="shared" si="77"/>
        <v>180.66</v>
      </c>
      <c r="F316" s="96">
        <f t="shared" si="78"/>
        <v>7.17</v>
      </c>
      <c r="G316" s="16">
        <f t="shared" si="82"/>
        <v>187.82999999999998</v>
      </c>
      <c r="H316" s="16">
        <f t="shared" si="83"/>
        <v>180.66</v>
      </c>
      <c r="I316" s="16">
        <f t="shared" si="84"/>
        <v>7.17</v>
      </c>
      <c r="J316" s="57">
        <f t="shared" si="85"/>
        <v>187.82999999999998</v>
      </c>
      <c r="P316" s="89">
        <v>180.65986899999999</v>
      </c>
      <c r="Q316" s="89">
        <v>7.1745829999999993</v>
      </c>
    </row>
    <row r="317" spans="1:17" x14ac:dyDescent="0.3">
      <c r="A317" s="21" t="s">
        <v>619</v>
      </c>
      <c r="B317" s="23" t="s">
        <v>620</v>
      </c>
      <c r="C317" s="14">
        <v>1</v>
      </c>
      <c r="D317" s="24" t="s">
        <v>51</v>
      </c>
      <c r="E317" s="95">
        <f t="shared" si="77"/>
        <v>310.12</v>
      </c>
      <c r="F317" s="96">
        <f t="shared" si="78"/>
        <v>11.1</v>
      </c>
      <c r="G317" s="16">
        <f t="shared" si="82"/>
        <v>321.22000000000003</v>
      </c>
      <c r="H317" s="16">
        <f t="shared" si="83"/>
        <v>310.12</v>
      </c>
      <c r="I317" s="16">
        <f t="shared" si="84"/>
        <v>11.1</v>
      </c>
      <c r="J317" s="57">
        <f t="shared" si="85"/>
        <v>321.22000000000003</v>
      </c>
      <c r="P317" s="90">
        <v>310.12198099999995</v>
      </c>
      <c r="Q317" s="90">
        <v>11.102519999999998</v>
      </c>
    </row>
    <row r="318" spans="1:17" x14ac:dyDescent="0.3">
      <c r="A318" s="21" t="s">
        <v>621</v>
      </c>
      <c r="B318" s="23" t="s">
        <v>622</v>
      </c>
      <c r="C318" s="14">
        <v>122</v>
      </c>
      <c r="D318" s="24" t="s">
        <v>25</v>
      </c>
      <c r="E318" s="95">
        <f t="shared" si="77"/>
        <v>1.59</v>
      </c>
      <c r="F318" s="96">
        <f t="shared" si="78"/>
        <v>13.87</v>
      </c>
      <c r="G318" s="16">
        <f t="shared" si="82"/>
        <v>15.459999999999999</v>
      </c>
      <c r="H318" s="16">
        <f t="shared" si="83"/>
        <v>193.98000000000002</v>
      </c>
      <c r="I318" s="16">
        <f t="shared" si="84"/>
        <v>1692.1399999999999</v>
      </c>
      <c r="J318" s="57">
        <f t="shared" si="85"/>
        <v>1886.12</v>
      </c>
      <c r="P318" s="89">
        <v>1.5896789999999998</v>
      </c>
      <c r="Q318" s="89">
        <v>13.869738999999997</v>
      </c>
    </row>
    <row r="319" spans="1:17" x14ac:dyDescent="0.3">
      <c r="A319" s="21" t="s">
        <v>623</v>
      </c>
      <c r="B319" s="23" t="s">
        <v>624</v>
      </c>
      <c r="C319" s="14">
        <v>128</v>
      </c>
      <c r="D319" s="24" t="s">
        <v>25</v>
      </c>
      <c r="E319" s="95">
        <f t="shared" si="77"/>
        <v>246.51</v>
      </c>
      <c r="F319" s="96">
        <f t="shared" si="78"/>
        <v>25.71</v>
      </c>
      <c r="G319" s="16">
        <f t="shared" si="82"/>
        <v>272.21999999999997</v>
      </c>
      <c r="H319" s="16">
        <f t="shared" si="83"/>
        <v>31553.279999999999</v>
      </c>
      <c r="I319" s="16">
        <f t="shared" si="84"/>
        <v>3290.88</v>
      </c>
      <c r="J319" s="57">
        <f t="shared" si="85"/>
        <v>34844.159999999996</v>
      </c>
      <c r="P319" s="90">
        <v>246.50958799999998</v>
      </c>
      <c r="Q319" s="90">
        <v>25.712426999999998</v>
      </c>
    </row>
    <row r="320" spans="1:17" x14ac:dyDescent="0.3">
      <c r="A320" s="21" t="s">
        <v>625</v>
      </c>
      <c r="B320" s="23" t="s">
        <v>626</v>
      </c>
      <c r="C320" s="14">
        <v>1</v>
      </c>
      <c r="D320" s="24" t="s">
        <v>25</v>
      </c>
      <c r="E320" s="95">
        <f t="shared" si="77"/>
        <v>2.72</v>
      </c>
      <c r="F320" s="96">
        <f t="shared" si="78"/>
        <v>25.71</v>
      </c>
      <c r="G320" s="16">
        <f t="shared" si="82"/>
        <v>28.43</v>
      </c>
      <c r="H320" s="16">
        <f t="shared" si="83"/>
        <v>2.72</v>
      </c>
      <c r="I320" s="16">
        <f t="shared" si="84"/>
        <v>25.71</v>
      </c>
      <c r="J320" s="57">
        <f t="shared" si="85"/>
        <v>28.43</v>
      </c>
      <c r="P320" s="89">
        <v>2.7167529999999998</v>
      </c>
      <c r="Q320" s="89">
        <v>25.712426999999998</v>
      </c>
    </row>
    <row r="321" spans="1:17" x14ac:dyDescent="0.3">
      <c r="A321" s="21" t="s">
        <v>627</v>
      </c>
      <c r="B321" s="23" t="s">
        <v>628</v>
      </c>
      <c r="C321" s="14">
        <v>1</v>
      </c>
      <c r="D321" s="24" t="s">
        <v>25</v>
      </c>
      <c r="E321" s="95">
        <f t="shared" si="77"/>
        <v>31.31</v>
      </c>
      <c r="F321" s="96">
        <f t="shared" si="78"/>
        <v>28.04</v>
      </c>
      <c r="G321" s="16">
        <f t="shared" si="82"/>
        <v>59.349999999999994</v>
      </c>
      <c r="H321" s="16">
        <f t="shared" si="83"/>
        <v>31.31</v>
      </c>
      <c r="I321" s="16">
        <f t="shared" si="84"/>
        <v>28.04</v>
      </c>
      <c r="J321" s="57">
        <f t="shared" si="85"/>
        <v>59.349999999999994</v>
      </c>
      <c r="P321" s="90">
        <v>31.314152999999997</v>
      </c>
      <c r="Q321" s="90">
        <v>28.042274000000003</v>
      </c>
    </row>
    <row r="322" spans="1:17" x14ac:dyDescent="0.3">
      <c r="A322" s="21" t="s">
        <v>629</v>
      </c>
      <c r="B322" s="23" t="s">
        <v>630</v>
      </c>
      <c r="C322" s="14">
        <v>1</v>
      </c>
      <c r="D322" s="24" t="s">
        <v>25</v>
      </c>
      <c r="E322" s="95">
        <f t="shared" si="77"/>
        <v>84.64</v>
      </c>
      <c r="F322" s="96">
        <f t="shared" si="78"/>
        <v>28.04</v>
      </c>
      <c r="G322" s="16">
        <f t="shared" si="82"/>
        <v>112.68</v>
      </c>
      <c r="H322" s="16">
        <f t="shared" si="83"/>
        <v>84.64</v>
      </c>
      <c r="I322" s="16">
        <f t="shared" si="84"/>
        <v>28.04</v>
      </c>
      <c r="J322" s="57">
        <f t="shared" si="85"/>
        <v>112.68</v>
      </c>
      <c r="P322" s="89">
        <v>84.639892999999987</v>
      </c>
      <c r="Q322" s="89">
        <v>28.042274000000003</v>
      </c>
    </row>
    <row r="323" spans="1:17" x14ac:dyDescent="0.3">
      <c r="A323" s="21" t="s">
        <v>631</v>
      </c>
      <c r="B323" s="23" t="s">
        <v>632</v>
      </c>
      <c r="C323" s="14">
        <v>1</v>
      </c>
      <c r="D323" s="24" t="s">
        <v>25</v>
      </c>
      <c r="E323" s="95">
        <f t="shared" si="77"/>
        <v>317.19</v>
      </c>
      <c r="F323" s="96">
        <f t="shared" si="78"/>
        <v>34.64</v>
      </c>
      <c r="G323" s="16">
        <f t="shared" si="82"/>
        <v>351.83</v>
      </c>
      <c r="H323" s="16">
        <f t="shared" si="83"/>
        <v>317.19</v>
      </c>
      <c r="I323" s="16">
        <f t="shared" si="84"/>
        <v>34.64</v>
      </c>
      <c r="J323" s="57">
        <f t="shared" si="85"/>
        <v>351.83</v>
      </c>
      <c r="P323" s="90">
        <v>317.18722100000002</v>
      </c>
      <c r="Q323" s="90">
        <v>34.636497999999996</v>
      </c>
    </row>
    <row r="324" spans="1:17" x14ac:dyDescent="0.3">
      <c r="A324" s="21" t="s">
        <v>633</v>
      </c>
      <c r="B324" s="23" t="s">
        <v>634</v>
      </c>
      <c r="C324" s="14">
        <v>1</v>
      </c>
      <c r="D324" s="24" t="s">
        <v>25</v>
      </c>
      <c r="E324" s="95">
        <f t="shared" si="77"/>
        <v>171.07</v>
      </c>
      <c r="F324" s="96">
        <f t="shared" si="78"/>
        <v>6.13</v>
      </c>
      <c r="G324" s="16">
        <f t="shared" si="82"/>
        <v>177.2</v>
      </c>
      <c r="H324" s="16">
        <f t="shared" si="83"/>
        <v>171.07</v>
      </c>
      <c r="I324" s="16">
        <f t="shared" si="84"/>
        <v>6.13</v>
      </c>
      <c r="J324" s="57">
        <f t="shared" si="85"/>
        <v>177.2</v>
      </c>
      <c r="P324" s="89">
        <v>171.07132899999999</v>
      </c>
      <c r="Q324" s="89">
        <v>6.1316189999999997</v>
      </c>
    </row>
    <row r="325" spans="1:17" x14ac:dyDescent="0.3">
      <c r="A325" s="21" t="s">
        <v>635</v>
      </c>
      <c r="B325" s="23" t="s">
        <v>636</v>
      </c>
      <c r="C325" s="14">
        <v>1</v>
      </c>
      <c r="D325" s="24" t="s">
        <v>25</v>
      </c>
      <c r="E325" s="95">
        <f t="shared" si="77"/>
        <v>264.33</v>
      </c>
      <c r="F325" s="96">
        <f t="shared" si="78"/>
        <v>6.13</v>
      </c>
      <c r="G325" s="16">
        <f t="shared" si="82"/>
        <v>270.45999999999998</v>
      </c>
      <c r="H325" s="16">
        <f t="shared" si="83"/>
        <v>264.33</v>
      </c>
      <c r="I325" s="16">
        <f t="shared" si="84"/>
        <v>6.13</v>
      </c>
      <c r="J325" s="57">
        <f t="shared" si="85"/>
        <v>270.45999999999998</v>
      </c>
      <c r="P325" s="90">
        <v>264.33249699999999</v>
      </c>
      <c r="Q325" s="90">
        <v>6.1316189999999997</v>
      </c>
    </row>
    <row r="326" spans="1:17" x14ac:dyDescent="0.3">
      <c r="A326" s="21" t="s">
        <v>637</v>
      </c>
      <c r="B326" s="23" t="s">
        <v>638</v>
      </c>
      <c r="C326" s="14">
        <v>1</v>
      </c>
      <c r="D326" s="24" t="s">
        <v>25</v>
      </c>
      <c r="E326" s="95">
        <f t="shared" si="77"/>
        <v>269.47000000000003</v>
      </c>
      <c r="F326" s="96">
        <f t="shared" si="78"/>
        <v>6.13</v>
      </c>
      <c r="G326" s="16">
        <f t="shared" si="82"/>
        <v>275.60000000000002</v>
      </c>
      <c r="H326" s="16">
        <f t="shared" si="83"/>
        <v>269.47000000000003</v>
      </c>
      <c r="I326" s="16">
        <f t="shared" si="84"/>
        <v>6.13</v>
      </c>
      <c r="J326" s="57">
        <f t="shared" si="85"/>
        <v>275.60000000000002</v>
      </c>
      <c r="P326" s="89">
        <v>269.47161799999998</v>
      </c>
      <c r="Q326" s="89">
        <v>6.1316189999999997</v>
      </c>
    </row>
    <row r="327" spans="1:17" x14ac:dyDescent="0.3">
      <c r="A327" s="21" t="s">
        <v>639</v>
      </c>
      <c r="B327" s="23" t="s">
        <v>640</v>
      </c>
      <c r="C327" s="14">
        <v>1</v>
      </c>
      <c r="D327" s="24" t="s">
        <v>51</v>
      </c>
      <c r="E327" s="95">
        <f t="shared" si="77"/>
        <v>11.58</v>
      </c>
      <c r="F327" s="96">
        <f t="shared" si="78"/>
        <v>3.95</v>
      </c>
      <c r="G327" s="16">
        <f t="shared" si="82"/>
        <v>15.530000000000001</v>
      </c>
      <c r="H327" s="16">
        <f t="shared" si="83"/>
        <v>11.58</v>
      </c>
      <c r="I327" s="16">
        <f t="shared" si="84"/>
        <v>3.95</v>
      </c>
      <c r="J327" s="57">
        <f t="shared" si="85"/>
        <v>15.530000000000001</v>
      </c>
      <c r="P327" s="90">
        <v>11.581947</v>
      </c>
      <c r="Q327" s="90">
        <v>3.9531700000000001</v>
      </c>
    </row>
    <row r="328" spans="1:17" x14ac:dyDescent="0.3">
      <c r="A328" s="21" t="s">
        <v>641</v>
      </c>
      <c r="B328" s="23" t="s">
        <v>642</v>
      </c>
      <c r="C328" s="14">
        <v>1</v>
      </c>
      <c r="D328" s="24" t="s">
        <v>51</v>
      </c>
      <c r="E328" s="95">
        <f t="shared" si="77"/>
        <v>16.28</v>
      </c>
      <c r="F328" s="96">
        <f t="shared" si="78"/>
        <v>3.95</v>
      </c>
      <c r="G328" s="16">
        <f t="shared" si="82"/>
        <v>20.23</v>
      </c>
      <c r="H328" s="16">
        <f t="shared" si="83"/>
        <v>16.28</v>
      </c>
      <c r="I328" s="16">
        <f t="shared" si="84"/>
        <v>3.95</v>
      </c>
      <c r="J328" s="57">
        <f t="shared" si="85"/>
        <v>20.23</v>
      </c>
      <c r="P328" s="89">
        <v>16.275285</v>
      </c>
      <c r="Q328" s="89">
        <v>3.9531700000000001</v>
      </c>
    </row>
    <row r="329" spans="1:17" x14ac:dyDescent="0.3">
      <c r="A329" s="21" t="s">
        <v>643</v>
      </c>
      <c r="B329" s="23" t="s">
        <v>644</v>
      </c>
      <c r="C329" s="14">
        <v>1</v>
      </c>
      <c r="D329" s="24" t="s">
        <v>25</v>
      </c>
      <c r="E329" s="95">
        <f t="shared" si="77"/>
        <v>494.74</v>
      </c>
      <c r="F329" s="96">
        <f t="shared" si="78"/>
        <v>25.71</v>
      </c>
      <c r="G329" s="16">
        <f t="shared" si="82"/>
        <v>520.45000000000005</v>
      </c>
      <c r="H329" s="16">
        <f t="shared" si="83"/>
        <v>494.74</v>
      </c>
      <c r="I329" s="16">
        <f t="shared" si="84"/>
        <v>25.71</v>
      </c>
      <c r="J329" s="57">
        <f t="shared" si="85"/>
        <v>520.45000000000005</v>
      </c>
      <c r="P329" s="90">
        <v>494.74343099999999</v>
      </c>
      <c r="Q329" s="90">
        <v>25.712426999999998</v>
      </c>
    </row>
    <row r="330" spans="1:17" x14ac:dyDescent="0.3">
      <c r="A330" s="21" t="s">
        <v>645</v>
      </c>
      <c r="B330" s="23" t="s">
        <v>646</v>
      </c>
      <c r="C330" s="14">
        <v>1</v>
      </c>
      <c r="D330" s="24" t="s">
        <v>25</v>
      </c>
      <c r="E330" s="95">
        <f t="shared" ref="E330:E393" si="86">ROUND(P330,2)</f>
        <v>91.24</v>
      </c>
      <c r="F330" s="96">
        <f t="shared" ref="F330:F393" si="87">ROUND(Q330,2)</f>
        <v>8.32</v>
      </c>
      <c r="G330" s="16">
        <f t="shared" si="82"/>
        <v>99.56</v>
      </c>
      <c r="H330" s="16">
        <f t="shared" si="83"/>
        <v>91.24</v>
      </c>
      <c r="I330" s="16">
        <f t="shared" si="84"/>
        <v>8.32</v>
      </c>
      <c r="J330" s="57">
        <f t="shared" si="85"/>
        <v>99.56</v>
      </c>
      <c r="P330" s="89">
        <v>91.242527999999993</v>
      </c>
      <c r="Q330" s="89">
        <v>8.318479</v>
      </c>
    </row>
    <row r="331" spans="1:17" x14ac:dyDescent="0.3">
      <c r="A331" s="21" t="s">
        <v>647</v>
      </c>
      <c r="B331" s="23" t="s">
        <v>648</v>
      </c>
      <c r="C331" s="14">
        <v>1</v>
      </c>
      <c r="D331" s="24" t="s">
        <v>25</v>
      </c>
      <c r="E331" s="95">
        <f t="shared" si="86"/>
        <v>242.1</v>
      </c>
      <c r="F331" s="96">
        <f t="shared" si="87"/>
        <v>34.64</v>
      </c>
      <c r="G331" s="16">
        <f t="shared" si="82"/>
        <v>276.74</v>
      </c>
      <c r="H331" s="16">
        <f t="shared" si="83"/>
        <v>242.1</v>
      </c>
      <c r="I331" s="16">
        <f t="shared" si="84"/>
        <v>34.64</v>
      </c>
      <c r="J331" s="57">
        <f t="shared" si="85"/>
        <v>276.74</v>
      </c>
      <c r="P331" s="90">
        <v>242.10222399999998</v>
      </c>
      <c r="Q331" s="90">
        <v>34.636497999999996</v>
      </c>
    </row>
    <row r="332" spans="1:17" x14ac:dyDescent="0.3">
      <c r="A332" s="21" t="s">
        <v>649</v>
      </c>
      <c r="B332" s="23" t="s">
        <v>650</v>
      </c>
      <c r="C332" s="14">
        <v>1</v>
      </c>
      <c r="D332" s="24" t="s">
        <v>25</v>
      </c>
      <c r="E332" s="95">
        <f t="shared" si="86"/>
        <v>929.41</v>
      </c>
      <c r="F332" s="96">
        <f t="shared" si="87"/>
        <v>289.83</v>
      </c>
      <c r="G332" s="16">
        <f t="shared" si="82"/>
        <v>1219.24</v>
      </c>
      <c r="H332" s="16">
        <f t="shared" si="83"/>
        <v>929.41</v>
      </c>
      <c r="I332" s="16">
        <f t="shared" si="84"/>
        <v>289.83</v>
      </c>
      <c r="J332" s="57">
        <f t="shared" si="85"/>
        <v>1219.24</v>
      </c>
      <c r="P332" s="89">
        <v>929.40708899999993</v>
      </c>
      <c r="Q332" s="89">
        <v>289.83464899999996</v>
      </c>
    </row>
    <row r="333" spans="1:17" x14ac:dyDescent="0.3">
      <c r="A333" s="21" t="s">
        <v>651</v>
      </c>
      <c r="B333" s="23" t="s">
        <v>652</v>
      </c>
      <c r="C333" s="14">
        <v>1</v>
      </c>
      <c r="D333" s="24" t="s">
        <v>25</v>
      </c>
      <c r="E333" s="95">
        <f t="shared" si="86"/>
        <v>102.13</v>
      </c>
      <c r="F333" s="96">
        <f t="shared" si="87"/>
        <v>7.9</v>
      </c>
      <c r="G333" s="16">
        <f t="shared" si="82"/>
        <v>110.03</v>
      </c>
      <c r="H333" s="16">
        <f t="shared" si="83"/>
        <v>102.13</v>
      </c>
      <c r="I333" s="16">
        <f t="shared" si="84"/>
        <v>7.9</v>
      </c>
      <c r="J333" s="57">
        <f t="shared" si="85"/>
        <v>110.03</v>
      </c>
      <c r="P333" s="90">
        <v>102.134773</v>
      </c>
      <c r="Q333" s="90">
        <v>7.8979290000000004</v>
      </c>
    </row>
    <row r="334" spans="1:17" x14ac:dyDescent="0.3">
      <c r="A334" s="21" t="s">
        <v>653</v>
      </c>
      <c r="B334" s="23" t="s">
        <v>654</v>
      </c>
      <c r="C334" s="14">
        <v>1</v>
      </c>
      <c r="D334" s="24" t="s">
        <v>25</v>
      </c>
      <c r="E334" s="95">
        <f t="shared" si="86"/>
        <v>67.150000000000006</v>
      </c>
      <c r="F334" s="96">
        <f t="shared" si="87"/>
        <v>3.95</v>
      </c>
      <c r="G334" s="16">
        <f t="shared" si="82"/>
        <v>71.100000000000009</v>
      </c>
      <c r="H334" s="16">
        <f t="shared" si="83"/>
        <v>67.150000000000006</v>
      </c>
      <c r="I334" s="16">
        <f t="shared" si="84"/>
        <v>3.95</v>
      </c>
      <c r="J334" s="57">
        <f t="shared" si="85"/>
        <v>71.100000000000009</v>
      </c>
      <c r="P334" s="89">
        <v>67.153424000000001</v>
      </c>
      <c r="Q334" s="89">
        <v>3.9531700000000001</v>
      </c>
    </row>
    <row r="335" spans="1:17" x14ac:dyDescent="0.3">
      <c r="A335" s="21" t="s">
        <v>655</v>
      </c>
      <c r="B335" s="23" t="s">
        <v>656</v>
      </c>
      <c r="C335" s="14">
        <v>1</v>
      </c>
      <c r="D335" s="24" t="s">
        <v>25</v>
      </c>
      <c r="E335" s="95">
        <f t="shared" si="86"/>
        <v>49.66</v>
      </c>
      <c r="F335" s="96">
        <f t="shared" si="87"/>
        <v>1.97</v>
      </c>
      <c r="G335" s="16">
        <f t="shared" si="82"/>
        <v>51.629999999999995</v>
      </c>
      <c r="H335" s="16">
        <f t="shared" si="83"/>
        <v>49.66</v>
      </c>
      <c r="I335" s="16">
        <f t="shared" si="84"/>
        <v>1.97</v>
      </c>
      <c r="J335" s="57">
        <f t="shared" si="85"/>
        <v>51.629999999999995</v>
      </c>
      <c r="P335" s="90">
        <v>49.658543999999999</v>
      </c>
      <c r="Q335" s="90">
        <v>1.9681739999999999</v>
      </c>
    </row>
    <row r="336" spans="1:17" x14ac:dyDescent="0.3">
      <c r="A336" s="21" t="s">
        <v>657</v>
      </c>
      <c r="B336" s="23" t="s">
        <v>658</v>
      </c>
      <c r="C336" s="14">
        <v>1</v>
      </c>
      <c r="D336" s="24" t="s">
        <v>25</v>
      </c>
      <c r="E336" s="95">
        <f t="shared" si="86"/>
        <v>42.67</v>
      </c>
      <c r="F336" s="96">
        <f t="shared" si="87"/>
        <v>1.18</v>
      </c>
      <c r="G336" s="16">
        <f t="shared" si="82"/>
        <v>43.85</v>
      </c>
      <c r="H336" s="16">
        <f t="shared" si="83"/>
        <v>42.67</v>
      </c>
      <c r="I336" s="16">
        <f t="shared" si="84"/>
        <v>1.18</v>
      </c>
      <c r="J336" s="57">
        <f t="shared" si="85"/>
        <v>43.85</v>
      </c>
      <c r="P336" s="89">
        <v>42.669002999999996</v>
      </c>
      <c r="Q336" s="89">
        <v>1.1775399999999998</v>
      </c>
    </row>
    <row r="337" spans="1:17" x14ac:dyDescent="0.3">
      <c r="A337" s="21" t="s">
        <v>659</v>
      </c>
      <c r="B337" s="23" t="s">
        <v>660</v>
      </c>
      <c r="C337" s="14">
        <v>45</v>
      </c>
      <c r="D337" s="24" t="s">
        <v>25</v>
      </c>
      <c r="E337" s="95">
        <f t="shared" si="86"/>
        <v>10.5</v>
      </c>
      <c r="F337" s="96">
        <f t="shared" si="87"/>
        <v>46.74</v>
      </c>
      <c r="G337" s="16">
        <f t="shared" si="82"/>
        <v>57.24</v>
      </c>
      <c r="H337" s="16">
        <f t="shared" si="83"/>
        <v>472.5</v>
      </c>
      <c r="I337" s="16">
        <f t="shared" si="84"/>
        <v>2103.3000000000002</v>
      </c>
      <c r="J337" s="57">
        <f t="shared" si="85"/>
        <v>2575.8000000000002</v>
      </c>
      <c r="P337" s="90">
        <v>10.496928</v>
      </c>
      <c r="Q337" s="90">
        <v>46.739926999999994</v>
      </c>
    </row>
    <row r="338" spans="1:17" x14ac:dyDescent="0.3">
      <c r="A338" s="21" t="s">
        <v>661</v>
      </c>
      <c r="B338" s="23" t="s">
        <v>662</v>
      </c>
      <c r="C338" s="14">
        <v>1</v>
      </c>
      <c r="D338" s="24" t="s">
        <v>51</v>
      </c>
      <c r="E338" s="95">
        <f t="shared" si="86"/>
        <v>26.39</v>
      </c>
      <c r="F338" s="96">
        <f t="shared" si="87"/>
        <v>3.95</v>
      </c>
      <c r="G338" s="16">
        <f t="shared" si="82"/>
        <v>30.34</v>
      </c>
      <c r="H338" s="16">
        <f t="shared" ref="H338:H371" si="88">C338*E338</f>
        <v>26.39</v>
      </c>
      <c r="I338" s="16">
        <f t="shared" ref="I338:I371" si="89">C338*F338</f>
        <v>3.95</v>
      </c>
      <c r="J338" s="57">
        <f t="shared" ref="J338:J371" si="90">SUM(E338:F338)*C338</f>
        <v>30.34</v>
      </c>
      <c r="P338" s="89">
        <v>26.393717999999996</v>
      </c>
      <c r="Q338" s="89">
        <v>3.9531700000000001</v>
      </c>
    </row>
    <row r="339" spans="1:17" x14ac:dyDescent="0.3">
      <c r="A339" s="21" t="s">
        <v>663</v>
      </c>
      <c r="B339" s="23" t="s">
        <v>664</v>
      </c>
      <c r="C339" s="14">
        <v>20</v>
      </c>
      <c r="D339" s="24" t="s">
        <v>25</v>
      </c>
      <c r="E339" s="95">
        <f t="shared" si="86"/>
        <v>164.82</v>
      </c>
      <c r="F339" s="96">
        <f t="shared" si="87"/>
        <v>25.71</v>
      </c>
      <c r="G339" s="16">
        <f t="shared" si="82"/>
        <v>190.53</v>
      </c>
      <c r="H339" s="16">
        <f t="shared" si="88"/>
        <v>3296.3999999999996</v>
      </c>
      <c r="I339" s="16">
        <f t="shared" si="89"/>
        <v>514.20000000000005</v>
      </c>
      <c r="J339" s="57">
        <f t="shared" si="90"/>
        <v>3810.6</v>
      </c>
      <c r="P339" s="90">
        <v>164.821956</v>
      </c>
      <c r="Q339" s="90">
        <v>25.712426999999998</v>
      </c>
    </row>
    <row r="340" spans="1:17" x14ac:dyDescent="0.3">
      <c r="A340" s="21" t="s">
        <v>665</v>
      </c>
      <c r="B340" s="23" t="s">
        <v>666</v>
      </c>
      <c r="C340" s="14">
        <v>1</v>
      </c>
      <c r="D340" s="24" t="s">
        <v>25</v>
      </c>
      <c r="E340" s="95">
        <f t="shared" si="86"/>
        <v>57.37</v>
      </c>
      <c r="F340" s="96">
        <f t="shared" si="87"/>
        <v>1.97</v>
      </c>
      <c r="G340" s="16">
        <f t="shared" si="82"/>
        <v>59.339999999999996</v>
      </c>
      <c r="H340" s="16">
        <f t="shared" si="88"/>
        <v>57.37</v>
      </c>
      <c r="I340" s="16">
        <f t="shared" si="89"/>
        <v>1.97</v>
      </c>
      <c r="J340" s="57">
        <f t="shared" si="90"/>
        <v>59.339999999999996</v>
      </c>
      <c r="P340" s="89">
        <v>57.371430999999994</v>
      </c>
      <c r="Q340" s="89">
        <v>1.9681739999999999</v>
      </c>
    </row>
    <row r="341" spans="1:17" x14ac:dyDescent="0.3">
      <c r="A341" s="12">
        <v>19100</v>
      </c>
      <c r="B341" s="23" t="s">
        <v>667</v>
      </c>
      <c r="C341" s="14">
        <v>1</v>
      </c>
      <c r="D341" s="24" t="s">
        <v>25</v>
      </c>
      <c r="E341" s="95">
        <f t="shared" si="86"/>
        <v>97.72</v>
      </c>
      <c r="F341" s="96">
        <f t="shared" si="87"/>
        <v>25.71</v>
      </c>
      <c r="G341" s="16">
        <f t="shared" si="82"/>
        <v>123.43</v>
      </c>
      <c r="H341" s="16">
        <f t="shared" si="88"/>
        <v>97.72</v>
      </c>
      <c r="I341" s="16">
        <f t="shared" si="89"/>
        <v>25.71</v>
      </c>
      <c r="J341" s="57">
        <f t="shared" si="90"/>
        <v>123.43</v>
      </c>
      <c r="P341" s="90">
        <v>97.718997999999999</v>
      </c>
      <c r="Q341" s="90">
        <v>25.712426999999998</v>
      </c>
    </row>
    <row r="342" spans="1:17" x14ac:dyDescent="0.3">
      <c r="A342" s="12">
        <v>19101</v>
      </c>
      <c r="B342" s="23" t="s">
        <v>668</v>
      </c>
      <c r="C342" s="14">
        <v>20</v>
      </c>
      <c r="D342" s="24" t="s">
        <v>25</v>
      </c>
      <c r="E342" s="95">
        <f t="shared" si="86"/>
        <v>75.900000000000006</v>
      </c>
      <c r="F342" s="96">
        <f t="shared" si="87"/>
        <v>25.71</v>
      </c>
      <c r="G342" s="16">
        <f t="shared" si="82"/>
        <v>101.61000000000001</v>
      </c>
      <c r="H342" s="16">
        <f t="shared" si="88"/>
        <v>1518</v>
      </c>
      <c r="I342" s="16">
        <f t="shared" si="89"/>
        <v>514.20000000000005</v>
      </c>
      <c r="J342" s="57">
        <f t="shared" si="90"/>
        <v>2032.2000000000003</v>
      </c>
      <c r="P342" s="89">
        <v>75.900863999999999</v>
      </c>
      <c r="Q342" s="89">
        <v>25.712426999999998</v>
      </c>
    </row>
    <row r="343" spans="1:17" x14ac:dyDescent="0.3">
      <c r="A343" s="12">
        <v>19102</v>
      </c>
      <c r="B343" s="23" t="s">
        <v>669</v>
      </c>
      <c r="C343" s="14">
        <v>26</v>
      </c>
      <c r="D343" s="24" t="s">
        <v>25</v>
      </c>
      <c r="E343" s="95">
        <f t="shared" si="86"/>
        <v>452.87</v>
      </c>
      <c r="F343" s="96">
        <f t="shared" si="87"/>
        <v>25.71</v>
      </c>
      <c r="G343" s="16">
        <f t="shared" si="82"/>
        <v>478.58</v>
      </c>
      <c r="H343" s="16">
        <f t="shared" si="88"/>
        <v>11774.62</v>
      </c>
      <c r="I343" s="16">
        <f t="shared" si="89"/>
        <v>668.46</v>
      </c>
      <c r="J343" s="57">
        <f t="shared" si="90"/>
        <v>12443.08</v>
      </c>
      <c r="P343" s="90">
        <v>452.87347299999993</v>
      </c>
      <c r="Q343" s="90">
        <v>25.712426999999998</v>
      </c>
    </row>
    <row r="344" spans="1:17" ht="28.8" x14ac:dyDescent="0.3">
      <c r="A344" s="12">
        <v>19103</v>
      </c>
      <c r="B344" s="23" t="s">
        <v>670</v>
      </c>
      <c r="C344" s="14">
        <v>39</v>
      </c>
      <c r="D344" s="24" t="s">
        <v>25</v>
      </c>
      <c r="E344" s="95">
        <f t="shared" si="86"/>
        <v>235.95</v>
      </c>
      <c r="F344" s="96">
        <f t="shared" si="87"/>
        <v>25.71</v>
      </c>
      <c r="G344" s="16">
        <f t="shared" si="82"/>
        <v>261.65999999999997</v>
      </c>
      <c r="H344" s="16">
        <f t="shared" si="88"/>
        <v>9202.0499999999993</v>
      </c>
      <c r="I344" s="16">
        <f t="shared" si="89"/>
        <v>1002.69</v>
      </c>
      <c r="J344" s="57">
        <f t="shared" si="90"/>
        <v>10204.739999999998</v>
      </c>
      <c r="P344" s="89">
        <v>235.95378299999996</v>
      </c>
      <c r="Q344" s="89">
        <v>25.712426999999998</v>
      </c>
    </row>
    <row r="345" spans="1:17" x14ac:dyDescent="0.3">
      <c r="A345" s="12">
        <v>19104</v>
      </c>
      <c r="B345" s="23" t="s">
        <v>671</v>
      </c>
      <c r="C345" s="14">
        <v>71</v>
      </c>
      <c r="D345" s="24" t="s">
        <v>25</v>
      </c>
      <c r="E345" s="95">
        <f t="shared" si="86"/>
        <v>1704.21</v>
      </c>
      <c r="F345" s="96">
        <f t="shared" si="87"/>
        <v>25.71</v>
      </c>
      <c r="G345" s="16">
        <f t="shared" si="82"/>
        <v>1729.92</v>
      </c>
      <c r="H345" s="16">
        <f t="shared" si="88"/>
        <v>120998.91</v>
      </c>
      <c r="I345" s="16">
        <f t="shared" si="89"/>
        <v>1825.41</v>
      </c>
      <c r="J345" s="57">
        <f t="shared" si="90"/>
        <v>122824.32000000001</v>
      </c>
      <c r="P345" s="90">
        <v>1704.211587</v>
      </c>
      <c r="Q345" s="90">
        <v>25.712426999999998</v>
      </c>
    </row>
    <row r="346" spans="1:17" x14ac:dyDescent="0.3">
      <c r="A346" s="12">
        <v>19105</v>
      </c>
      <c r="B346" s="23" t="s">
        <v>672</v>
      </c>
      <c r="C346" s="14">
        <v>1</v>
      </c>
      <c r="D346" s="24" t="s">
        <v>25</v>
      </c>
      <c r="E346" s="95">
        <f t="shared" si="86"/>
        <v>358.03</v>
      </c>
      <c r="F346" s="96">
        <f t="shared" si="87"/>
        <v>25.71</v>
      </c>
      <c r="G346" s="16">
        <f t="shared" si="82"/>
        <v>383.73999999999995</v>
      </c>
      <c r="H346" s="16">
        <f t="shared" si="88"/>
        <v>358.03</v>
      </c>
      <c r="I346" s="16">
        <f t="shared" si="89"/>
        <v>25.71</v>
      </c>
      <c r="J346" s="57">
        <f t="shared" si="90"/>
        <v>383.73999999999995</v>
      </c>
      <c r="P346" s="89">
        <v>358.03103699999997</v>
      </c>
      <c r="Q346" s="89">
        <v>25.712426999999998</v>
      </c>
    </row>
    <row r="347" spans="1:17" x14ac:dyDescent="0.3">
      <c r="A347" s="12">
        <v>19106</v>
      </c>
      <c r="B347" s="23" t="s">
        <v>673</v>
      </c>
      <c r="C347" s="14">
        <v>1</v>
      </c>
      <c r="D347" s="24" t="s">
        <v>51</v>
      </c>
      <c r="E347" s="95">
        <f t="shared" si="86"/>
        <v>3.58</v>
      </c>
      <c r="F347" s="96">
        <f t="shared" si="87"/>
        <v>3.95</v>
      </c>
      <c r="G347" s="16">
        <f t="shared" si="82"/>
        <v>7.53</v>
      </c>
      <c r="H347" s="16">
        <f t="shared" si="88"/>
        <v>3.58</v>
      </c>
      <c r="I347" s="16">
        <f t="shared" si="89"/>
        <v>3.95</v>
      </c>
      <c r="J347" s="57">
        <f t="shared" si="90"/>
        <v>7.53</v>
      </c>
      <c r="P347" s="90">
        <v>3.5830859999999998</v>
      </c>
      <c r="Q347" s="90">
        <v>3.9531700000000001</v>
      </c>
    </row>
    <row r="348" spans="1:17" x14ac:dyDescent="0.3">
      <c r="A348" s="12">
        <v>19107</v>
      </c>
      <c r="B348" s="23" t="s">
        <v>674</v>
      </c>
      <c r="C348" s="14">
        <v>1</v>
      </c>
      <c r="D348" s="24" t="s">
        <v>25</v>
      </c>
      <c r="E348" s="95">
        <f t="shared" si="86"/>
        <v>3.05</v>
      </c>
      <c r="F348" s="96">
        <f t="shared" si="87"/>
        <v>46.74</v>
      </c>
      <c r="G348" s="16">
        <f t="shared" si="82"/>
        <v>49.79</v>
      </c>
      <c r="H348" s="16">
        <f t="shared" si="88"/>
        <v>3.05</v>
      </c>
      <c r="I348" s="16">
        <f t="shared" si="89"/>
        <v>46.74</v>
      </c>
      <c r="J348" s="57">
        <f t="shared" si="90"/>
        <v>49.79</v>
      </c>
      <c r="P348" s="89">
        <v>3.0531929999999998</v>
      </c>
      <c r="Q348" s="89">
        <v>46.739926999999994</v>
      </c>
    </row>
    <row r="349" spans="1:17" x14ac:dyDescent="0.3">
      <c r="A349" s="12">
        <v>19108</v>
      </c>
      <c r="B349" s="23" t="s">
        <v>675</v>
      </c>
      <c r="C349" s="14">
        <v>1</v>
      </c>
      <c r="D349" s="24" t="s">
        <v>25</v>
      </c>
      <c r="E349" s="95">
        <f t="shared" si="86"/>
        <v>144.66999999999999</v>
      </c>
      <c r="F349" s="96">
        <f t="shared" si="87"/>
        <v>210.34</v>
      </c>
      <c r="G349" s="16">
        <f t="shared" si="82"/>
        <v>355.01</v>
      </c>
      <c r="H349" s="16">
        <f t="shared" si="88"/>
        <v>144.66999999999999</v>
      </c>
      <c r="I349" s="16">
        <f t="shared" si="89"/>
        <v>210.34</v>
      </c>
      <c r="J349" s="57">
        <f t="shared" si="90"/>
        <v>355.01</v>
      </c>
      <c r="P349" s="90">
        <v>144.66919999999999</v>
      </c>
      <c r="Q349" s="90">
        <v>210.342288</v>
      </c>
    </row>
    <row r="350" spans="1:17" x14ac:dyDescent="0.3">
      <c r="A350" s="12">
        <v>19109</v>
      </c>
      <c r="B350" s="23" t="s">
        <v>676</v>
      </c>
      <c r="C350" s="14">
        <v>1</v>
      </c>
      <c r="D350" s="24" t="s">
        <v>25</v>
      </c>
      <c r="E350" s="95">
        <f t="shared" si="86"/>
        <v>380.77</v>
      </c>
      <c r="F350" s="96">
        <f t="shared" si="87"/>
        <v>101.28</v>
      </c>
      <c r="G350" s="16">
        <f t="shared" si="82"/>
        <v>482.04999999999995</v>
      </c>
      <c r="H350" s="16">
        <f t="shared" si="88"/>
        <v>380.77</v>
      </c>
      <c r="I350" s="16">
        <f t="shared" si="89"/>
        <v>101.28</v>
      </c>
      <c r="J350" s="57">
        <f t="shared" si="90"/>
        <v>482.04999999999995</v>
      </c>
      <c r="P350" s="89">
        <v>380.77438099999995</v>
      </c>
      <c r="Q350" s="89">
        <v>101.27685099999999</v>
      </c>
    </row>
    <row r="351" spans="1:17" x14ac:dyDescent="0.3">
      <c r="A351" s="12">
        <v>19110</v>
      </c>
      <c r="B351" s="23" t="s">
        <v>677</v>
      </c>
      <c r="C351" s="14">
        <v>1</v>
      </c>
      <c r="D351" s="24" t="s">
        <v>25</v>
      </c>
      <c r="E351" s="95">
        <f t="shared" si="86"/>
        <v>98.39</v>
      </c>
      <c r="F351" s="96">
        <f t="shared" si="87"/>
        <v>273.08999999999997</v>
      </c>
      <c r="G351" s="16">
        <f t="shared" si="82"/>
        <v>371.47999999999996</v>
      </c>
      <c r="H351" s="16">
        <f t="shared" si="88"/>
        <v>98.39</v>
      </c>
      <c r="I351" s="16">
        <f t="shared" si="89"/>
        <v>273.08999999999997</v>
      </c>
      <c r="J351" s="57">
        <f t="shared" si="90"/>
        <v>371.47999999999996</v>
      </c>
      <c r="P351" s="90">
        <v>98.391878000000005</v>
      </c>
      <c r="Q351" s="90">
        <v>273.088348</v>
      </c>
    </row>
    <row r="352" spans="1:17" x14ac:dyDescent="0.3">
      <c r="A352" s="12">
        <v>19111</v>
      </c>
      <c r="B352" s="23" t="s">
        <v>678</v>
      </c>
      <c r="C352" s="14">
        <v>1</v>
      </c>
      <c r="D352" s="24" t="s">
        <v>25</v>
      </c>
      <c r="E352" s="95">
        <f t="shared" si="86"/>
        <v>447.2</v>
      </c>
      <c r="F352" s="96">
        <f t="shared" si="87"/>
        <v>93.49</v>
      </c>
      <c r="G352" s="16">
        <f t="shared" si="82"/>
        <v>540.68999999999994</v>
      </c>
      <c r="H352" s="16">
        <f t="shared" si="88"/>
        <v>447.2</v>
      </c>
      <c r="I352" s="16">
        <f t="shared" si="89"/>
        <v>93.49</v>
      </c>
      <c r="J352" s="57">
        <f t="shared" si="90"/>
        <v>540.68999999999994</v>
      </c>
      <c r="P352" s="89">
        <v>447.19604799999996</v>
      </c>
      <c r="Q352" s="89">
        <v>93.488264999999998</v>
      </c>
    </row>
    <row r="353" spans="1:17" x14ac:dyDescent="0.3">
      <c r="A353" s="12">
        <v>19112</v>
      </c>
      <c r="B353" s="23" t="s">
        <v>679</v>
      </c>
      <c r="C353" s="14">
        <v>1</v>
      </c>
      <c r="D353" s="24" t="s">
        <v>25</v>
      </c>
      <c r="E353" s="95">
        <f t="shared" si="86"/>
        <v>1044.19</v>
      </c>
      <c r="F353" s="96">
        <f t="shared" si="87"/>
        <v>285.12</v>
      </c>
      <c r="G353" s="16">
        <f t="shared" si="82"/>
        <v>1329.31</v>
      </c>
      <c r="H353" s="16">
        <f t="shared" si="88"/>
        <v>1044.19</v>
      </c>
      <c r="I353" s="16">
        <f t="shared" si="89"/>
        <v>285.12</v>
      </c>
      <c r="J353" s="57">
        <f t="shared" si="90"/>
        <v>1329.31</v>
      </c>
      <c r="P353" s="90">
        <v>1044.192006</v>
      </c>
      <c r="Q353" s="90">
        <v>285.12448899999998</v>
      </c>
    </row>
    <row r="354" spans="1:17" x14ac:dyDescent="0.3">
      <c r="A354" s="12">
        <v>19113</v>
      </c>
      <c r="B354" s="23" t="s">
        <v>680</v>
      </c>
      <c r="C354" s="14">
        <v>1</v>
      </c>
      <c r="D354" s="24" t="s">
        <v>25</v>
      </c>
      <c r="E354" s="95">
        <f t="shared" si="86"/>
        <v>1584.36</v>
      </c>
      <c r="F354" s="96">
        <f t="shared" si="87"/>
        <v>285.12</v>
      </c>
      <c r="G354" s="16">
        <f t="shared" si="82"/>
        <v>1869.48</v>
      </c>
      <c r="H354" s="16">
        <f t="shared" si="88"/>
        <v>1584.36</v>
      </c>
      <c r="I354" s="16">
        <f t="shared" si="89"/>
        <v>285.12</v>
      </c>
      <c r="J354" s="57">
        <f t="shared" si="90"/>
        <v>1869.48</v>
      </c>
      <c r="P354" s="89">
        <v>1584.3632479999999</v>
      </c>
      <c r="Q354" s="89">
        <v>285.12448899999998</v>
      </c>
    </row>
    <row r="355" spans="1:17" x14ac:dyDescent="0.3">
      <c r="A355" s="12">
        <v>19114</v>
      </c>
      <c r="B355" s="23" t="s">
        <v>681</v>
      </c>
      <c r="C355" s="14">
        <v>1</v>
      </c>
      <c r="D355" s="24" t="s">
        <v>25</v>
      </c>
      <c r="E355" s="95">
        <f t="shared" si="86"/>
        <v>1711.12</v>
      </c>
      <c r="F355" s="96">
        <f t="shared" si="87"/>
        <v>285.12</v>
      </c>
      <c r="G355" s="16">
        <f t="shared" si="82"/>
        <v>1996.2399999999998</v>
      </c>
      <c r="H355" s="16">
        <f t="shared" si="88"/>
        <v>1711.12</v>
      </c>
      <c r="I355" s="16">
        <f t="shared" si="89"/>
        <v>285.12</v>
      </c>
      <c r="J355" s="57">
        <f t="shared" si="90"/>
        <v>1996.2399999999998</v>
      </c>
      <c r="P355" s="90">
        <v>1711.1170179999999</v>
      </c>
      <c r="Q355" s="90">
        <v>285.12448899999998</v>
      </c>
    </row>
    <row r="356" spans="1:17" x14ac:dyDescent="0.3">
      <c r="A356" s="12">
        <v>19115</v>
      </c>
      <c r="B356" s="23" t="s">
        <v>682</v>
      </c>
      <c r="C356" s="14">
        <v>1</v>
      </c>
      <c r="D356" s="24" t="s">
        <v>25</v>
      </c>
      <c r="E356" s="95">
        <f t="shared" si="86"/>
        <v>23.34</v>
      </c>
      <c r="F356" s="96">
        <f t="shared" si="87"/>
        <v>42.07</v>
      </c>
      <c r="G356" s="16">
        <f t="shared" si="82"/>
        <v>65.41</v>
      </c>
      <c r="H356" s="16">
        <f t="shared" si="88"/>
        <v>23.34</v>
      </c>
      <c r="I356" s="16">
        <f t="shared" si="89"/>
        <v>42.07</v>
      </c>
      <c r="J356" s="57">
        <f t="shared" si="90"/>
        <v>65.41</v>
      </c>
      <c r="P356" s="89">
        <v>23.340525</v>
      </c>
      <c r="Q356" s="89">
        <v>42.071821999999997</v>
      </c>
    </row>
    <row r="357" spans="1:17" x14ac:dyDescent="0.3">
      <c r="A357" s="12">
        <v>19116</v>
      </c>
      <c r="B357" s="23" t="s">
        <v>683</v>
      </c>
      <c r="C357" s="14">
        <v>1</v>
      </c>
      <c r="D357" s="24" t="s">
        <v>51</v>
      </c>
      <c r="E357" s="95">
        <f t="shared" si="86"/>
        <v>7.92</v>
      </c>
      <c r="F357" s="96">
        <f t="shared" si="87"/>
        <v>4.29</v>
      </c>
      <c r="G357" s="16">
        <f t="shared" si="82"/>
        <v>12.21</v>
      </c>
      <c r="H357" s="16">
        <f t="shared" si="88"/>
        <v>7.92</v>
      </c>
      <c r="I357" s="16">
        <f t="shared" si="89"/>
        <v>4.29</v>
      </c>
      <c r="J357" s="57">
        <f t="shared" si="90"/>
        <v>12.21</v>
      </c>
      <c r="P357" s="90">
        <v>7.9231619999999996</v>
      </c>
      <c r="Q357" s="90">
        <v>4.2896099999999997</v>
      </c>
    </row>
    <row r="358" spans="1:17" x14ac:dyDescent="0.3">
      <c r="A358" s="12">
        <v>19117</v>
      </c>
      <c r="B358" s="23" t="s">
        <v>684</v>
      </c>
      <c r="C358" s="14">
        <v>1</v>
      </c>
      <c r="D358" s="24" t="s">
        <v>51</v>
      </c>
      <c r="E358" s="95">
        <f t="shared" si="86"/>
        <v>15.05</v>
      </c>
      <c r="F358" s="96">
        <f t="shared" si="87"/>
        <v>4.8600000000000003</v>
      </c>
      <c r="G358" s="16">
        <f t="shared" si="82"/>
        <v>19.91</v>
      </c>
      <c r="H358" s="16">
        <f t="shared" si="88"/>
        <v>15.05</v>
      </c>
      <c r="I358" s="16">
        <f t="shared" si="89"/>
        <v>4.8600000000000003</v>
      </c>
      <c r="J358" s="57">
        <f t="shared" si="90"/>
        <v>19.91</v>
      </c>
      <c r="P358" s="89">
        <v>15.047279</v>
      </c>
      <c r="Q358" s="89">
        <v>4.8615579999999996</v>
      </c>
    </row>
    <row r="359" spans="1:17" x14ac:dyDescent="0.3">
      <c r="A359" s="12">
        <v>19118</v>
      </c>
      <c r="B359" s="23" t="s">
        <v>685</v>
      </c>
      <c r="C359" s="14">
        <v>1</v>
      </c>
      <c r="D359" s="24" t="s">
        <v>51</v>
      </c>
      <c r="E359" s="95">
        <f t="shared" si="86"/>
        <v>22.03</v>
      </c>
      <c r="F359" s="96">
        <f t="shared" si="87"/>
        <v>5.34</v>
      </c>
      <c r="G359" s="16">
        <f t="shared" si="82"/>
        <v>27.37</v>
      </c>
      <c r="H359" s="16">
        <f t="shared" si="88"/>
        <v>22.03</v>
      </c>
      <c r="I359" s="16">
        <f t="shared" si="89"/>
        <v>5.34</v>
      </c>
      <c r="J359" s="57">
        <f t="shared" si="90"/>
        <v>27.37</v>
      </c>
      <c r="P359" s="90">
        <v>22.028409</v>
      </c>
      <c r="Q359" s="90">
        <v>5.3409849999999999</v>
      </c>
    </row>
    <row r="360" spans="1:17" x14ac:dyDescent="0.3">
      <c r="A360" s="12">
        <v>19119</v>
      </c>
      <c r="B360" s="23" t="s">
        <v>686</v>
      </c>
      <c r="C360" s="14">
        <v>1</v>
      </c>
      <c r="D360" s="24" t="s">
        <v>25</v>
      </c>
      <c r="E360" s="95">
        <f t="shared" si="86"/>
        <v>0</v>
      </c>
      <c r="F360" s="96">
        <f t="shared" si="87"/>
        <v>140.22999999999999</v>
      </c>
      <c r="G360" s="16">
        <f t="shared" si="82"/>
        <v>140.22999999999999</v>
      </c>
      <c r="H360" s="16">
        <f t="shared" si="88"/>
        <v>0</v>
      </c>
      <c r="I360" s="16">
        <f t="shared" si="89"/>
        <v>140.22999999999999</v>
      </c>
      <c r="J360" s="57">
        <f t="shared" si="90"/>
        <v>140.22999999999999</v>
      </c>
      <c r="P360" s="89">
        <v>0</v>
      </c>
      <c r="Q360" s="89">
        <v>140.22819199999998</v>
      </c>
    </row>
    <row r="361" spans="1:17" x14ac:dyDescent="0.3">
      <c r="A361" s="12">
        <v>19120</v>
      </c>
      <c r="B361" s="23" t="s">
        <v>687</v>
      </c>
      <c r="C361" s="14">
        <v>1</v>
      </c>
      <c r="D361" s="24" t="s">
        <v>25</v>
      </c>
      <c r="E361" s="95">
        <f t="shared" si="86"/>
        <v>96.2</v>
      </c>
      <c r="F361" s="96">
        <f t="shared" si="87"/>
        <v>683.14</v>
      </c>
      <c r="G361" s="16">
        <f t="shared" si="82"/>
        <v>779.34</v>
      </c>
      <c r="H361" s="16">
        <f t="shared" si="88"/>
        <v>96.2</v>
      </c>
      <c r="I361" s="16">
        <f t="shared" si="89"/>
        <v>683.14</v>
      </c>
      <c r="J361" s="57">
        <f t="shared" si="90"/>
        <v>779.34</v>
      </c>
      <c r="P361" s="90">
        <v>96.196607</v>
      </c>
      <c r="Q361" s="90">
        <v>683.14142000000004</v>
      </c>
    </row>
    <row r="362" spans="1:17" x14ac:dyDescent="0.3">
      <c r="A362" s="12">
        <v>19121</v>
      </c>
      <c r="B362" s="23" t="s">
        <v>688</v>
      </c>
      <c r="C362" s="14">
        <v>1</v>
      </c>
      <c r="D362" s="24" t="s">
        <v>25</v>
      </c>
      <c r="E362" s="95">
        <f t="shared" si="86"/>
        <v>96.2</v>
      </c>
      <c r="F362" s="96">
        <f t="shared" si="87"/>
        <v>726.2</v>
      </c>
      <c r="G362" s="16">
        <f t="shared" si="82"/>
        <v>822.40000000000009</v>
      </c>
      <c r="H362" s="16">
        <f t="shared" si="88"/>
        <v>96.2</v>
      </c>
      <c r="I362" s="16">
        <f t="shared" si="89"/>
        <v>726.2</v>
      </c>
      <c r="J362" s="57">
        <f t="shared" si="90"/>
        <v>822.40000000000009</v>
      </c>
      <c r="P362" s="89">
        <v>96.196607</v>
      </c>
      <c r="Q362" s="89">
        <v>726.19732899999997</v>
      </c>
    </row>
    <row r="363" spans="1:17" x14ac:dyDescent="0.3">
      <c r="A363" s="12">
        <v>19122</v>
      </c>
      <c r="B363" s="23" t="s">
        <v>689</v>
      </c>
      <c r="C363" s="14">
        <v>575</v>
      </c>
      <c r="D363" s="24" t="s">
        <v>51</v>
      </c>
      <c r="E363" s="95">
        <f t="shared" si="86"/>
        <v>0</v>
      </c>
      <c r="F363" s="96">
        <f t="shared" si="87"/>
        <v>7.01</v>
      </c>
      <c r="G363" s="16">
        <f t="shared" si="82"/>
        <v>7.01</v>
      </c>
      <c r="H363" s="16">
        <f t="shared" si="88"/>
        <v>0</v>
      </c>
      <c r="I363" s="16">
        <f t="shared" si="89"/>
        <v>4030.75</v>
      </c>
      <c r="J363" s="57">
        <f t="shared" si="90"/>
        <v>4030.75</v>
      </c>
      <c r="P363" s="90">
        <v>0</v>
      </c>
      <c r="Q363" s="90">
        <v>7.0063629999999995</v>
      </c>
    </row>
    <row r="364" spans="1:17" x14ac:dyDescent="0.3">
      <c r="A364" s="12">
        <v>19123</v>
      </c>
      <c r="B364" s="23" t="s">
        <v>690</v>
      </c>
      <c r="C364" s="14">
        <v>53</v>
      </c>
      <c r="D364" s="24" t="s">
        <v>25</v>
      </c>
      <c r="E364" s="95">
        <f t="shared" si="86"/>
        <v>0</v>
      </c>
      <c r="F364" s="96">
        <f t="shared" si="87"/>
        <v>13.47</v>
      </c>
      <c r="G364" s="16">
        <f t="shared" si="82"/>
        <v>13.47</v>
      </c>
      <c r="H364" s="16">
        <f t="shared" si="88"/>
        <v>0</v>
      </c>
      <c r="I364" s="16">
        <f t="shared" si="89"/>
        <v>713.91000000000008</v>
      </c>
      <c r="J364" s="57">
        <f t="shared" si="90"/>
        <v>713.91000000000008</v>
      </c>
      <c r="P364" s="89">
        <v>0</v>
      </c>
      <c r="Q364" s="89">
        <v>13.466011</v>
      </c>
    </row>
    <row r="365" spans="1:17" x14ac:dyDescent="0.3">
      <c r="A365" s="12">
        <v>19124</v>
      </c>
      <c r="B365" s="23" t="s">
        <v>691</v>
      </c>
      <c r="C365" s="14">
        <v>96</v>
      </c>
      <c r="D365" s="24" t="s">
        <v>25</v>
      </c>
      <c r="E365" s="95">
        <f t="shared" si="86"/>
        <v>37.15</v>
      </c>
      <c r="F365" s="96">
        <f t="shared" si="87"/>
        <v>16.36</v>
      </c>
      <c r="G365" s="16">
        <f t="shared" si="82"/>
        <v>53.51</v>
      </c>
      <c r="H365" s="16">
        <f t="shared" si="88"/>
        <v>3566.3999999999996</v>
      </c>
      <c r="I365" s="16">
        <f t="shared" si="89"/>
        <v>1570.56</v>
      </c>
      <c r="J365" s="57">
        <f t="shared" si="90"/>
        <v>5136.96</v>
      </c>
      <c r="P365" s="90">
        <v>37.151387</v>
      </c>
      <c r="Q365" s="90">
        <v>16.359394999999999</v>
      </c>
    </row>
    <row r="366" spans="1:17" x14ac:dyDescent="0.3">
      <c r="A366" s="12">
        <v>19125</v>
      </c>
      <c r="B366" s="23" t="s">
        <v>692</v>
      </c>
      <c r="C366" s="14">
        <v>1</v>
      </c>
      <c r="D366" s="24" t="s">
        <v>25</v>
      </c>
      <c r="E366" s="95">
        <f t="shared" si="86"/>
        <v>33.409999999999997</v>
      </c>
      <c r="F366" s="96">
        <f t="shared" si="87"/>
        <v>23.65</v>
      </c>
      <c r="G366" s="16">
        <f t="shared" si="82"/>
        <v>57.059999999999995</v>
      </c>
      <c r="H366" s="16">
        <f t="shared" si="88"/>
        <v>33.409999999999997</v>
      </c>
      <c r="I366" s="16">
        <f t="shared" si="89"/>
        <v>23.65</v>
      </c>
      <c r="J366" s="57">
        <f t="shared" si="90"/>
        <v>57.059999999999995</v>
      </c>
      <c r="P366" s="89">
        <v>33.408491999999995</v>
      </c>
      <c r="Q366" s="89">
        <v>23.651731999999999</v>
      </c>
    </row>
    <row r="367" spans="1:17" x14ac:dyDescent="0.3">
      <c r="A367" s="12">
        <v>19126</v>
      </c>
      <c r="B367" s="23" t="s">
        <v>693</v>
      </c>
      <c r="C367" s="14">
        <v>1</v>
      </c>
      <c r="D367" s="24" t="s">
        <v>25</v>
      </c>
      <c r="E367" s="95">
        <f t="shared" si="86"/>
        <v>36.770000000000003</v>
      </c>
      <c r="F367" s="96">
        <f t="shared" si="87"/>
        <v>12.61</v>
      </c>
      <c r="G367" s="16">
        <f t="shared" si="82"/>
        <v>49.38</v>
      </c>
      <c r="H367" s="16">
        <f t="shared" si="88"/>
        <v>36.770000000000003</v>
      </c>
      <c r="I367" s="16">
        <f t="shared" si="89"/>
        <v>12.61</v>
      </c>
      <c r="J367" s="57">
        <f t="shared" si="90"/>
        <v>49.38</v>
      </c>
      <c r="P367" s="90">
        <v>36.772891999999999</v>
      </c>
      <c r="Q367" s="90">
        <v>12.608089</v>
      </c>
    </row>
    <row r="368" spans="1:17" x14ac:dyDescent="0.3">
      <c r="A368" s="12">
        <v>19127</v>
      </c>
      <c r="B368" s="23" t="s">
        <v>694</v>
      </c>
      <c r="C368" s="14">
        <v>26</v>
      </c>
      <c r="D368" s="24" t="s">
        <v>25</v>
      </c>
      <c r="E368" s="95">
        <f t="shared" si="86"/>
        <v>78.92</v>
      </c>
      <c r="F368" s="96">
        <f t="shared" si="87"/>
        <v>32.72</v>
      </c>
      <c r="G368" s="16">
        <f t="shared" si="82"/>
        <v>111.64</v>
      </c>
      <c r="H368" s="16">
        <f t="shared" si="88"/>
        <v>2051.92</v>
      </c>
      <c r="I368" s="16">
        <f t="shared" si="89"/>
        <v>850.72</v>
      </c>
      <c r="J368" s="57">
        <f t="shared" si="90"/>
        <v>2902.64</v>
      </c>
      <c r="P368" s="89">
        <v>78.920412999999996</v>
      </c>
      <c r="Q368" s="89">
        <v>32.718789999999998</v>
      </c>
    </row>
    <row r="369" spans="1:17" x14ac:dyDescent="0.3">
      <c r="A369" s="12">
        <v>19128</v>
      </c>
      <c r="B369" s="23" t="s">
        <v>695</v>
      </c>
      <c r="C369" s="14">
        <v>1</v>
      </c>
      <c r="D369" s="24" t="s">
        <v>25</v>
      </c>
      <c r="E369" s="95">
        <f t="shared" si="86"/>
        <v>546.48</v>
      </c>
      <c r="F369" s="96">
        <f t="shared" si="87"/>
        <v>32.72</v>
      </c>
      <c r="G369" s="16">
        <f t="shared" si="82"/>
        <v>579.20000000000005</v>
      </c>
      <c r="H369" s="16">
        <f t="shared" si="88"/>
        <v>546.48</v>
      </c>
      <c r="I369" s="16">
        <f t="shared" si="89"/>
        <v>32.72</v>
      </c>
      <c r="J369" s="57">
        <f t="shared" si="90"/>
        <v>579.20000000000005</v>
      </c>
      <c r="P369" s="90">
        <v>546.47949200000005</v>
      </c>
      <c r="Q369" s="90">
        <v>32.718789999999998</v>
      </c>
    </row>
    <row r="370" spans="1:17" x14ac:dyDescent="0.3">
      <c r="A370" s="12">
        <v>19129</v>
      </c>
      <c r="B370" s="23" t="s">
        <v>696</v>
      </c>
      <c r="C370" s="14">
        <v>1</v>
      </c>
      <c r="D370" s="24" t="s">
        <v>51</v>
      </c>
      <c r="E370" s="95">
        <f t="shared" si="86"/>
        <v>7.81</v>
      </c>
      <c r="F370" s="96">
        <f t="shared" si="87"/>
        <v>3.95</v>
      </c>
      <c r="G370" s="16">
        <f t="shared" ref="G370:G371" si="91">SUM(E370:F370)</f>
        <v>11.76</v>
      </c>
      <c r="H370" s="16">
        <f t="shared" si="88"/>
        <v>7.81</v>
      </c>
      <c r="I370" s="16">
        <f t="shared" si="89"/>
        <v>3.95</v>
      </c>
      <c r="J370" s="57">
        <f t="shared" si="90"/>
        <v>11.76</v>
      </c>
      <c r="P370" s="89">
        <v>7.8138189999999987</v>
      </c>
      <c r="Q370" s="89">
        <v>3.9531700000000001</v>
      </c>
    </row>
    <row r="371" spans="1:17" x14ac:dyDescent="0.3">
      <c r="A371" s="12">
        <v>19130</v>
      </c>
      <c r="B371" s="23" t="s">
        <v>697</v>
      </c>
      <c r="C371" s="14">
        <v>1</v>
      </c>
      <c r="D371" s="24" t="s">
        <v>51</v>
      </c>
      <c r="E371" s="95">
        <f t="shared" si="86"/>
        <v>3.07</v>
      </c>
      <c r="F371" s="96">
        <f t="shared" si="87"/>
        <v>3.95</v>
      </c>
      <c r="G371" s="16">
        <f t="shared" si="91"/>
        <v>7.02</v>
      </c>
      <c r="H371" s="16">
        <f t="shared" si="88"/>
        <v>3.07</v>
      </c>
      <c r="I371" s="16">
        <f t="shared" si="89"/>
        <v>3.95</v>
      </c>
      <c r="J371" s="57">
        <f t="shared" si="90"/>
        <v>7.02</v>
      </c>
      <c r="P371" s="90">
        <v>3.0700149999999997</v>
      </c>
      <c r="Q371" s="90">
        <v>3.9531700000000001</v>
      </c>
    </row>
    <row r="372" spans="1:17" x14ac:dyDescent="0.3">
      <c r="A372" s="25">
        <v>20</v>
      </c>
      <c r="B372" s="26" t="s">
        <v>698</v>
      </c>
      <c r="C372" s="9"/>
      <c r="D372" s="9"/>
      <c r="E372" s="95">
        <f t="shared" si="86"/>
        <v>0</v>
      </c>
      <c r="F372" s="96">
        <f t="shared" si="87"/>
        <v>0</v>
      </c>
      <c r="G372" s="11">
        <f t="shared" ref="G372:I372" si="92">SUBTOTAL(109,G373:G395)</f>
        <v>6631.6400000000012</v>
      </c>
      <c r="H372" s="11">
        <f t="shared" si="92"/>
        <v>65632.08</v>
      </c>
      <c r="I372" s="11">
        <f t="shared" si="92"/>
        <v>22477.229999999996</v>
      </c>
      <c r="J372" s="56">
        <f>SUBTOTAL(109,J373:J395)</f>
        <v>88109.31</v>
      </c>
      <c r="P372" s="86"/>
      <c r="Q372" s="86"/>
    </row>
    <row r="373" spans="1:17" x14ac:dyDescent="0.3">
      <c r="A373" s="27" t="s">
        <v>699</v>
      </c>
      <c r="B373" s="13" t="s">
        <v>700</v>
      </c>
      <c r="C373" s="14">
        <v>1</v>
      </c>
      <c r="D373" s="15" t="s">
        <v>85</v>
      </c>
      <c r="E373" s="95">
        <f t="shared" si="86"/>
        <v>30.15</v>
      </c>
      <c r="F373" s="96">
        <f t="shared" si="87"/>
        <v>22.15</v>
      </c>
      <c r="G373" s="16">
        <f t="shared" ref="G373:G395" si="93">SUM(E373:F373)</f>
        <v>52.3</v>
      </c>
      <c r="H373" s="16">
        <f t="shared" ref="H373:H395" si="94">C373*E373</f>
        <v>30.15</v>
      </c>
      <c r="I373" s="16">
        <f t="shared" ref="I373:I395" si="95">C373*F373</f>
        <v>22.15</v>
      </c>
      <c r="J373" s="57">
        <f t="shared" ref="J373:J395" si="96">SUM(E373:F373)*C373</f>
        <v>52.3</v>
      </c>
      <c r="P373" s="97">
        <v>30.153434999999998</v>
      </c>
      <c r="Q373" s="98">
        <v>22.146162999999998</v>
      </c>
    </row>
    <row r="374" spans="1:17" x14ac:dyDescent="0.3">
      <c r="A374" s="27" t="s">
        <v>701</v>
      </c>
      <c r="B374" s="13" t="s">
        <v>702</v>
      </c>
      <c r="C374" s="14">
        <v>1</v>
      </c>
      <c r="D374" s="15" t="s">
        <v>85</v>
      </c>
      <c r="E374" s="95">
        <f t="shared" si="86"/>
        <v>32.049999999999997</v>
      </c>
      <c r="F374" s="96">
        <f t="shared" si="87"/>
        <v>22.15</v>
      </c>
      <c r="G374" s="16">
        <f t="shared" si="93"/>
        <v>54.199999999999996</v>
      </c>
      <c r="H374" s="16">
        <f t="shared" si="94"/>
        <v>32.049999999999997</v>
      </c>
      <c r="I374" s="16">
        <f t="shared" si="95"/>
        <v>22.15</v>
      </c>
      <c r="J374" s="57">
        <f t="shared" si="96"/>
        <v>54.199999999999996</v>
      </c>
      <c r="P374" s="97">
        <v>32.045909999999999</v>
      </c>
      <c r="Q374" s="98">
        <v>22.146162999999998</v>
      </c>
    </row>
    <row r="375" spans="1:17" x14ac:dyDescent="0.3">
      <c r="A375" s="27" t="s">
        <v>703</v>
      </c>
      <c r="B375" s="13" t="s">
        <v>704</v>
      </c>
      <c r="C375" s="14">
        <v>1</v>
      </c>
      <c r="D375" s="15" t="s">
        <v>85</v>
      </c>
      <c r="E375" s="95">
        <f t="shared" si="86"/>
        <v>113.31</v>
      </c>
      <c r="F375" s="96">
        <f t="shared" si="87"/>
        <v>22.15</v>
      </c>
      <c r="G375" s="16">
        <f t="shared" si="93"/>
        <v>135.46</v>
      </c>
      <c r="H375" s="16">
        <f t="shared" si="94"/>
        <v>113.31</v>
      </c>
      <c r="I375" s="16">
        <f t="shared" si="95"/>
        <v>22.15</v>
      </c>
      <c r="J375" s="57">
        <f t="shared" si="96"/>
        <v>135.46</v>
      </c>
      <c r="P375" s="97">
        <v>113.31299199999999</v>
      </c>
      <c r="Q375" s="98">
        <v>22.146162999999998</v>
      </c>
    </row>
    <row r="376" spans="1:17" x14ac:dyDescent="0.3">
      <c r="A376" s="27" t="s">
        <v>705</v>
      </c>
      <c r="B376" s="13" t="s">
        <v>706</v>
      </c>
      <c r="C376" s="14">
        <v>1</v>
      </c>
      <c r="D376" s="15" t="s">
        <v>85</v>
      </c>
      <c r="E376" s="95">
        <f t="shared" si="86"/>
        <v>168.38</v>
      </c>
      <c r="F376" s="96">
        <f t="shared" si="87"/>
        <v>34.86</v>
      </c>
      <c r="G376" s="16">
        <f t="shared" si="93"/>
        <v>203.24</v>
      </c>
      <c r="H376" s="16">
        <f t="shared" si="94"/>
        <v>168.38</v>
      </c>
      <c r="I376" s="16">
        <f t="shared" si="95"/>
        <v>34.86</v>
      </c>
      <c r="J376" s="57">
        <f t="shared" si="96"/>
        <v>203.24</v>
      </c>
      <c r="P376" s="97">
        <v>168.37980899999999</v>
      </c>
      <c r="Q376" s="98">
        <v>34.863595000000004</v>
      </c>
    </row>
    <row r="377" spans="1:17" x14ac:dyDescent="0.3">
      <c r="A377" s="27" t="s">
        <v>707</v>
      </c>
      <c r="B377" s="13" t="s">
        <v>708</v>
      </c>
      <c r="C377" s="14">
        <v>1</v>
      </c>
      <c r="D377" s="15" t="s">
        <v>85</v>
      </c>
      <c r="E377" s="95">
        <f t="shared" si="86"/>
        <v>70.239999999999995</v>
      </c>
      <c r="F377" s="96">
        <f t="shared" si="87"/>
        <v>22.15</v>
      </c>
      <c r="G377" s="16">
        <f t="shared" si="93"/>
        <v>92.389999999999986</v>
      </c>
      <c r="H377" s="16">
        <f t="shared" si="94"/>
        <v>70.239999999999995</v>
      </c>
      <c r="I377" s="16">
        <f t="shared" si="95"/>
        <v>22.15</v>
      </c>
      <c r="J377" s="57">
        <f t="shared" si="96"/>
        <v>92.389999999999986</v>
      </c>
      <c r="P377" s="97">
        <v>70.240261000000004</v>
      </c>
      <c r="Q377" s="98">
        <v>22.146162999999998</v>
      </c>
    </row>
    <row r="378" spans="1:17" x14ac:dyDescent="0.3">
      <c r="A378" s="27" t="s">
        <v>709</v>
      </c>
      <c r="B378" s="13" t="s">
        <v>710</v>
      </c>
      <c r="C378" s="14">
        <v>1</v>
      </c>
      <c r="D378" s="15" t="s">
        <v>85</v>
      </c>
      <c r="E378" s="95">
        <f t="shared" si="86"/>
        <v>99.94</v>
      </c>
      <c r="F378" s="96">
        <f t="shared" si="87"/>
        <v>34.86</v>
      </c>
      <c r="G378" s="16">
        <f t="shared" si="93"/>
        <v>134.80000000000001</v>
      </c>
      <c r="H378" s="16">
        <f t="shared" si="94"/>
        <v>99.94</v>
      </c>
      <c r="I378" s="16">
        <f t="shared" si="95"/>
        <v>34.86</v>
      </c>
      <c r="J378" s="57">
        <f t="shared" si="96"/>
        <v>134.80000000000001</v>
      </c>
      <c r="P378" s="97">
        <v>99.93950199999999</v>
      </c>
      <c r="Q378" s="98">
        <v>34.863595000000004</v>
      </c>
    </row>
    <row r="379" spans="1:17" x14ac:dyDescent="0.3">
      <c r="A379" s="27" t="s">
        <v>711</v>
      </c>
      <c r="B379" s="13" t="s">
        <v>712</v>
      </c>
      <c r="C379" s="14">
        <v>1</v>
      </c>
      <c r="D379" s="15" t="s">
        <v>85</v>
      </c>
      <c r="E379" s="95">
        <f t="shared" si="86"/>
        <v>155.87</v>
      </c>
      <c r="F379" s="96">
        <f t="shared" si="87"/>
        <v>34.86</v>
      </c>
      <c r="G379" s="16">
        <f t="shared" si="93"/>
        <v>190.73000000000002</v>
      </c>
      <c r="H379" s="16">
        <f t="shared" si="94"/>
        <v>155.87</v>
      </c>
      <c r="I379" s="16">
        <f t="shared" si="95"/>
        <v>34.86</v>
      </c>
      <c r="J379" s="57">
        <f t="shared" si="96"/>
        <v>190.73000000000002</v>
      </c>
      <c r="P379" s="97">
        <v>155.87265199999999</v>
      </c>
      <c r="Q379" s="98">
        <v>34.863595000000004</v>
      </c>
    </row>
    <row r="380" spans="1:17" x14ac:dyDescent="0.3">
      <c r="A380" s="27" t="s">
        <v>713</v>
      </c>
      <c r="B380" s="13" t="s">
        <v>714</v>
      </c>
      <c r="C380" s="14">
        <v>1</v>
      </c>
      <c r="D380" s="15" t="s">
        <v>85</v>
      </c>
      <c r="E380" s="95">
        <f t="shared" si="86"/>
        <v>181.3</v>
      </c>
      <c r="F380" s="96">
        <f t="shared" si="87"/>
        <v>34.86</v>
      </c>
      <c r="G380" s="16">
        <f t="shared" si="93"/>
        <v>216.16000000000003</v>
      </c>
      <c r="H380" s="16">
        <f t="shared" si="94"/>
        <v>181.3</v>
      </c>
      <c r="I380" s="16">
        <f t="shared" si="95"/>
        <v>34.86</v>
      </c>
      <c r="J380" s="57">
        <f t="shared" si="96"/>
        <v>216.16000000000003</v>
      </c>
      <c r="P380" s="97">
        <v>181.299105</v>
      </c>
      <c r="Q380" s="98">
        <v>34.863595000000004</v>
      </c>
    </row>
    <row r="381" spans="1:17" x14ac:dyDescent="0.3">
      <c r="A381" s="27" t="s">
        <v>715</v>
      </c>
      <c r="B381" s="13" t="s">
        <v>716</v>
      </c>
      <c r="C381" s="14">
        <v>1</v>
      </c>
      <c r="D381" s="15" t="s">
        <v>85</v>
      </c>
      <c r="E381" s="95">
        <f t="shared" si="86"/>
        <v>331.33</v>
      </c>
      <c r="F381" s="96">
        <f t="shared" si="87"/>
        <v>47.18</v>
      </c>
      <c r="G381" s="16">
        <f t="shared" si="93"/>
        <v>378.51</v>
      </c>
      <c r="H381" s="16">
        <f t="shared" si="94"/>
        <v>331.33</v>
      </c>
      <c r="I381" s="16">
        <f t="shared" si="95"/>
        <v>47.18</v>
      </c>
      <c r="J381" s="57">
        <f t="shared" si="96"/>
        <v>378.51</v>
      </c>
      <c r="P381" s="97">
        <v>331.32611200000002</v>
      </c>
      <c r="Q381" s="98">
        <v>47.177298999999998</v>
      </c>
    </row>
    <row r="382" spans="1:17" x14ac:dyDescent="0.3">
      <c r="A382" s="27" t="s">
        <v>717</v>
      </c>
      <c r="B382" s="13" t="s">
        <v>718</v>
      </c>
      <c r="C382" s="14">
        <v>1</v>
      </c>
      <c r="D382" s="15" t="s">
        <v>85</v>
      </c>
      <c r="E382" s="95">
        <f t="shared" si="86"/>
        <v>176.58</v>
      </c>
      <c r="F382" s="96">
        <f t="shared" si="87"/>
        <v>25.01</v>
      </c>
      <c r="G382" s="16">
        <f t="shared" si="93"/>
        <v>201.59</v>
      </c>
      <c r="H382" s="16">
        <f t="shared" si="94"/>
        <v>176.58</v>
      </c>
      <c r="I382" s="16">
        <f t="shared" si="95"/>
        <v>25.01</v>
      </c>
      <c r="J382" s="57">
        <f t="shared" si="96"/>
        <v>201.59</v>
      </c>
      <c r="P382" s="97">
        <v>176.580534</v>
      </c>
      <c r="Q382" s="98">
        <v>25.014313999999999</v>
      </c>
    </row>
    <row r="383" spans="1:17" x14ac:dyDescent="0.3">
      <c r="A383" s="27" t="s">
        <v>719</v>
      </c>
      <c r="B383" s="13" t="s">
        <v>720</v>
      </c>
      <c r="C383" s="14">
        <v>1</v>
      </c>
      <c r="D383" s="15" t="s">
        <v>85</v>
      </c>
      <c r="E383" s="95">
        <f t="shared" si="86"/>
        <v>164.75</v>
      </c>
      <c r="F383" s="96">
        <f t="shared" si="87"/>
        <v>13.81</v>
      </c>
      <c r="G383" s="16">
        <f t="shared" si="93"/>
        <v>178.56</v>
      </c>
      <c r="H383" s="16">
        <f t="shared" si="94"/>
        <v>164.75</v>
      </c>
      <c r="I383" s="16">
        <f t="shared" si="95"/>
        <v>13.81</v>
      </c>
      <c r="J383" s="57">
        <f t="shared" si="96"/>
        <v>178.56</v>
      </c>
      <c r="P383" s="97">
        <v>164.74625699999999</v>
      </c>
      <c r="Q383" s="98">
        <v>13.810862</v>
      </c>
    </row>
    <row r="384" spans="1:17" x14ac:dyDescent="0.3">
      <c r="A384" s="27" t="s">
        <v>721</v>
      </c>
      <c r="B384" s="13" t="s">
        <v>722</v>
      </c>
      <c r="C384" s="14">
        <v>1</v>
      </c>
      <c r="D384" s="15" t="s">
        <v>85</v>
      </c>
      <c r="E384" s="95">
        <f t="shared" si="86"/>
        <v>962.97</v>
      </c>
      <c r="F384" s="96">
        <f t="shared" si="87"/>
        <v>315.87</v>
      </c>
      <c r="G384" s="16">
        <f t="shared" si="93"/>
        <v>1278.8400000000001</v>
      </c>
      <c r="H384" s="16">
        <f t="shared" si="94"/>
        <v>962.97</v>
      </c>
      <c r="I384" s="16">
        <f t="shared" si="95"/>
        <v>315.87</v>
      </c>
      <c r="J384" s="57">
        <f t="shared" si="96"/>
        <v>1278.8400000000001</v>
      </c>
      <c r="P384" s="97">
        <v>962.96697900000004</v>
      </c>
      <c r="Q384" s="98">
        <v>315.866694</v>
      </c>
    </row>
    <row r="385" spans="1:17" x14ac:dyDescent="0.3">
      <c r="A385" s="27" t="s">
        <v>723</v>
      </c>
      <c r="B385" s="13" t="s">
        <v>724</v>
      </c>
      <c r="C385" s="14">
        <v>1</v>
      </c>
      <c r="D385" s="15" t="s">
        <v>85</v>
      </c>
      <c r="E385" s="95">
        <f t="shared" si="86"/>
        <v>1636.8</v>
      </c>
      <c r="F385" s="96">
        <f t="shared" si="87"/>
        <v>315.87</v>
      </c>
      <c r="G385" s="16">
        <f t="shared" si="93"/>
        <v>1952.67</v>
      </c>
      <c r="H385" s="16">
        <f t="shared" si="94"/>
        <v>1636.8</v>
      </c>
      <c r="I385" s="16">
        <f t="shared" si="95"/>
        <v>315.87</v>
      </c>
      <c r="J385" s="57">
        <f t="shared" si="96"/>
        <v>1952.67</v>
      </c>
      <c r="P385" s="97">
        <v>1636.7974219999999</v>
      </c>
      <c r="Q385" s="98">
        <v>315.866694</v>
      </c>
    </row>
    <row r="386" spans="1:17" x14ac:dyDescent="0.3">
      <c r="A386" s="27" t="s">
        <v>725</v>
      </c>
      <c r="B386" s="13" t="s">
        <v>726</v>
      </c>
      <c r="C386" s="14">
        <v>39</v>
      </c>
      <c r="D386" s="15" t="s">
        <v>85</v>
      </c>
      <c r="E386" s="95">
        <f t="shared" si="86"/>
        <v>43.22</v>
      </c>
      <c r="F386" s="96">
        <f t="shared" si="87"/>
        <v>71.8</v>
      </c>
      <c r="G386" s="16">
        <f t="shared" si="93"/>
        <v>115.02</v>
      </c>
      <c r="H386" s="16">
        <f t="shared" si="94"/>
        <v>1685.58</v>
      </c>
      <c r="I386" s="16">
        <f t="shared" si="95"/>
        <v>2800.2</v>
      </c>
      <c r="J386" s="57">
        <f t="shared" si="96"/>
        <v>4485.78</v>
      </c>
      <c r="P386" s="97">
        <v>43.224128999999998</v>
      </c>
      <c r="Q386" s="98">
        <v>71.796295999999998</v>
      </c>
    </row>
    <row r="387" spans="1:17" ht="28.8" x14ac:dyDescent="0.3">
      <c r="A387" s="27" t="s">
        <v>727</v>
      </c>
      <c r="B387" s="13" t="s">
        <v>728</v>
      </c>
      <c r="C387" s="14">
        <v>192</v>
      </c>
      <c r="D387" s="15" t="s">
        <v>85</v>
      </c>
      <c r="E387" s="95">
        <f t="shared" si="86"/>
        <v>20.67</v>
      </c>
      <c r="F387" s="96">
        <f t="shared" si="87"/>
        <v>20.51</v>
      </c>
      <c r="G387" s="16">
        <f t="shared" si="93"/>
        <v>41.180000000000007</v>
      </c>
      <c r="H387" s="16">
        <f t="shared" si="94"/>
        <v>3968.6400000000003</v>
      </c>
      <c r="I387" s="16">
        <f t="shared" si="95"/>
        <v>3937.92</v>
      </c>
      <c r="J387" s="57">
        <f t="shared" si="96"/>
        <v>7906.5600000000013</v>
      </c>
      <c r="P387" s="97">
        <v>20.674237999999999</v>
      </c>
      <c r="Q387" s="98">
        <v>20.514429</v>
      </c>
    </row>
    <row r="388" spans="1:17" x14ac:dyDescent="0.3">
      <c r="A388" s="27" t="s">
        <v>729</v>
      </c>
      <c r="B388" s="13" t="s">
        <v>730</v>
      </c>
      <c r="C388" s="14">
        <v>167</v>
      </c>
      <c r="D388" s="15" t="s">
        <v>85</v>
      </c>
      <c r="E388" s="95">
        <f t="shared" si="86"/>
        <v>28.61</v>
      </c>
      <c r="F388" s="96">
        <f t="shared" si="87"/>
        <v>32.82</v>
      </c>
      <c r="G388" s="16">
        <f t="shared" si="93"/>
        <v>61.43</v>
      </c>
      <c r="H388" s="16">
        <f t="shared" si="94"/>
        <v>4777.87</v>
      </c>
      <c r="I388" s="16">
        <f t="shared" si="95"/>
        <v>5480.94</v>
      </c>
      <c r="J388" s="57">
        <f t="shared" si="96"/>
        <v>10258.81</v>
      </c>
      <c r="P388" s="97">
        <v>28.614222000000002</v>
      </c>
      <c r="Q388" s="98">
        <v>32.819721999999999</v>
      </c>
    </row>
    <row r="389" spans="1:17" x14ac:dyDescent="0.3">
      <c r="A389" s="27" t="s">
        <v>731</v>
      </c>
      <c r="B389" s="13" t="s">
        <v>732</v>
      </c>
      <c r="C389" s="14">
        <v>71</v>
      </c>
      <c r="D389" s="15" t="s">
        <v>733</v>
      </c>
      <c r="E389" s="95">
        <f t="shared" si="86"/>
        <v>396.12</v>
      </c>
      <c r="F389" s="96">
        <f t="shared" si="87"/>
        <v>41.02</v>
      </c>
      <c r="G389" s="16">
        <f t="shared" si="93"/>
        <v>437.14</v>
      </c>
      <c r="H389" s="16">
        <f t="shared" si="94"/>
        <v>28124.52</v>
      </c>
      <c r="I389" s="16">
        <f t="shared" si="95"/>
        <v>2912.42</v>
      </c>
      <c r="J389" s="57">
        <f t="shared" si="96"/>
        <v>31036.94</v>
      </c>
      <c r="P389" s="97">
        <v>396.11604499999999</v>
      </c>
      <c r="Q389" s="98">
        <v>41.020446999999997</v>
      </c>
    </row>
    <row r="390" spans="1:17" x14ac:dyDescent="0.3">
      <c r="A390" s="27" t="s">
        <v>734</v>
      </c>
      <c r="B390" s="13" t="s">
        <v>735</v>
      </c>
      <c r="C390" s="14">
        <v>64</v>
      </c>
      <c r="D390" s="15" t="s">
        <v>85</v>
      </c>
      <c r="E390" s="95">
        <f t="shared" si="86"/>
        <v>270.45999999999998</v>
      </c>
      <c r="F390" s="96">
        <f t="shared" si="87"/>
        <v>32.369999999999997</v>
      </c>
      <c r="G390" s="16">
        <f t="shared" si="93"/>
        <v>302.83</v>
      </c>
      <c r="H390" s="16">
        <f t="shared" si="94"/>
        <v>17309.439999999999</v>
      </c>
      <c r="I390" s="16">
        <f t="shared" si="95"/>
        <v>2071.6799999999998</v>
      </c>
      <c r="J390" s="57">
        <f t="shared" si="96"/>
        <v>19381.12</v>
      </c>
      <c r="P390" s="97">
        <v>270.45570500000002</v>
      </c>
      <c r="Q390" s="98">
        <v>32.365527999999998</v>
      </c>
    </row>
    <row r="391" spans="1:17" x14ac:dyDescent="0.3">
      <c r="A391" s="27" t="s">
        <v>736</v>
      </c>
      <c r="B391" s="13" t="s">
        <v>737</v>
      </c>
      <c r="C391" s="14">
        <v>1</v>
      </c>
      <c r="D391" s="15" t="s">
        <v>85</v>
      </c>
      <c r="E391" s="95">
        <f t="shared" si="86"/>
        <v>10.93</v>
      </c>
      <c r="F391" s="96">
        <f t="shared" si="87"/>
        <v>20.51</v>
      </c>
      <c r="G391" s="16">
        <f t="shared" si="93"/>
        <v>31.44</v>
      </c>
      <c r="H391" s="16">
        <f t="shared" si="94"/>
        <v>10.93</v>
      </c>
      <c r="I391" s="16">
        <f t="shared" si="95"/>
        <v>20.51</v>
      </c>
      <c r="J391" s="57">
        <f t="shared" si="96"/>
        <v>31.44</v>
      </c>
      <c r="P391" s="97">
        <v>10.925889</v>
      </c>
      <c r="Q391" s="98">
        <v>20.514429</v>
      </c>
    </row>
    <row r="392" spans="1:17" x14ac:dyDescent="0.3">
      <c r="A392" s="27" t="s">
        <v>738</v>
      </c>
      <c r="B392" s="13" t="s">
        <v>739</v>
      </c>
      <c r="C392" s="14">
        <v>34</v>
      </c>
      <c r="D392" s="15" t="s">
        <v>85</v>
      </c>
      <c r="E392" s="95">
        <f t="shared" si="86"/>
        <v>160.76</v>
      </c>
      <c r="F392" s="96">
        <f t="shared" si="87"/>
        <v>123.06</v>
      </c>
      <c r="G392" s="16">
        <f t="shared" si="93"/>
        <v>283.82</v>
      </c>
      <c r="H392" s="16">
        <f t="shared" si="94"/>
        <v>5465.84</v>
      </c>
      <c r="I392" s="16">
        <f t="shared" si="95"/>
        <v>4184.04</v>
      </c>
      <c r="J392" s="57">
        <f t="shared" si="96"/>
        <v>9649.8799999999992</v>
      </c>
      <c r="P392" s="97">
        <v>160.75944299999998</v>
      </c>
      <c r="Q392" s="98">
        <v>123.061341</v>
      </c>
    </row>
    <row r="393" spans="1:17" x14ac:dyDescent="0.3">
      <c r="A393" s="27" t="s">
        <v>740</v>
      </c>
      <c r="B393" s="13" t="s">
        <v>741</v>
      </c>
      <c r="C393" s="14">
        <v>1</v>
      </c>
      <c r="D393" s="15" t="s">
        <v>85</v>
      </c>
      <c r="E393" s="95">
        <f t="shared" si="86"/>
        <v>72.400000000000006</v>
      </c>
      <c r="F393" s="96">
        <f t="shared" si="87"/>
        <v>31.43</v>
      </c>
      <c r="G393" s="16">
        <f t="shared" si="93"/>
        <v>103.83000000000001</v>
      </c>
      <c r="H393" s="16">
        <f t="shared" si="94"/>
        <v>72.400000000000006</v>
      </c>
      <c r="I393" s="16">
        <f t="shared" si="95"/>
        <v>31.43</v>
      </c>
      <c r="J393" s="57">
        <f t="shared" si="96"/>
        <v>103.83000000000001</v>
      </c>
      <c r="P393" s="97">
        <v>72.401888</v>
      </c>
      <c r="Q393" s="98">
        <v>31.431906999999995</v>
      </c>
    </row>
    <row r="394" spans="1:17" x14ac:dyDescent="0.3">
      <c r="A394" s="27" t="s">
        <v>742</v>
      </c>
      <c r="B394" s="13" t="s">
        <v>743</v>
      </c>
      <c r="C394" s="14">
        <v>1</v>
      </c>
      <c r="D394" s="15" t="s">
        <v>85</v>
      </c>
      <c r="E394" s="95">
        <f t="shared" ref="E394:E457" si="97">ROUND(P394,2)</f>
        <v>36.119999999999997</v>
      </c>
      <c r="F394" s="96">
        <f t="shared" ref="F394:F457" si="98">ROUND(Q394,2)</f>
        <v>20.51</v>
      </c>
      <c r="G394" s="16">
        <f t="shared" si="93"/>
        <v>56.629999999999995</v>
      </c>
      <c r="H394" s="16">
        <f t="shared" si="94"/>
        <v>36.119999999999997</v>
      </c>
      <c r="I394" s="16">
        <f t="shared" si="95"/>
        <v>20.51</v>
      </c>
      <c r="J394" s="57">
        <f t="shared" si="96"/>
        <v>56.629999999999995</v>
      </c>
      <c r="P394" s="97">
        <v>36.116833999999997</v>
      </c>
      <c r="Q394" s="98">
        <v>20.514429</v>
      </c>
    </row>
    <row r="395" spans="1:17" x14ac:dyDescent="0.3">
      <c r="A395" s="27" t="s">
        <v>744</v>
      </c>
      <c r="B395" s="13" t="s">
        <v>745</v>
      </c>
      <c r="C395" s="14">
        <v>1</v>
      </c>
      <c r="D395" s="15" t="s">
        <v>85</v>
      </c>
      <c r="E395" s="95">
        <f t="shared" si="97"/>
        <v>57.07</v>
      </c>
      <c r="F395" s="96">
        <f t="shared" si="98"/>
        <v>71.8</v>
      </c>
      <c r="G395" s="16">
        <f t="shared" si="93"/>
        <v>128.87</v>
      </c>
      <c r="H395" s="16">
        <f t="shared" si="94"/>
        <v>57.07</v>
      </c>
      <c r="I395" s="16">
        <f t="shared" si="95"/>
        <v>71.8</v>
      </c>
      <c r="J395" s="57">
        <f t="shared" si="96"/>
        <v>128.87</v>
      </c>
      <c r="P395" s="97">
        <v>57.068634999999993</v>
      </c>
      <c r="Q395" s="98">
        <v>71.796295999999998</v>
      </c>
    </row>
    <row r="396" spans="1:17" x14ac:dyDescent="0.3">
      <c r="A396" s="25">
        <v>21</v>
      </c>
      <c r="B396" s="26" t="s">
        <v>746</v>
      </c>
      <c r="C396" s="9"/>
      <c r="D396" s="9"/>
      <c r="E396" s="95">
        <f t="shared" si="97"/>
        <v>0</v>
      </c>
      <c r="F396" s="96">
        <f t="shared" si="98"/>
        <v>0</v>
      </c>
      <c r="G396" s="11">
        <f t="shared" ref="G396:I396" si="99">SUBTOTAL(109,G397:G409)</f>
        <v>2486.0100000000002</v>
      </c>
      <c r="H396" s="11">
        <f t="shared" si="99"/>
        <v>6584.58</v>
      </c>
      <c r="I396" s="11">
        <f t="shared" si="99"/>
        <v>2093.1</v>
      </c>
      <c r="J396" s="56">
        <f>SUBTOTAL(109,J397:J409)</f>
        <v>8677.68</v>
      </c>
      <c r="P396" s="87"/>
      <c r="Q396" s="88"/>
    </row>
    <row r="397" spans="1:17" x14ac:dyDescent="0.3">
      <c r="A397" s="27" t="s">
        <v>747</v>
      </c>
      <c r="B397" s="13" t="s">
        <v>748</v>
      </c>
      <c r="C397" s="14">
        <v>31</v>
      </c>
      <c r="D397" s="15" t="s">
        <v>51</v>
      </c>
      <c r="E397" s="95">
        <f t="shared" si="97"/>
        <v>51.35</v>
      </c>
      <c r="F397" s="96">
        <f t="shared" si="98"/>
        <v>4.0999999999999996</v>
      </c>
      <c r="G397" s="16">
        <f t="shared" ref="G397:G409" si="100">SUM(E397:F397)</f>
        <v>55.45</v>
      </c>
      <c r="H397" s="16">
        <f t="shared" ref="H397:H409" si="101">C397*E397</f>
        <v>1591.8500000000001</v>
      </c>
      <c r="I397" s="16">
        <f t="shared" ref="I397:I409" si="102">C397*F397</f>
        <v>127.1</v>
      </c>
      <c r="J397" s="57">
        <f t="shared" ref="J397:J409" si="103">SUM(E397:F397)*C397</f>
        <v>1718.95</v>
      </c>
      <c r="P397" s="97">
        <v>51.349154999999996</v>
      </c>
      <c r="Q397" s="98">
        <v>4.1045679999999996</v>
      </c>
    </row>
    <row r="398" spans="1:17" x14ac:dyDescent="0.3">
      <c r="A398" s="27" t="s">
        <v>749</v>
      </c>
      <c r="B398" s="13" t="s">
        <v>750</v>
      </c>
      <c r="C398" s="14">
        <v>1</v>
      </c>
      <c r="D398" s="15" t="s">
        <v>85</v>
      </c>
      <c r="E398" s="95">
        <f t="shared" si="97"/>
        <v>116.76</v>
      </c>
      <c r="F398" s="96">
        <f t="shared" si="98"/>
        <v>20.51</v>
      </c>
      <c r="G398" s="16">
        <f t="shared" si="100"/>
        <v>137.27000000000001</v>
      </c>
      <c r="H398" s="16">
        <f t="shared" si="101"/>
        <v>116.76</v>
      </c>
      <c r="I398" s="16">
        <f t="shared" si="102"/>
        <v>20.51</v>
      </c>
      <c r="J398" s="57">
        <f t="shared" si="103"/>
        <v>137.27000000000001</v>
      </c>
      <c r="P398" s="97">
        <v>116.76150199999999</v>
      </c>
      <c r="Q398" s="98">
        <v>20.514429</v>
      </c>
    </row>
    <row r="399" spans="1:17" x14ac:dyDescent="0.3">
      <c r="A399" s="27" t="s">
        <v>751</v>
      </c>
      <c r="B399" s="13" t="s">
        <v>752</v>
      </c>
      <c r="C399" s="14">
        <v>1</v>
      </c>
      <c r="D399" s="15" t="s">
        <v>85</v>
      </c>
      <c r="E399" s="95">
        <f t="shared" si="97"/>
        <v>67.790000000000006</v>
      </c>
      <c r="F399" s="96">
        <f t="shared" si="98"/>
        <v>20.51</v>
      </c>
      <c r="G399" s="16">
        <f t="shared" si="100"/>
        <v>88.300000000000011</v>
      </c>
      <c r="H399" s="16">
        <f t="shared" si="101"/>
        <v>67.790000000000006</v>
      </c>
      <c r="I399" s="16">
        <f t="shared" si="102"/>
        <v>20.51</v>
      </c>
      <c r="J399" s="57">
        <f t="shared" si="103"/>
        <v>88.300000000000011</v>
      </c>
      <c r="P399" s="97">
        <v>67.792659999999998</v>
      </c>
      <c r="Q399" s="98">
        <v>20.514429</v>
      </c>
    </row>
    <row r="400" spans="1:17" x14ac:dyDescent="0.3">
      <c r="A400" s="27" t="s">
        <v>753</v>
      </c>
      <c r="B400" s="13" t="s">
        <v>754</v>
      </c>
      <c r="C400" s="14">
        <v>1</v>
      </c>
      <c r="D400" s="15" t="s">
        <v>85</v>
      </c>
      <c r="E400" s="95">
        <f t="shared" si="97"/>
        <v>413.24</v>
      </c>
      <c r="F400" s="96">
        <f t="shared" si="98"/>
        <v>47.18</v>
      </c>
      <c r="G400" s="16">
        <f t="shared" si="100"/>
        <v>460.42</v>
      </c>
      <c r="H400" s="16">
        <f t="shared" si="101"/>
        <v>413.24</v>
      </c>
      <c r="I400" s="16">
        <f t="shared" si="102"/>
        <v>47.18</v>
      </c>
      <c r="J400" s="57">
        <f t="shared" si="103"/>
        <v>460.42</v>
      </c>
      <c r="P400" s="97">
        <v>413.24084099999999</v>
      </c>
      <c r="Q400" s="98">
        <v>47.177298999999998</v>
      </c>
    </row>
    <row r="401" spans="1:17" x14ac:dyDescent="0.3">
      <c r="A401" s="27" t="s">
        <v>755</v>
      </c>
      <c r="B401" s="13" t="s">
        <v>756</v>
      </c>
      <c r="C401" s="14">
        <v>1</v>
      </c>
      <c r="D401" s="15" t="s">
        <v>85</v>
      </c>
      <c r="E401" s="95">
        <f t="shared" si="97"/>
        <v>18.829999999999998</v>
      </c>
      <c r="F401" s="96">
        <f t="shared" si="98"/>
        <v>4.0999999999999996</v>
      </c>
      <c r="G401" s="16">
        <f t="shared" si="100"/>
        <v>22.93</v>
      </c>
      <c r="H401" s="16">
        <f t="shared" si="101"/>
        <v>18.829999999999998</v>
      </c>
      <c r="I401" s="16">
        <f t="shared" si="102"/>
        <v>4.0999999999999996</v>
      </c>
      <c r="J401" s="57">
        <f t="shared" si="103"/>
        <v>22.93</v>
      </c>
      <c r="P401" s="97">
        <v>18.832228999999998</v>
      </c>
      <c r="Q401" s="98">
        <v>4.1045679999999996</v>
      </c>
    </row>
    <row r="402" spans="1:17" x14ac:dyDescent="0.3">
      <c r="A402" s="27" t="s">
        <v>757</v>
      </c>
      <c r="B402" s="13" t="s">
        <v>758</v>
      </c>
      <c r="C402" s="14">
        <v>1</v>
      </c>
      <c r="D402" s="15" t="s">
        <v>85</v>
      </c>
      <c r="E402" s="95">
        <f t="shared" si="97"/>
        <v>755.78</v>
      </c>
      <c r="F402" s="96">
        <f t="shared" si="98"/>
        <v>4.0999999999999996</v>
      </c>
      <c r="G402" s="16">
        <f t="shared" si="100"/>
        <v>759.88</v>
      </c>
      <c r="H402" s="16">
        <f t="shared" si="101"/>
        <v>755.78</v>
      </c>
      <c r="I402" s="16">
        <f t="shared" si="102"/>
        <v>4.0999999999999996</v>
      </c>
      <c r="J402" s="57">
        <f t="shared" si="103"/>
        <v>759.88</v>
      </c>
      <c r="P402" s="97">
        <v>755.77881599999989</v>
      </c>
      <c r="Q402" s="98">
        <v>4.1045679999999996</v>
      </c>
    </row>
    <row r="403" spans="1:17" x14ac:dyDescent="0.3">
      <c r="A403" s="27" t="s">
        <v>759</v>
      </c>
      <c r="B403" s="13" t="s">
        <v>760</v>
      </c>
      <c r="C403" s="14">
        <v>52</v>
      </c>
      <c r="D403" s="15" t="s">
        <v>85</v>
      </c>
      <c r="E403" s="95">
        <f t="shared" si="97"/>
        <v>25.08</v>
      </c>
      <c r="F403" s="96">
        <f t="shared" si="98"/>
        <v>16.55</v>
      </c>
      <c r="G403" s="16">
        <f t="shared" si="100"/>
        <v>41.629999999999995</v>
      </c>
      <c r="H403" s="16">
        <f t="shared" si="101"/>
        <v>1304.1599999999999</v>
      </c>
      <c r="I403" s="16">
        <f t="shared" si="102"/>
        <v>860.6</v>
      </c>
      <c r="J403" s="57">
        <f t="shared" si="103"/>
        <v>2164.7599999999998</v>
      </c>
      <c r="P403" s="97">
        <v>25.081602</v>
      </c>
      <c r="Q403" s="98">
        <v>16.552847999999997</v>
      </c>
    </row>
    <row r="404" spans="1:17" x14ac:dyDescent="0.3">
      <c r="A404" s="27" t="s">
        <v>761</v>
      </c>
      <c r="B404" s="13" t="s">
        <v>762</v>
      </c>
      <c r="C404" s="14">
        <v>1</v>
      </c>
      <c r="D404" s="15" t="s">
        <v>85</v>
      </c>
      <c r="E404" s="95">
        <f t="shared" si="97"/>
        <v>37.880000000000003</v>
      </c>
      <c r="F404" s="96">
        <f t="shared" si="98"/>
        <v>2</v>
      </c>
      <c r="G404" s="16">
        <f t="shared" si="100"/>
        <v>39.880000000000003</v>
      </c>
      <c r="H404" s="16">
        <f t="shared" si="101"/>
        <v>37.880000000000003</v>
      </c>
      <c r="I404" s="16">
        <f t="shared" si="102"/>
        <v>2</v>
      </c>
      <c r="J404" s="57">
        <f t="shared" si="103"/>
        <v>39.880000000000003</v>
      </c>
      <c r="P404" s="97">
        <v>37.883143999999994</v>
      </c>
      <c r="Q404" s="98">
        <v>2.0018179999999997</v>
      </c>
    </row>
    <row r="405" spans="1:17" x14ac:dyDescent="0.3">
      <c r="A405" s="27" t="s">
        <v>763</v>
      </c>
      <c r="B405" s="13" t="s">
        <v>764</v>
      </c>
      <c r="C405" s="14">
        <v>45</v>
      </c>
      <c r="D405" s="15" t="s">
        <v>25</v>
      </c>
      <c r="E405" s="95">
        <f t="shared" si="97"/>
        <v>33.97</v>
      </c>
      <c r="F405" s="96">
        <f t="shared" si="98"/>
        <v>20.69</v>
      </c>
      <c r="G405" s="16">
        <f t="shared" si="100"/>
        <v>54.66</v>
      </c>
      <c r="H405" s="16">
        <f t="shared" si="101"/>
        <v>1528.6499999999999</v>
      </c>
      <c r="I405" s="16">
        <f t="shared" si="102"/>
        <v>931.05000000000007</v>
      </c>
      <c r="J405" s="57">
        <f t="shared" si="103"/>
        <v>2459.6999999999998</v>
      </c>
      <c r="P405" s="97">
        <v>33.972028999999999</v>
      </c>
      <c r="Q405" s="98">
        <v>20.69106</v>
      </c>
    </row>
    <row r="406" spans="1:17" x14ac:dyDescent="0.3">
      <c r="A406" s="27" t="s">
        <v>765</v>
      </c>
      <c r="B406" s="13" t="s">
        <v>766</v>
      </c>
      <c r="C406" s="14">
        <v>1</v>
      </c>
      <c r="D406" s="15" t="s">
        <v>85</v>
      </c>
      <c r="E406" s="95">
        <f t="shared" si="97"/>
        <v>150.94</v>
      </c>
      <c r="F406" s="96">
        <f t="shared" si="98"/>
        <v>19.29</v>
      </c>
      <c r="G406" s="16">
        <f t="shared" si="100"/>
        <v>170.23</v>
      </c>
      <c r="H406" s="16">
        <f t="shared" si="101"/>
        <v>150.94</v>
      </c>
      <c r="I406" s="16">
        <f t="shared" si="102"/>
        <v>19.29</v>
      </c>
      <c r="J406" s="57">
        <f t="shared" si="103"/>
        <v>170.23</v>
      </c>
      <c r="P406" s="97">
        <v>150.93539499999997</v>
      </c>
      <c r="Q406" s="98">
        <v>19.294834000000002</v>
      </c>
    </row>
    <row r="407" spans="1:17" x14ac:dyDescent="0.3">
      <c r="A407" s="27" t="s">
        <v>767</v>
      </c>
      <c r="B407" s="13" t="s">
        <v>768</v>
      </c>
      <c r="C407" s="14">
        <v>1</v>
      </c>
      <c r="D407" s="15" t="s">
        <v>85</v>
      </c>
      <c r="E407" s="95">
        <f t="shared" si="97"/>
        <v>196.06</v>
      </c>
      <c r="F407" s="96">
        <f t="shared" si="98"/>
        <v>19.29</v>
      </c>
      <c r="G407" s="16">
        <f t="shared" si="100"/>
        <v>215.35</v>
      </c>
      <c r="H407" s="16">
        <f t="shared" si="101"/>
        <v>196.06</v>
      </c>
      <c r="I407" s="16">
        <f t="shared" si="102"/>
        <v>19.29</v>
      </c>
      <c r="J407" s="57">
        <f t="shared" si="103"/>
        <v>215.35</v>
      </c>
      <c r="P407" s="97">
        <v>196.06040999999999</v>
      </c>
      <c r="Q407" s="98">
        <v>19.294834000000002</v>
      </c>
    </row>
    <row r="408" spans="1:17" x14ac:dyDescent="0.3">
      <c r="A408" s="27" t="s">
        <v>769</v>
      </c>
      <c r="B408" s="13" t="s">
        <v>770</v>
      </c>
      <c r="C408" s="14">
        <v>1</v>
      </c>
      <c r="D408" s="15" t="s">
        <v>85</v>
      </c>
      <c r="E408" s="95">
        <f t="shared" si="97"/>
        <v>66.430000000000007</v>
      </c>
      <c r="F408" s="96">
        <f t="shared" si="98"/>
        <v>19.29</v>
      </c>
      <c r="G408" s="16">
        <f t="shared" si="100"/>
        <v>85.72</v>
      </c>
      <c r="H408" s="16">
        <f t="shared" si="101"/>
        <v>66.430000000000007</v>
      </c>
      <c r="I408" s="16">
        <f t="shared" si="102"/>
        <v>19.29</v>
      </c>
      <c r="J408" s="57">
        <f t="shared" si="103"/>
        <v>85.72</v>
      </c>
      <c r="P408" s="97">
        <v>66.430077999999995</v>
      </c>
      <c r="Q408" s="98">
        <v>19.294834000000002</v>
      </c>
    </row>
    <row r="409" spans="1:17" x14ac:dyDescent="0.3">
      <c r="A409" s="27" t="s">
        <v>771</v>
      </c>
      <c r="B409" s="13" t="s">
        <v>772</v>
      </c>
      <c r="C409" s="14">
        <v>1</v>
      </c>
      <c r="D409" s="15" t="s">
        <v>85</v>
      </c>
      <c r="E409" s="95">
        <f t="shared" si="97"/>
        <v>336.21</v>
      </c>
      <c r="F409" s="96">
        <f t="shared" si="98"/>
        <v>18.079999999999998</v>
      </c>
      <c r="G409" s="16">
        <f t="shared" si="100"/>
        <v>354.28999999999996</v>
      </c>
      <c r="H409" s="16">
        <f t="shared" si="101"/>
        <v>336.21</v>
      </c>
      <c r="I409" s="16">
        <f t="shared" si="102"/>
        <v>18.079999999999998</v>
      </c>
      <c r="J409" s="57">
        <f t="shared" si="103"/>
        <v>354.28999999999996</v>
      </c>
      <c r="P409" s="97">
        <v>336.21290299999998</v>
      </c>
      <c r="Q409" s="98">
        <v>18.083649999999999</v>
      </c>
    </row>
    <row r="410" spans="1:17" x14ac:dyDescent="0.3">
      <c r="A410" s="25">
        <v>22</v>
      </c>
      <c r="B410" s="26" t="s">
        <v>773</v>
      </c>
      <c r="C410" s="9"/>
      <c r="D410" s="9"/>
      <c r="E410" s="95">
        <f t="shared" si="97"/>
        <v>0</v>
      </c>
      <c r="F410" s="96">
        <f t="shared" si="98"/>
        <v>0</v>
      </c>
      <c r="G410" s="11">
        <f t="shared" ref="G410:I410" si="104">SUBTOTAL(109,G411:G422)</f>
        <v>1896.6900000000003</v>
      </c>
      <c r="H410" s="11">
        <f t="shared" si="104"/>
        <v>11611.78</v>
      </c>
      <c r="I410" s="11">
        <f t="shared" si="104"/>
        <v>2098.9500000000003</v>
      </c>
      <c r="J410" s="56">
        <f>SUBTOTAL(109,J411:J422)</f>
        <v>13710.73</v>
      </c>
      <c r="P410" s="87"/>
      <c r="Q410" s="88"/>
    </row>
    <row r="411" spans="1:17" x14ac:dyDescent="0.3">
      <c r="A411" s="27" t="s">
        <v>774</v>
      </c>
      <c r="B411" s="13" t="s">
        <v>775</v>
      </c>
      <c r="C411" s="14">
        <v>32</v>
      </c>
      <c r="D411" s="15" t="s">
        <v>85</v>
      </c>
      <c r="E411" s="95">
        <f t="shared" si="97"/>
        <v>87.76</v>
      </c>
      <c r="F411" s="96">
        <f t="shared" si="98"/>
        <v>20.51</v>
      </c>
      <c r="G411" s="16">
        <f t="shared" ref="G411:G422" si="105">SUM(E411:F411)</f>
        <v>108.27000000000001</v>
      </c>
      <c r="H411" s="16">
        <f t="shared" ref="H411:H422" si="106">C411*E411</f>
        <v>2808.32</v>
      </c>
      <c r="I411" s="16">
        <f t="shared" ref="I411:I422" si="107">C411*F411</f>
        <v>656.32</v>
      </c>
      <c r="J411" s="57">
        <f t="shared" ref="J411:J422" si="108">SUM(E411:F411)*C411</f>
        <v>3464.6400000000003</v>
      </c>
      <c r="P411" s="97">
        <v>87.760373999999999</v>
      </c>
      <c r="Q411" s="98">
        <v>20.514429</v>
      </c>
    </row>
    <row r="412" spans="1:17" x14ac:dyDescent="0.3">
      <c r="A412" s="27" t="s">
        <v>776</v>
      </c>
      <c r="B412" s="13" t="s">
        <v>777</v>
      </c>
      <c r="C412" s="14">
        <v>1</v>
      </c>
      <c r="D412" s="15" t="s">
        <v>85</v>
      </c>
      <c r="E412" s="95">
        <f t="shared" si="97"/>
        <v>161.61000000000001</v>
      </c>
      <c r="F412" s="96">
        <f t="shared" si="98"/>
        <v>12.31</v>
      </c>
      <c r="G412" s="16">
        <f t="shared" si="105"/>
        <v>173.92000000000002</v>
      </c>
      <c r="H412" s="16">
        <f t="shared" si="106"/>
        <v>161.61000000000001</v>
      </c>
      <c r="I412" s="16">
        <f t="shared" si="107"/>
        <v>12.31</v>
      </c>
      <c r="J412" s="57">
        <f t="shared" si="108"/>
        <v>173.92000000000002</v>
      </c>
      <c r="P412" s="97">
        <v>161.60895399999998</v>
      </c>
      <c r="Q412" s="98">
        <v>12.305293000000001</v>
      </c>
    </row>
    <row r="413" spans="1:17" x14ac:dyDescent="0.3">
      <c r="A413" s="27" t="s">
        <v>778</v>
      </c>
      <c r="B413" s="13" t="s">
        <v>779</v>
      </c>
      <c r="C413" s="14">
        <v>90</v>
      </c>
      <c r="D413" s="15" t="s">
        <v>85</v>
      </c>
      <c r="E413" s="95">
        <f t="shared" si="97"/>
        <v>82.72</v>
      </c>
      <c r="F413" s="96">
        <f t="shared" si="98"/>
        <v>12.31</v>
      </c>
      <c r="G413" s="16">
        <f t="shared" si="105"/>
        <v>95.03</v>
      </c>
      <c r="H413" s="16">
        <f t="shared" si="106"/>
        <v>7444.8</v>
      </c>
      <c r="I413" s="16">
        <f t="shared" si="107"/>
        <v>1107.9000000000001</v>
      </c>
      <c r="J413" s="57">
        <f t="shared" si="108"/>
        <v>8552.7000000000007</v>
      </c>
      <c r="P413" s="97">
        <v>82.722184999999996</v>
      </c>
      <c r="Q413" s="98">
        <v>12.305293000000001</v>
      </c>
    </row>
    <row r="414" spans="1:17" x14ac:dyDescent="0.3">
      <c r="A414" s="27" t="s">
        <v>780</v>
      </c>
      <c r="B414" s="13" t="s">
        <v>781</v>
      </c>
      <c r="C414" s="14">
        <v>1</v>
      </c>
      <c r="D414" s="15" t="s">
        <v>85</v>
      </c>
      <c r="E414" s="95">
        <f t="shared" si="97"/>
        <v>51.37</v>
      </c>
      <c r="F414" s="96">
        <f t="shared" si="98"/>
        <v>20.51</v>
      </c>
      <c r="G414" s="16">
        <f t="shared" si="105"/>
        <v>71.88</v>
      </c>
      <c r="H414" s="16">
        <f t="shared" si="106"/>
        <v>51.37</v>
      </c>
      <c r="I414" s="16">
        <f t="shared" si="107"/>
        <v>20.51</v>
      </c>
      <c r="J414" s="57">
        <f t="shared" si="108"/>
        <v>71.88</v>
      </c>
      <c r="P414" s="97">
        <v>51.365977000000001</v>
      </c>
      <c r="Q414" s="98">
        <v>20.514429</v>
      </c>
    </row>
    <row r="415" spans="1:17" x14ac:dyDescent="0.3">
      <c r="A415" s="27" t="s">
        <v>782</v>
      </c>
      <c r="B415" s="13" t="s">
        <v>783</v>
      </c>
      <c r="C415" s="14">
        <v>1</v>
      </c>
      <c r="D415" s="15" t="s">
        <v>85</v>
      </c>
      <c r="E415" s="95">
        <f t="shared" si="97"/>
        <v>47.59</v>
      </c>
      <c r="F415" s="96">
        <f t="shared" si="98"/>
        <v>20.51</v>
      </c>
      <c r="G415" s="16">
        <f t="shared" si="105"/>
        <v>68.100000000000009</v>
      </c>
      <c r="H415" s="16">
        <f t="shared" si="106"/>
        <v>47.59</v>
      </c>
      <c r="I415" s="16">
        <f t="shared" si="107"/>
        <v>20.51</v>
      </c>
      <c r="J415" s="57">
        <f t="shared" si="108"/>
        <v>68.100000000000009</v>
      </c>
      <c r="P415" s="97">
        <v>47.589437999999994</v>
      </c>
      <c r="Q415" s="98">
        <v>20.514429</v>
      </c>
    </row>
    <row r="416" spans="1:17" x14ac:dyDescent="0.3">
      <c r="A416" s="27" t="s">
        <v>784</v>
      </c>
      <c r="B416" s="13" t="s">
        <v>785</v>
      </c>
      <c r="C416" s="14">
        <v>1</v>
      </c>
      <c r="D416" s="15" t="s">
        <v>85</v>
      </c>
      <c r="E416" s="95">
        <f t="shared" si="97"/>
        <v>106.95</v>
      </c>
      <c r="F416" s="96">
        <f t="shared" si="98"/>
        <v>16.399999999999999</v>
      </c>
      <c r="G416" s="16">
        <f t="shared" si="105"/>
        <v>123.35</v>
      </c>
      <c r="H416" s="16">
        <f t="shared" si="106"/>
        <v>106.95</v>
      </c>
      <c r="I416" s="16">
        <f t="shared" si="107"/>
        <v>16.399999999999999</v>
      </c>
      <c r="J416" s="57">
        <f t="shared" si="108"/>
        <v>123.35</v>
      </c>
      <c r="P416" s="97">
        <v>106.945865</v>
      </c>
      <c r="Q416" s="98">
        <v>16.401450000000001</v>
      </c>
    </row>
    <row r="417" spans="1:17" x14ac:dyDescent="0.3">
      <c r="A417" s="27" t="s">
        <v>786</v>
      </c>
      <c r="B417" s="13" t="s">
        <v>787</v>
      </c>
      <c r="C417" s="14">
        <v>1</v>
      </c>
      <c r="D417" s="15" t="s">
        <v>85</v>
      </c>
      <c r="E417" s="95">
        <f t="shared" si="97"/>
        <v>212.1</v>
      </c>
      <c r="F417" s="96">
        <f t="shared" si="98"/>
        <v>143.58000000000001</v>
      </c>
      <c r="G417" s="16">
        <f t="shared" si="105"/>
        <v>355.68</v>
      </c>
      <c r="H417" s="16">
        <f t="shared" si="106"/>
        <v>212.1</v>
      </c>
      <c r="I417" s="16">
        <f t="shared" si="107"/>
        <v>143.58000000000001</v>
      </c>
      <c r="J417" s="57">
        <f t="shared" si="108"/>
        <v>355.68</v>
      </c>
      <c r="P417" s="97">
        <v>212.10018699999998</v>
      </c>
      <c r="Q417" s="98">
        <v>143.57576999999998</v>
      </c>
    </row>
    <row r="418" spans="1:17" x14ac:dyDescent="0.3">
      <c r="A418" s="27" t="s">
        <v>788</v>
      </c>
      <c r="B418" s="13" t="s">
        <v>789</v>
      </c>
      <c r="C418" s="14">
        <v>1</v>
      </c>
      <c r="D418" s="15" t="s">
        <v>85</v>
      </c>
      <c r="E418" s="95">
        <f t="shared" si="97"/>
        <v>26.39</v>
      </c>
      <c r="F418" s="96">
        <f t="shared" si="98"/>
        <v>6.57</v>
      </c>
      <c r="G418" s="16">
        <f t="shared" si="105"/>
        <v>32.96</v>
      </c>
      <c r="H418" s="16">
        <f t="shared" si="106"/>
        <v>26.39</v>
      </c>
      <c r="I418" s="16">
        <f t="shared" si="107"/>
        <v>6.57</v>
      </c>
      <c r="J418" s="57">
        <f t="shared" si="108"/>
        <v>32.96</v>
      </c>
      <c r="P418" s="97">
        <v>26.393717999999996</v>
      </c>
      <c r="Q418" s="98">
        <v>6.5689909999999996</v>
      </c>
    </row>
    <row r="419" spans="1:17" x14ac:dyDescent="0.3">
      <c r="A419" s="27" t="s">
        <v>790</v>
      </c>
      <c r="B419" s="13" t="s">
        <v>791</v>
      </c>
      <c r="C419" s="14">
        <v>1</v>
      </c>
      <c r="D419" s="15" t="s">
        <v>437</v>
      </c>
      <c r="E419" s="95">
        <f t="shared" si="97"/>
        <v>60.73</v>
      </c>
      <c r="F419" s="96">
        <f t="shared" si="98"/>
        <v>37.4</v>
      </c>
      <c r="G419" s="16">
        <f t="shared" si="105"/>
        <v>98.13</v>
      </c>
      <c r="H419" s="16">
        <f t="shared" si="106"/>
        <v>60.73</v>
      </c>
      <c r="I419" s="16">
        <f t="shared" si="107"/>
        <v>37.4</v>
      </c>
      <c r="J419" s="57">
        <f t="shared" si="108"/>
        <v>98.13</v>
      </c>
      <c r="P419" s="97">
        <v>60.727420000000002</v>
      </c>
      <c r="Q419" s="98">
        <v>37.395305999999998</v>
      </c>
    </row>
    <row r="420" spans="1:17" x14ac:dyDescent="0.3">
      <c r="A420" s="27" t="s">
        <v>792</v>
      </c>
      <c r="B420" s="13" t="s">
        <v>793</v>
      </c>
      <c r="C420" s="14">
        <v>1</v>
      </c>
      <c r="D420" s="15" t="s">
        <v>85</v>
      </c>
      <c r="E420" s="95">
        <f t="shared" si="97"/>
        <v>20.05</v>
      </c>
      <c r="F420" s="96">
        <f t="shared" si="98"/>
        <v>2.87</v>
      </c>
      <c r="G420" s="16">
        <f t="shared" si="105"/>
        <v>22.92</v>
      </c>
      <c r="H420" s="16">
        <f t="shared" si="106"/>
        <v>20.05</v>
      </c>
      <c r="I420" s="16">
        <f t="shared" si="107"/>
        <v>2.87</v>
      </c>
      <c r="J420" s="57">
        <f t="shared" si="108"/>
        <v>22.92</v>
      </c>
      <c r="P420" s="97">
        <v>20.051824</v>
      </c>
      <c r="Q420" s="98">
        <v>2.8681510000000001</v>
      </c>
    </row>
    <row r="421" spans="1:17" x14ac:dyDescent="0.3">
      <c r="A421" s="27" t="s">
        <v>794</v>
      </c>
      <c r="B421" s="13" t="s">
        <v>795</v>
      </c>
      <c r="C421" s="14">
        <v>1</v>
      </c>
      <c r="D421" s="15" t="s">
        <v>85</v>
      </c>
      <c r="E421" s="95">
        <f t="shared" si="97"/>
        <v>473.26</v>
      </c>
      <c r="F421" s="96">
        <f t="shared" si="98"/>
        <v>33.56</v>
      </c>
      <c r="G421" s="16">
        <f t="shared" si="105"/>
        <v>506.82</v>
      </c>
      <c r="H421" s="16">
        <f t="shared" si="106"/>
        <v>473.26</v>
      </c>
      <c r="I421" s="16">
        <f t="shared" si="107"/>
        <v>33.56</v>
      </c>
      <c r="J421" s="57">
        <f t="shared" si="108"/>
        <v>506.82</v>
      </c>
      <c r="P421" s="97">
        <v>473.26173699999993</v>
      </c>
      <c r="Q421" s="98">
        <v>33.559889999999996</v>
      </c>
    </row>
    <row r="422" spans="1:17" x14ac:dyDescent="0.3">
      <c r="A422" s="27" t="s">
        <v>796</v>
      </c>
      <c r="B422" s="13" t="s">
        <v>797</v>
      </c>
      <c r="C422" s="14">
        <v>1</v>
      </c>
      <c r="D422" s="15" t="s">
        <v>85</v>
      </c>
      <c r="E422" s="95">
        <f t="shared" si="97"/>
        <v>198.61</v>
      </c>
      <c r="F422" s="96">
        <f t="shared" si="98"/>
        <v>41.02</v>
      </c>
      <c r="G422" s="16">
        <f t="shared" si="105"/>
        <v>239.63000000000002</v>
      </c>
      <c r="H422" s="16">
        <f t="shared" si="106"/>
        <v>198.61</v>
      </c>
      <c r="I422" s="16">
        <f t="shared" si="107"/>
        <v>41.02</v>
      </c>
      <c r="J422" s="57">
        <f t="shared" si="108"/>
        <v>239.63000000000002</v>
      </c>
      <c r="P422" s="97">
        <v>198.60894299999998</v>
      </c>
      <c r="Q422" s="98">
        <v>41.020446999999997</v>
      </c>
    </row>
    <row r="423" spans="1:17" x14ac:dyDescent="0.3">
      <c r="A423" s="25">
        <v>23</v>
      </c>
      <c r="B423" s="26" t="s">
        <v>798</v>
      </c>
      <c r="C423" s="9"/>
      <c r="D423" s="9"/>
      <c r="E423" s="95">
        <f t="shared" si="97"/>
        <v>0</v>
      </c>
      <c r="F423" s="96">
        <f t="shared" si="98"/>
        <v>0</v>
      </c>
      <c r="G423" s="10">
        <v>0</v>
      </c>
      <c r="H423" s="10">
        <v>0</v>
      </c>
      <c r="I423" s="10">
        <v>0</v>
      </c>
      <c r="J423" s="56">
        <v>0</v>
      </c>
      <c r="P423" s="86"/>
      <c r="Q423" s="86"/>
    </row>
    <row r="424" spans="1:17" x14ac:dyDescent="0.3">
      <c r="A424" s="25">
        <v>24</v>
      </c>
      <c r="B424" s="26" t="s">
        <v>799</v>
      </c>
      <c r="C424" s="9"/>
      <c r="D424" s="9"/>
      <c r="E424" s="95">
        <f t="shared" si="97"/>
        <v>0</v>
      </c>
      <c r="F424" s="96">
        <f t="shared" si="98"/>
        <v>0</v>
      </c>
      <c r="G424" s="10">
        <v>0</v>
      </c>
      <c r="H424" s="10">
        <v>0</v>
      </c>
      <c r="I424" s="10">
        <v>0</v>
      </c>
      <c r="J424" s="56">
        <v>0</v>
      </c>
      <c r="P424" s="86"/>
      <c r="Q424" s="86"/>
    </row>
    <row r="425" spans="1:17" x14ac:dyDescent="0.3">
      <c r="A425" s="25">
        <v>25</v>
      </c>
      <c r="B425" s="26" t="s">
        <v>800</v>
      </c>
      <c r="C425" s="9"/>
      <c r="D425" s="9"/>
      <c r="E425" s="95">
        <f t="shared" si="97"/>
        <v>0</v>
      </c>
      <c r="F425" s="96">
        <f t="shared" si="98"/>
        <v>0</v>
      </c>
      <c r="G425" s="10">
        <v>0</v>
      </c>
      <c r="H425" s="10">
        <v>0</v>
      </c>
      <c r="I425" s="10">
        <v>0</v>
      </c>
      <c r="J425" s="56">
        <v>0</v>
      </c>
      <c r="P425" s="86"/>
      <c r="Q425" s="86"/>
    </row>
    <row r="426" spans="1:17" x14ac:dyDescent="0.3">
      <c r="A426" s="25">
        <v>26</v>
      </c>
      <c r="B426" s="28" t="s">
        <v>801</v>
      </c>
      <c r="C426" s="9"/>
      <c r="D426" s="9"/>
      <c r="E426" s="95">
        <f t="shared" si="97"/>
        <v>0</v>
      </c>
      <c r="F426" s="96">
        <f t="shared" si="98"/>
        <v>0</v>
      </c>
      <c r="G426" s="10">
        <v>0</v>
      </c>
      <c r="H426" s="10">
        <v>0</v>
      </c>
      <c r="I426" s="10">
        <v>0</v>
      </c>
      <c r="J426" s="56">
        <v>0</v>
      </c>
      <c r="P426" s="86"/>
      <c r="Q426" s="86"/>
    </row>
    <row r="427" spans="1:17" x14ac:dyDescent="0.3">
      <c r="A427" s="25">
        <v>27</v>
      </c>
      <c r="B427" s="26" t="s">
        <v>802</v>
      </c>
      <c r="C427" s="9"/>
      <c r="D427" s="9"/>
      <c r="E427" s="95">
        <f t="shared" si="97"/>
        <v>0</v>
      </c>
      <c r="F427" s="96">
        <f t="shared" si="98"/>
        <v>0</v>
      </c>
      <c r="G427" s="29">
        <v>0</v>
      </c>
      <c r="H427" s="29">
        <v>0</v>
      </c>
      <c r="I427" s="29">
        <v>0</v>
      </c>
      <c r="J427" s="59">
        <v>0</v>
      </c>
      <c r="P427" s="86"/>
      <c r="Q427" s="91"/>
    </row>
    <row r="428" spans="1:17" x14ac:dyDescent="0.3">
      <c r="A428" s="25">
        <v>28</v>
      </c>
      <c r="B428" s="26" t="s">
        <v>803</v>
      </c>
      <c r="C428" s="9"/>
      <c r="D428" s="9"/>
      <c r="E428" s="95">
        <f t="shared" si="97"/>
        <v>0</v>
      </c>
      <c r="F428" s="96">
        <f t="shared" si="98"/>
        <v>0</v>
      </c>
      <c r="G428" s="11">
        <f t="shared" ref="G428:I428" si="109">SUBTOTAL(109,G429:G462)</f>
        <v>11205.57</v>
      </c>
      <c r="H428" s="11">
        <f t="shared" si="109"/>
        <v>68534.140000000014</v>
      </c>
      <c r="I428" s="11">
        <f t="shared" si="109"/>
        <v>8286.2699999999986</v>
      </c>
      <c r="J428" s="56">
        <f>SUBTOTAL(109,J429:J462)</f>
        <v>76820.409999999989</v>
      </c>
      <c r="P428" s="86"/>
      <c r="Q428" s="86"/>
    </row>
    <row r="429" spans="1:17" x14ac:dyDescent="0.3">
      <c r="A429" s="27" t="s">
        <v>804</v>
      </c>
      <c r="B429" s="22" t="s">
        <v>805</v>
      </c>
      <c r="C429" s="14">
        <v>1</v>
      </c>
      <c r="D429" s="15" t="s">
        <v>437</v>
      </c>
      <c r="E429" s="95">
        <f t="shared" si="97"/>
        <v>512.73</v>
      </c>
      <c r="F429" s="96">
        <f t="shared" si="98"/>
        <v>25.38</v>
      </c>
      <c r="G429" s="16">
        <f t="shared" ref="G429:G462" si="110">SUM(E429:F429)</f>
        <v>538.11</v>
      </c>
      <c r="H429" s="16">
        <f t="shared" ref="H429:H462" si="111">C429*E429</f>
        <v>512.73</v>
      </c>
      <c r="I429" s="16">
        <f t="shared" ref="I429:I462" si="112">C429*F429</f>
        <v>25.38</v>
      </c>
      <c r="J429" s="57">
        <f t="shared" ref="J429:J462" si="113">SUM(E429:F429)*C429</f>
        <v>538.11</v>
      </c>
      <c r="P429" s="97">
        <v>512.73455999999999</v>
      </c>
      <c r="Q429" s="98">
        <v>25.384397999999997</v>
      </c>
    </row>
    <row r="430" spans="1:17" x14ac:dyDescent="0.3">
      <c r="A430" s="27" t="s">
        <v>806</v>
      </c>
      <c r="B430" s="13" t="s">
        <v>807</v>
      </c>
      <c r="C430" s="14">
        <v>1</v>
      </c>
      <c r="D430" s="15" t="s">
        <v>437</v>
      </c>
      <c r="E430" s="95">
        <f t="shared" si="97"/>
        <v>246.25</v>
      </c>
      <c r="F430" s="96">
        <f t="shared" si="98"/>
        <v>24.48</v>
      </c>
      <c r="G430" s="16">
        <f t="shared" si="110"/>
        <v>270.73</v>
      </c>
      <c r="H430" s="16">
        <f t="shared" si="111"/>
        <v>246.25</v>
      </c>
      <c r="I430" s="16">
        <f t="shared" si="112"/>
        <v>24.48</v>
      </c>
      <c r="J430" s="57">
        <f t="shared" si="113"/>
        <v>270.73</v>
      </c>
      <c r="P430" s="97">
        <v>246.24884699999998</v>
      </c>
      <c r="Q430" s="98">
        <v>24.476009999999999</v>
      </c>
    </row>
    <row r="431" spans="1:17" x14ac:dyDescent="0.3">
      <c r="A431" s="27" t="s">
        <v>808</v>
      </c>
      <c r="B431" s="13" t="s">
        <v>809</v>
      </c>
      <c r="C431" s="14">
        <v>1</v>
      </c>
      <c r="D431" s="15" t="s">
        <v>437</v>
      </c>
      <c r="E431" s="95">
        <f t="shared" si="97"/>
        <v>258.14</v>
      </c>
      <c r="F431" s="96">
        <f t="shared" si="98"/>
        <v>41.38</v>
      </c>
      <c r="G431" s="16">
        <f t="shared" si="110"/>
        <v>299.52</v>
      </c>
      <c r="H431" s="16">
        <f t="shared" si="111"/>
        <v>258.14</v>
      </c>
      <c r="I431" s="16">
        <f t="shared" si="112"/>
        <v>41.38</v>
      </c>
      <c r="J431" s="57">
        <f t="shared" si="113"/>
        <v>299.52</v>
      </c>
      <c r="P431" s="97">
        <v>258.14200099999999</v>
      </c>
      <c r="Q431" s="98">
        <v>41.38212</v>
      </c>
    </row>
    <row r="432" spans="1:17" x14ac:dyDescent="0.3">
      <c r="A432" s="27" t="s">
        <v>810</v>
      </c>
      <c r="B432" s="13" t="s">
        <v>811</v>
      </c>
      <c r="C432" s="14">
        <v>1</v>
      </c>
      <c r="D432" s="15" t="s">
        <v>437</v>
      </c>
      <c r="E432" s="95">
        <f t="shared" si="97"/>
        <v>536.6</v>
      </c>
      <c r="F432" s="96">
        <f t="shared" si="98"/>
        <v>41.38</v>
      </c>
      <c r="G432" s="16">
        <f t="shared" si="110"/>
        <v>577.98</v>
      </c>
      <c r="H432" s="16">
        <f t="shared" si="111"/>
        <v>536.6</v>
      </c>
      <c r="I432" s="16">
        <f t="shared" si="112"/>
        <v>41.38</v>
      </c>
      <c r="J432" s="57">
        <f t="shared" si="113"/>
        <v>577.98</v>
      </c>
      <c r="P432" s="97">
        <v>536.59656700000005</v>
      </c>
      <c r="Q432" s="98">
        <v>41.38212</v>
      </c>
    </row>
    <row r="433" spans="1:17" x14ac:dyDescent="0.3">
      <c r="A433" s="27" t="s">
        <v>812</v>
      </c>
      <c r="B433" s="13" t="s">
        <v>813</v>
      </c>
      <c r="C433" s="14">
        <v>1</v>
      </c>
      <c r="D433" s="15" t="s">
        <v>437</v>
      </c>
      <c r="E433" s="95">
        <f t="shared" si="97"/>
        <v>5.27</v>
      </c>
      <c r="F433" s="96">
        <f t="shared" si="98"/>
        <v>41.38</v>
      </c>
      <c r="G433" s="16">
        <f t="shared" si="110"/>
        <v>46.650000000000006</v>
      </c>
      <c r="H433" s="16">
        <f t="shared" si="111"/>
        <v>5.27</v>
      </c>
      <c r="I433" s="16">
        <f t="shared" si="112"/>
        <v>41.38</v>
      </c>
      <c r="J433" s="57">
        <f t="shared" si="113"/>
        <v>46.650000000000006</v>
      </c>
      <c r="P433" s="97">
        <v>5.2652859999999997</v>
      </c>
      <c r="Q433" s="98">
        <v>41.38212</v>
      </c>
    </row>
    <row r="434" spans="1:17" ht="28.8" x14ac:dyDescent="0.3">
      <c r="A434" s="27" t="s">
        <v>814</v>
      </c>
      <c r="B434" s="13" t="s">
        <v>815</v>
      </c>
      <c r="C434" s="14">
        <v>1</v>
      </c>
      <c r="D434" s="15" t="s">
        <v>437</v>
      </c>
      <c r="E434" s="95">
        <f t="shared" si="97"/>
        <v>1298.8599999999999</v>
      </c>
      <c r="F434" s="96">
        <f t="shared" si="98"/>
        <v>106.66</v>
      </c>
      <c r="G434" s="16">
        <f t="shared" si="110"/>
        <v>1405.52</v>
      </c>
      <c r="H434" s="16">
        <f t="shared" si="111"/>
        <v>1298.8599999999999</v>
      </c>
      <c r="I434" s="16">
        <f t="shared" si="112"/>
        <v>106.66</v>
      </c>
      <c r="J434" s="57">
        <f t="shared" si="113"/>
        <v>1405.52</v>
      </c>
      <c r="P434" s="97">
        <v>1298.8602639999999</v>
      </c>
      <c r="Q434" s="98">
        <v>106.659891</v>
      </c>
    </row>
    <row r="435" spans="1:17" x14ac:dyDescent="0.3">
      <c r="A435" s="27" t="s">
        <v>816</v>
      </c>
      <c r="B435" s="13" t="s">
        <v>817</v>
      </c>
      <c r="C435" s="14">
        <v>1</v>
      </c>
      <c r="D435" s="15" t="s">
        <v>437</v>
      </c>
      <c r="E435" s="95">
        <f t="shared" si="97"/>
        <v>14.37</v>
      </c>
      <c r="F435" s="96">
        <f t="shared" si="98"/>
        <v>13.95</v>
      </c>
      <c r="G435" s="16">
        <f t="shared" si="110"/>
        <v>28.32</v>
      </c>
      <c r="H435" s="16">
        <f t="shared" si="111"/>
        <v>14.37</v>
      </c>
      <c r="I435" s="16">
        <f t="shared" si="112"/>
        <v>13.95</v>
      </c>
      <c r="J435" s="57">
        <f t="shared" si="113"/>
        <v>28.32</v>
      </c>
      <c r="P435" s="97">
        <v>14.365987999999998</v>
      </c>
      <c r="Q435" s="98">
        <v>13.945437999999998</v>
      </c>
    </row>
    <row r="436" spans="1:17" x14ac:dyDescent="0.3">
      <c r="A436" s="27" t="s">
        <v>818</v>
      </c>
      <c r="B436" s="13" t="s">
        <v>819</v>
      </c>
      <c r="C436" s="14">
        <v>1</v>
      </c>
      <c r="D436" s="15" t="s">
        <v>437</v>
      </c>
      <c r="E436" s="95">
        <f t="shared" si="97"/>
        <v>119.47</v>
      </c>
      <c r="F436" s="96">
        <f t="shared" si="98"/>
        <v>24.37</v>
      </c>
      <c r="G436" s="16">
        <f t="shared" si="110"/>
        <v>143.84</v>
      </c>
      <c r="H436" s="16">
        <f t="shared" si="111"/>
        <v>119.47</v>
      </c>
      <c r="I436" s="16">
        <f t="shared" si="112"/>
        <v>24.37</v>
      </c>
      <c r="J436" s="57">
        <f t="shared" si="113"/>
        <v>143.84</v>
      </c>
      <c r="P436" s="97">
        <v>119.46984399999998</v>
      </c>
      <c r="Q436" s="98">
        <v>24.366666999999996</v>
      </c>
    </row>
    <row r="437" spans="1:17" x14ac:dyDescent="0.3">
      <c r="A437" s="27" t="s">
        <v>820</v>
      </c>
      <c r="B437" s="13" t="s">
        <v>821</v>
      </c>
      <c r="C437" s="14">
        <v>32</v>
      </c>
      <c r="D437" s="15" t="s">
        <v>437</v>
      </c>
      <c r="E437" s="95">
        <f t="shared" si="97"/>
        <v>156.46</v>
      </c>
      <c r="F437" s="96">
        <f t="shared" si="98"/>
        <v>20.51</v>
      </c>
      <c r="G437" s="16">
        <f t="shared" si="110"/>
        <v>176.97</v>
      </c>
      <c r="H437" s="16">
        <f t="shared" si="111"/>
        <v>5006.72</v>
      </c>
      <c r="I437" s="16">
        <f t="shared" si="112"/>
        <v>656.32</v>
      </c>
      <c r="J437" s="57">
        <f t="shared" si="113"/>
        <v>5663.04</v>
      </c>
      <c r="P437" s="97">
        <v>156.461422</v>
      </c>
      <c r="Q437" s="98">
        <v>20.514429</v>
      </c>
    </row>
    <row r="438" spans="1:17" x14ac:dyDescent="0.3">
      <c r="A438" s="27" t="s">
        <v>822</v>
      </c>
      <c r="B438" s="13" t="s">
        <v>823</v>
      </c>
      <c r="C438" s="14">
        <v>1</v>
      </c>
      <c r="D438" s="15" t="s">
        <v>437</v>
      </c>
      <c r="E438" s="95">
        <f t="shared" si="97"/>
        <v>58.06</v>
      </c>
      <c r="F438" s="96">
        <f t="shared" si="98"/>
        <v>20.51</v>
      </c>
      <c r="G438" s="16">
        <f t="shared" si="110"/>
        <v>78.570000000000007</v>
      </c>
      <c r="H438" s="16">
        <f t="shared" si="111"/>
        <v>58.06</v>
      </c>
      <c r="I438" s="16">
        <f t="shared" si="112"/>
        <v>20.51</v>
      </c>
      <c r="J438" s="57">
        <f t="shared" si="113"/>
        <v>78.570000000000007</v>
      </c>
      <c r="P438" s="97">
        <v>58.061132999999998</v>
      </c>
      <c r="Q438" s="98">
        <v>20.514429</v>
      </c>
    </row>
    <row r="439" spans="1:17" x14ac:dyDescent="0.3">
      <c r="A439" s="27" t="s">
        <v>824</v>
      </c>
      <c r="B439" s="13" t="s">
        <v>825</v>
      </c>
      <c r="C439" s="14">
        <v>32</v>
      </c>
      <c r="D439" s="15" t="s">
        <v>437</v>
      </c>
      <c r="E439" s="95">
        <f t="shared" si="97"/>
        <v>158.15</v>
      </c>
      <c r="F439" s="96">
        <f t="shared" si="98"/>
        <v>20.51</v>
      </c>
      <c r="G439" s="16">
        <f t="shared" si="110"/>
        <v>178.66</v>
      </c>
      <c r="H439" s="16">
        <f t="shared" si="111"/>
        <v>5060.8</v>
      </c>
      <c r="I439" s="16">
        <f t="shared" si="112"/>
        <v>656.32</v>
      </c>
      <c r="J439" s="57">
        <f t="shared" si="113"/>
        <v>5717.12</v>
      </c>
      <c r="P439" s="97">
        <v>158.15203299999999</v>
      </c>
      <c r="Q439" s="98">
        <v>20.514429</v>
      </c>
    </row>
    <row r="440" spans="1:17" x14ac:dyDescent="0.3">
      <c r="A440" s="27" t="s">
        <v>826</v>
      </c>
      <c r="B440" s="13" t="s">
        <v>827</v>
      </c>
      <c r="C440" s="14">
        <v>1</v>
      </c>
      <c r="D440" s="15" t="s">
        <v>437</v>
      </c>
      <c r="E440" s="95">
        <f t="shared" si="97"/>
        <v>57.34</v>
      </c>
      <c r="F440" s="96">
        <f t="shared" si="98"/>
        <v>20.51</v>
      </c>
      <c r="G440" s="16">
        <f t="shared" si="110"/>
        <v>77.850000000000009</v>
      </c>
      <c r="H440" s="16">
        <f t="shared" si="111"/>
        <v>57.34</v>
      </c>
      <c r="I440" s="16">
        <f t="shared" si="112"/>
        <v>20.51</v>
      </c>
      <c r="J440" s="57">
        <f t="shared" si="113"/>
        <v>77.850000000000009</v>
      </c>
      <c r="P440" s="97">
        <v>57.337786999999999</v>
      </c>
      <c r="Q440" s="98">
        <v>20.514429</v>
      </c>
    </row>
    <row r="441" spans="1:17" x14ac:dyDescent="0.3">
      <c r="A441" s="27" t="s">
        <v>828</v>
      </c>
      <c r="B441" s="13" t="s">
        <v>829</v>
      </c>
      <c r="C441" s="14">
        <v>20</v>
      </c>
      <c r="D441" s="15" t="s">
        <v>437</v>
      </c>
      <c r="E441" s="95">
        <f t="shared" si="97"/>
        <v>93.98</v>
      </c>
      <c r="F441" s="96">
        <f t="shared" si="98"/>
        <v>10.41</v>
      </c>
      <c r="G441" s="16">
        <f t="shared" si="110"/>
        <v>104.39</v>
      </c>
      <c r="H441" s="16">
        <f t="shared" si="111"/>
        <v>1879.6000000000001</v>
      </c>
      <c r="I441" s="16">
        <f t="shared" si="112"/>
        <v>208.2</v>
      </c>
      <c r="J441" s="57">
        <f t="shared" si="113"/>
        <v>2087.8000000000002</v>
      </c>
      <c r="P441" s="97">
        <v>93.976102999999995</v>
      </c>
      <c r="Q441" s="98">
        <v>10.412818</v>
      </c>
    </row>
    <row r="442" spans="1:17" x14ac:dyDescent="0.3">
      <c r="A442" s="27" t="s">
        <v>830</v>
      </c>
      <c r="B442" s="13" t="s">
        <v>831</v>
      </c>
      <c r="C442" s="14">
        <v>1</v>
      </c>
      <c r="D442" s="15" t="s">
        <v>437</v>
      </c>
      <c r="E442" s="95">
        <f t="shared" si="97"/>
        <v>630.11</v>
      </c>
      <c r="F442" s="96">
        <f t="shared" si="98"/>
        <v>27.6</v>
      </c>
      <c r="G442" s="16">
        <f t="shared" si="110"/>
        <v>657.71</v>
      </c>
      <c r="H442" s="16">
        <f t="shared" si="111"/>
        <v>630.11</v>
      </c>
      <c r="I442" s="16">
        <f t="shared" si="112"/>
        <v>27.6</v>
      </c>
      <c r="J442" s="57">
        <f t="shared" si="113"/>
        <v>657.71</v>
      </c>
      <c r="P442" s="97">
        <v>630.11006499999996</v>
      </c>
      <c r="Q442" s="98">
        <v>27.596491</v>
      </c>
    </row>
    <row r="443" spans="1:17" x14ac:dyDescent="0.3">
      <c r="A443" s="27" t="s">
        <v>832</v>
      </c>
      <c r="B443" s="13" t="s">
        <v>833</v>
      </c>
      <c r="C443" s="14">
        <v>1</v>
      </c>
      <c r="D443" s="15" t="s">
        <v>437</v>
      </c>
      <c r="E443" s="95">
        <f t="shared" si="97"/>
        <v>92.51</v>
      </c>
      <c r="F443" s="96">
        <f t="shared" si="98"/>
        <v>3.39</v>
      </c>
      <c r="G443" s="16">
        <f t="shared" si="110"/>
        <v>95.9</v>
      </c>
      <c r="H443" s="16">
        <f t="shared" si="111"/>
        <v>92.51</v>
      </c>
      <c r="I443" s="16">
        <f t="shared" si="112"/>
        <v>3.39</v>
      </c>
      <c r="J443" s="57">
        <f t="shared" si="113"/>
        <v>95.9</v>
      </c>
      <c r="P443" s="97">
        <v>92.512588999999991</v>
      </c>
      <c r="Q443" s="98">
        <v>3.3896329999999999</v>
      </c>
    </row>
    <row r="444" spans="1:17" x14ac:dyDescent="0.3">
      <c r="A444" s="27" t="s">
        <v>834</v>
      </c>
      <c r="B444" s="13" t="s">
        <v>835</v>
      </c>
      <c r="C444" s="14">
        <v>1</v>
      </c>
      <c r="D444" s="15" t="s">
        <v>437</v>
      </c>
      <c r="E444" s="95">
        <f t="shared" si="97"/>
        <v>303.32</v>
      </c>
      <c r="F444" s="96">
        <f t="shared" si="98"/>
        <v>12.22</v>
      </c>
      <c r="G444" s="16">
        <f t="shared" si="110"/>
        <v>315.54000000000002</v>
      </c>
      <c r="H444" s="16">
        <f t="shared" si="111"/>
        <v>303.32</v>
      </c>
      <c r="I444" s="16">
        <f t="shared" si="112"/>
        <v>12.22</v>
      </c>
      <c r="J444" s="57">
        <f t="shared" si="113"/>
        <v>315.54000000000002</v>
      </c>
      <c r="P444" s="97">
        <v>303.31748199999998</v>
      </c>
      <c r="Q444" s="98">
        <v>12.221182999999998</v>
      </c>
    </row>
    <row r="445" spans="1:17" x14ac:dyDescent="0.3">
      <c r="A445" s="27" t="s">
        <v>836</v>
      </c>
      <c r="B445" s="13" t="s">
        <v>837</v>
      </c>
      <c r="C445" s="14">
        <v>20</v>
      </c>
      <c r="D445" s="15" t="s">
        <v>437</v>
      </c>
      <c r="E445" s="95">
        <f t="shared" si="97"/>
        <v>465.84</v>
      </c>
      <c r="F445" s="96">
        <f t="shared" si="98"/>
        <v>118.96</v>
      </c>
      <c r="G445" s="16">
        <f t="shared" si="110"/>
        <v>584.79999999999995</v>
      </c>
      <c r="H445" s="16">
        <f t="shared" si="111"/>
        <v>9316.7999999999993</v>
      </c>
      <c r="I445" s="16">
        <f t="shared" si="112"/>
        <v>2379.1999999999998</v>
      </c>
      <c r="J445" s="57">
        <f t="shared" si="113"/>
        <v>11696</v>
      </c>
      <c r="P445" s="97">
        <v>465.84323499999999</v>
      </c>
      <c r="Q445" s="98">
        <v>118.956773</v>
      </c>
    </row>
    <row r="446" spans="1:17" x14ac:dyDescent="0.3">
      <c r="A446" s="27" t="s">
        <v>838</v>
      </c>
      <c r="B446" s="13" t="s">
        <v>839</v>
      </c>
      <c r="C446" s="14">
        <v>1</v>
      </c>
      <c r="D446" s="15" t="s">
        <v>437</v>
      </c>
      <c r="E446" s="95">
        <f t="shared" si="97"/>
        <v>71.8</v>
      </c>
      <c r="F446" s="96">
        <f t="shared" si="98"/>
        <v>21.4</v>
      </c>
      <c r="G446" s="16">
        <f t="shared" si="110"/>
        <v>93.199999999999989</v>
      </c>
      <c r="H446" s="16">
        <f t="shared" si="111"/>
        <v>71.8</v>
      </c>
      <c r="I446" s="16">
        <f t="shared" si="112"/>
        <v>21.4</v>
      </c>
      <c r="J446" s="57">
        <f t="shared" si="113"/>
        <v>93.199999999999989</v>
      </c>
      <c r="P446" s="97">
        <v>71.796295999999998</v>
      </c>
      <c r="Q446" s="98">
        <v>21.397583999999998</v>
      </c>
    </row>
    <row r="447" spans="1:17" x14ac:dyDescent="0.3">
      <c r="A447" s="27" t="s">
        <v>840</v>
      </c>
      <c r="B447" s="13" t="s">
        <v>841</v>
      </c>
      <c r="C447" s="14">
        <v>32</v>
      </c>
      <c r="D447" s="15" t="s">
        <v>437</v>
      </c>
      <c r="E447" s="95">
        <f t="shared" si="97"/>
        <v>71.8</v>
      </c>
      <c r="F447" s="96">
        <f t="shared" si="98"/>
        <v>21.4</v>
      </c>
      <c r="G447" s="16">
        <f t="shared" si="110"/>
        <v>93.199999999999989</v>
      </c>
      <c r="H447" s="16">
        <f t="shared" si="111"/>
        <v>2297.6</v>
      </c>
      <c r="I447" s="16">
        <f t="shared" si="112"/>
        <v>684.8</v>
      </c>
      <c r="J447" s="57">
        <f t="shared" si="113"/>
        <v>2982.3999999999996</v>
      </c>
      <c r="P447" s="97">
        <v>71.796295999999998</v>
      </c>
      <c r="Q447" s="98">
        <v>21.397583999999998</v>
      </c>
    </row>
    <row r="448" spans="1:17" x14ac:dyDescent="0.3">
      <c r="A448" s="27" t="s">
        <v>842</v>
      </c>
      <c r="B448" s="13" t="s">
        <v>843</v>
      </c>
      <c r="C448" s="14">
        <v>1</v>
      </c>
      <c r="D448" s="15" t="s">
        <v>437</v>
      </c>
      <c r="E448" s="95">
        <f t="shared" si="97"/>
        <v>14.58</v>
      </c>
      <c r="F448" s="96">
        <f t="shared" si="98"/>
        <v>10.26</v>
      </c>
      <c r="G448" s="16">
        <f t="shared" si="110"/>
        <v>24.84</v>
      </c>
      <c r="H448" s="16">
        <f t="shared" si="111"/>
        <v>14.58</v>
      </c>
      <c r="I448" s="16">
        <f t="shared" si="112"/>
        <v>10.26</v>
      </c>
      <c r="J448" s="57">
        <f t="shared" si="113"/>
        <v>24.84</v>
      </c>
      <c r="P448" s="97">
        <v>14.584674</v>
      </c>
      <c r="Q448" s="98">
        <v>10.261419999999999</v>
      </c>
    </row>
    <row r="449" spans="1:17" x14ac:dyDescent="0.3">
      <c r="A449" s="27" t="s">
        <v>844</v>
      </c>
      <c r="B449" s="13" t="s">
        <v>845</v>
      </c>
      <c r="C449" s="14">
        <v>1</v>
      </c>
      <c r="D449" s="15" t="s">
        <v>437</v>
      </c>
      <c r="E449" s="95">
        <f t="shared" si="97"/>
        <v>367.43</v>
      </c>
      <c r="F449" s="96">
        <f t="shared" si="98"/>
        <v>7.67</v>
      </c>
      <c r="G449" s="16">
        <f t="shared" si="110"/>
        <v>375.1</v>
      </c>
      <c r="H449" s="16">
        <f t="shared" si="111"/>
        <v>367.43</v>
      </c>
      <c r="I449" s="16">
        <f t="shared" si="112"/>
        <v>7.67</v>
      </c>
      <c r="J449" s="57">
        <f t="shared" si="113"/>
        <v>375.1</v>
      </c>
      <c r="P449" s="97">
        <v>367.43453499999998</v>
      </c>
      <c r="Q449" s="98">
        <v>7.670831999999999</v>
      </c>
    </row>
    <row r="450" spans="1:17" x14ac:dyDescent="0.3">
      <c r="A450" s="27" t="s">
        <v>846</v>
      </c>
      <c r="B450" s="13" t="s">
        <v>847</v>
      </c>
      <c r="C450" s="14">
        <v>20</v>
      </c>
      <c r="D450" s="15" t="s">
        <v>437</v>
      </c>
      <c r="E450" s="95">
        <f t="shared" si="97"/>
        <v>232.61</v>
      </c>
      <c r="F450" s="96">
        <f t="shared" si="98"/>
        <v>32.369999999999997</v>
      </c>
      <c r="G450" s="16">
        <f t="shared" si="110"/>
        <v>264.98</v>
      </c>
      <c r="H450" s="16">
        <f t="shared" si="111"/>
        <v>4652.2000000000007</v>
      </c>
      <c r="I450" s="16">
        <f t="shared" si="112"/>
        <v>647.4</v>
      </c>
      <c r="J450" s="57">
        <f t="shared" si="113"/>
        <v>5299.6</v>
      </c>
      <c r="P450" s="97">
        <v>232.61461599999998</v>
      </c>
      <c r="Q450" s="98">
        <v>32.365527999999998</v>
      </c>
    </row>
    <row r="451" spans="1:17" x14ac:dyDescent="0.3">
      <c r="A451" s="27" t="s">
        <v>848</v>
      </c>
      <c r="B451" s="13" t="s">
        <v>849</v>
      </c>
      <c r="C451" s="14">
        <v>1</v>
      </c>
      <c r="D451" s="15" t="s">
        <v>437</v>
      </c>
      <c r="E451" s="95">
        <f t="shared" si="97"/>
        <v>1757.29</v>
      </c>
      <c r="F451" s="96">
        <f t="shared" si="98"/>
        <v>25.57</v>
      </c>
      <c r="G451" s="16">
        <f t="shared" si="110"/>
        <v>1782.86</v>
      </c>
      <c r="H451" s="16">
        <f t="shared" si="111"/>
        <v>1757.29</v>
      </c>
      <c r="I451" s="16">
        <f t="shared" si="112"/>
        <v>25.57</v>
      </c>
      <c r="J451" s="57">
        <f t="shared" si="113"/>
        <v>1782.86</v>
      </c>
      <c r="P451" s="97">
        <v>1757.293408</v>
      </c>
      <c r="Q451" s="98">
        <v>25.569439999999997</v>
      </c>
    </row>
    <row r="452" spans="1:17" x14ac:dyDescent="0.3">
      <c r="A452" s="27" t="s">
        <v>850</v>
      </c>
      <c r="B452" s="13" t="s">
        <v>851</v>
      </c>
      <c r="C452" s="14">
        <v>1</v>
      </c>
      <c r="D452" s="15" t="s">
        <v>437</v>
      </c>
      <c r="E452" s="95">
        <f t="shared" si="97"/>
        <v>1036.51</v>
      </c>
      <c r="F452" s="96">
        <f t="shared" si="98"/>
        <v>8.1999999999999993</v>
      </c>
      <c r="G452" s="16">
        <f t="shared" si="110"/>
        <v>1044.71</v>
      </c>
      <c r="H452" s="16">
        <f t="shared" si="111"/>
        <v>1036.51</v>
      </c>
      <c r="I452" s="16">
        <f t="shared" si="112"/>
        <v>8.1999999999999993</v>
      </c>
      <c r="J452" s="57">
        <f t="shared" si="113"/>
        <v>1044.71</v>
      </c>
      <c r="P452" s="97">
        <v>1036.5127629999999</v>
      </c>
      <c r="Q452" s="98">
        <v>8.2007250000000003</v>
      </c>
    </row>
    <row r="453" spans="1:17" x14ac:dyDescent="0.3">
      <c r="A453" s="27" t="s">
        <v>852</v>
      </c>
      <c r="B453" s="13" t="s">
        <v>853</v>
      </c>
      <c r="C453" s="14">
        <v>84</v>
      </c>
      <c r="D453" s="15" t="s">
        <v>437</v>
      </c>
      <c r="E453" s="95">
        <f t="shared" si="97"/>
        <v>47.14</v>
      </c>
      <c r="F453" s="96">
        <f t="shared" si="98"/>
        <v>8.1999999999999993</v>
      </c>
      <c r="G453" s="16">
        <f t="shared" si="110"/>
        <v>55.34</v>
      </c>
      <c r="H453" s="16">
        <f t="shared" si="111"/>
        <v>3959.76</v>
      </c>
      <c r="I453" s="16">
        <f t="shared" si="112"/>
        <v>688.8</v>
      </c>
      <c r="J453" s="57">
        <f t="shared" si="113"/>
        <v>4648.5600000000004</v>
      </c>
      <c r="P453" s="97">
        <v>47.135244</v>
      </c>
      <c r="Q453" s="98">
        <v>8.2007250000000003</v>
      </c>
    </row>
    <row r="454" spans="1:17" x14ac:dyDescent="0.3">
      <c r="A454" s="27" t="s">
        <v>854</v>
      </c>
      <c r="B454" s="13" t="s">
        <v>855</v>
      </c>
      <c r="C454" s="14">
        <v>52</v>
      </c>
      <c r="D454" s="15" t="s">
        <v>437</v>
      </c>
      <c r="E454" s="95">
        <f t="shared" si="97"/>
        <v>53.57</v>
      </c>
      <c r="F454" s="96">
        <f t="shared" si="98"/>
        <v>4.2699999999999996</v>
      </c>
      <c r="G454" s="16">
        <f t="shared" si="110"/>
        <v>57.84</v>
      </c>
      <c r="H454" s="16">
        <f t="shared" si="111"/>
        <v>2785.64</v>
      </c>
      <c r="I454" s="16">
        <f t="shared" si="112"/>
        <v>222.03999999999996</v>
      </c>
      <c r="J454" s="57">
        <f t="shared" si="113"/>
        <v>3007.6800000000003</v>
      </c>
      <c r="P454" s="97">
        <v>53.569658999999994</v>
      </c>
      <c r="Q454" s="98">
        <v>4.2727880000000003</v>
      </c>
    </row>
    <row r="455" spans="1:17" x14ac:dyDescent="0.3">
      <c r="A455" s="27" t="s">
        <v>856</v>
      </c>
      <c r="B455" s="13" t="s">
        <v>857</v>
      </c>
      <c r="C455" s="14">
        <v>1</v>
      </c>
      <c r="D455" s="15" t="s">
        <v>437</v>
      </c>
      <c r="E455" s="95">
        <f t="shared" si="97"/>
        <v>133.72</v>
      </c>
      <c r="F455" s="96">
        <f t="shared" si="98"/>
        <v>3.41</v>
      </c>
      <c r="G455" s="16">
        <f t="shared" si="110"/>
        <v>137.13</v>
      </c>
      <c r="H455" s="16">
        <f t="shared" si="111"/>
        <v>133.72</v>
      </c>
      <c r="I455" s="16">
        <f t="shared" si="112"/>
        <v>3.41</v>
      </c>
      <c r="J455" s="57">
        <f t="shared" si="113"/>
        <v>137.13</v>
      </c>
      <c r="P455" s="97">
        <v>133.71807799999999</v>
      </c>
      <c r="Q455" s="98">
        <v>3.4148659999999995</v>
      </c>
    </row>
    <row r="456" spans="1:17" x14ac:dyDescent="0.3">
      <c r="A456" s="27" t="s">
        <v>858</v>
      </c>
      <c r="B456" s="13" t="s">
        <v>859</v>
      </c>
      <c r="C456" s="14">
        <v>90</v>
      </c>
      <c r="D456" s="15" t="s">
        <v>437</v>
      </c>
      <c r="E456" s="95">
        <f t="shared" si="97"/>
        <v>217.93</v>
      </c>
      <c r="F456" s="96">
        <f t="shared" si="98"/>
        <v>2.56</v>
      </c>
      <c r="G456" s="16">
        <f t="shared" si="110"/>
        <v>220.49</v>
      </c>
      <c r="H456" s="16">
        <f t="shared" si="111"/>
        <v>19613.7</v>
      </c>
      <c r="I456" s="16">
        <f t="shared" si="112"/>
        <v>230.4</v>
      </c>
      <c r="J456" s="57">
        <f t="shared" si="113"/>
        <v>19844.100000000002</v>
      </c>
      <c r="P456" s="97">
        <v>217.92901000000001</v>
      </c>
      <c r="Q456" s="98">
        <v>2.5569440000000001</v>
      </c>
    </row>
    <row r="457" spans="1:17" x14ac:dyDescent="0.3">
      <c r="A457" s="27" t="s">
        <v>860</v>
      </c>
      <c r="B457" s="13" t="s">
        <v>861</v>
      </c>
      <c r="C457" s="14">
        <v>1</v>
      </c>
      <c r="D457" s="15" t="s">
        <v>36</v>
      </c>
      <c r="E457" s="95">
        <f t="shared" si="97"/>
        <v>826.83</v>
      </c>
      <c r="F457" s="96">
        <f t="shared" si="98"/>
        <v>52.07</v>
      </c>
      <c r="G457" s="16">
        <f t="shared" si="110"/>
        <v>878.90000000000009</v>
      </c>
      <c r="H457" s="16">
        <f t="shared" si="111"/>
        <v>826.83</v>
      </c>
      <c r="I457" s="16">
        <f t="shared" si="112"/>
        <v>52.07</v>
      </c>
      <c r="J457" s="57">
        <f t="shared" si="113"/>
        <v>878.90000000000009</v>
      </c>
      <c r="P457" s="97">
        <v>826.82653299999993</v>
      </c>
      <c r="Q457" s="98">
        <v>52.072500999999995</v>
      </c>
    </row>
    <row r="458" spans="1:17" x14ac:dyDescent="0.3">
      <c r="A458" s="27" t="s">
        <v>862</v>
      </c>
      <c r="B458" s="13" t="s">
        <v>863</v>
      </c>
      <c r="C458" s="14">
        <v>1</v>
      </c>
      <c r="D458" s="15" t="s">
        <v>85</v>
      </c>
      <c r="E458" s="95">
        <f t="shared" ref="E458:E514" si="114">ROUND(P458,2)</f>
        <v>38.17</v>
      </c>
      <c r="F458" s="96">
        <f t="shared" ref="F458:F514" si="115">ROUND(Q458,2)</f>
        <v>41.02</v>
      </c>
      <c r="G458" s="16">
        <f t="shared" si="110"/>
        <v>79.19</v>
      </c>
      <c r="H458" s="16">
        <f t="shared" si="111"/>
        <v>38.17</v>
      </c>
      <c r="I458" s="16">
        <f t="shared" si="112"/>
        <v>41.02</v>
      </c>
      <c r="J458" s="57">
        <f t="shared" si="113"/>
        <v>79.19</v>
      </c>
      <c r="P458" s="97">
        <v>38.169117999999997</v>
      </c>
      <c r="Q458" s="98">
        <v>41.020446999999997</v>
      </c>
    </row>
    <row r="459" spans="1:17" x14ac:dyDescent="0.3">
      <c r="A459" s="27" t="s">
        <v>864</v>
      </c>
      <c r="B459" s="13" t="s">
        <v>865</v>
      </c>
      <c r="C459" s="14">
        <v>64</v>
      </c>
      <c r="D459" s="15" t="s">
        <v>85</v>
      </c>
      <c r="E459" s="95">
        <f t="shared" si="114"/>
        <v>81.16</v>
      </c>
      <c r="F459" s="96">
        <f t="shared" si="115"/>
        <v>20.51</v>
      </c>
      <c r="G459" s="16">
        <f t="shared" si="110"/>
        <v>101.67</v>
      </c>
      <c r="H459" s="16">
        <f t="shared" si="111"/>
        <v>5194.24</v>
      </c>
      <c r="I459" s="16">
        <f t="shared" si="112"/>
        <v>1312.64</v>
      </c>
      <c r="J459" s="57">
        <f t="shared" si="113"/>
        <v>6506.88</v>
      </c>
      <c r="P459" s="97">
        <v>81.157738999999992</v>
      </c>
      <c r="Q459" s="98">
        <v>20.514429</v>
      </c>
    </row>
    <row r="460" spans="1:17" x14ac:dyDescent="0.3">
      <c r="A460" s="27" t="s">
        <v>866</v>
      </c>
      <c r="B460" s="13" t="s">
        <v>867</v>
      </c>
      <c r="C460" s="14">
        <v>1</v>
      </c>
      <c r="D460" s="15" t="s">
        <v>85</v>
      </c>
      <c r="E460" s="95">
        <f t="shared" si="114"/>
        <v>205.41</v>
      </c>
      <c r="F460" s="96">
        <f t="shared" si="115"/>
        <v>2.56</v>
      </c>
      <c r="G460" s="16">
        <f t="shared" si="110"/>
        <v>207.97</v>
      </c>
      <c r="H460" s="16">
        <f t="shared" si="111"/>
        <v>205.41</v>
      </c>
      <c r="I460" s="16">
        <f t="shared" si="112"/>
        <v>2.56</v>
      </c>
      <c r="J460" s="57">
        <f t="shared" si="113"/>
        <v>207.97</v>
      </c>
      <c r="P460" s="97">
        <v>205.41344199999997</v>
      </c>
      <c r="Q460" s="98">
        <v>2.5569440000000001</v>
      </c>
    </row>
    <row r="461" spans="1:17" x14ac:dyDescent="0.3">
      <c r="A461" s="27" t="s">
        <v>868</v>
      </c>
      <c r="B461" s="13" t="s">
        <v>869</v>
      </c>
      <c r="C461" s="14">
        <v>1</v>
      </c>
      <c r="D461" s="15" t="s">
        <v>437</v>
      </c>
      <c r="E461" s="95">
        <f t="shared" si="114"/>
        <v>113.13</v>
      </c>
      <c r="F461" s="96">
        <f t="shared" si="115"/>
        <v>4.2699999999999996</v>
      </c>
      <c r="G461" s="16">
        <f t="shared" si="110"/>
        <v>117.39999999999999</v>
      </c>
      <c r="H461" s="16">
        <f t="shared" si="111"/>
        <v>113.13</v>
      </c>
      <c r="I461" s="16">
        <f t="shared" si="112"/>
        <v>4.2699999999999996</v>
      </c>
      <c r="J461" s="57">
        <f t="shared" si="113"/>
        <v>117.39999999999999</v>
      </c>
      <c r="P461" s="97">
        <v>113.12795</v>
      </c>
      <c r="Q461" s="98">
        <v>4.2727880000000003</v>
      </c>
    </row>
    <row r="462" spans="1:17" x14ac:dyDescent="0.3">
      <c r="A462" s="27" t="s">
        <v>870</v>
      </c>
      <c r="B462" s="13" t="s">
        <v>871</v>
      </c>
      <c r="C462" s="14">
        <v>1</v>
      </c>
      <c r="D462" s="15" t="s">
        <v>437</v>
      </c>
      <c r="E462" s="95">
        <f t="shared" si="114"/>
        <v>69.180000000000007</v>
      </c>
      <c r="F462" s="96">
        <f t="shared" si="115"/>
        <v>20.51</v>
      </c>
      <c r="G462" s="16">
        <f t="shared" si="110"/>
        <v>89.690000000000012</v>
      </c>
      <c r="H462" s="16">
        <f t="shared" si="111"/>
        <v>69.180000000000007</v>
      </c>
      <c r="I462" s="16">
        <f t="shared" si="112"/>
        <v>20.51</v>
      </c>
      <c r="J462" s="57">
        <f t="shared" si="113"/>
        <v>89.690000000000012</v>
      </c>
      <c r="P462" s="97">
        <v>69.180475000000001</v>
      </c>
      <c r="Q462" s="98">
        <v>20.514429</v>
      </c>
    </row>
    <row r="463" spans="1:17" x14ac:dyDescent="0.3">
      <c r="A463" s="25">
        <v>29</v>
      </c>
      <c r="B463" s="26" t="s">
        <v>872</v>
      </c>
      <c r="C463" s="9"/>
      <c r="D463" s="9"/>
      <c r="E463" s="95">
        <f t="shared" si="114"/>
        <v>0</v>
      </c>
      <c r="F463" s="96">
        <f t="shared" si="115"/>
        <v>0</v>
      </c>
      <c r="G463" s="11">
        <f t="shared" ref="G463:I463" si="116">SUBTOTAL(109,G464:G514)</f>
        <v>118789.23000000001</v>
      </c>
      <c r="H463" s="11">
        <f t="shared" si="116"/>
        <v>323791.49000000011</v>
      </c>
      <c r="I463" s="11">
        <f t="shared" si="116"/>
        <v>103881.66999999998</v>
      </c>
      <c r="J463" s="56">
        <f>SUBTOTAL(109,J464:J514)</f>
        <v>427673.16</v>
      </c>
      <c r="P463" s="87"/>
      <c r="Q463" s="88"/>
    </row>
    <row r="464" spans="1:17" x14ac:dyDescent="0.3">
      <c r="A464" s="27" t="s">
        <v>873</v>
      </c>
      <c r="B464" s="13" t="s">
        <v>874</v>
      </c>
      <c r="C464" s="14">
        <v>1</v>
      </c>
      <c r="D464" s="15" t="s">
        <v>25</v>
      </c>
      <c r="E464" s="95">
        <f t="shared" si="114"/>
        <v>32.770000000000003</v>
      </c>
      <c r="F464" s="96">
        <f t="shared" si="115"/>
        <v>6.35</v>
      </c>
      <c r="G464" s="16">
        <f t="shared" ref="G464:G514" si="117">SUM(E464:F464)</f>
        <v>39.120000000000005</v>
      </c>
      <c r="H464" s="16">
        <f t="shared" ref="H464:H495" si="118">C464*E464</f>
        <v>32.770000000000003</v>
      </c>
      <c r="I464" s="16">
        <f t="shared" ref="I464:I495" si="119">C464*F464</f>
        <v>6.35</v>
      </c>
      <c r="J464" s="57">
        <f t="shared" ref="J464:J495" si="120">SUM(E464:F464)*C464</f>
        <v>39.120000000000005</v>
      </c>
      <c r="P464" s="97">
        <v>32.769255999999999</v>
      </c>
      <c r="Q464" s="98">
        <v>6.3503049999999996</v>
      </c>
    </row>
    <row r="465" spans="1:17" ht="28.8" x14ac:dyDescent="0.3">
      <c r="A465" s="27" t="s">
        <v>875</v>
      </c>
      <c r="B465" s="13" t="s">
        <v>876</v>
      </c>
      <c r="C465" s="14">
        <v>133</v>
      </c>
      <c r="D465" s="15" t="s">
        <v>877</v>
      </c>
      <c r="E465" s="95">
        <f t="shared" si="114"/>
        <v>14.99</v>
      </c>
      <c r="F465" s="96">
        <f t="shared" si="115"/>
        <v>10.49</v>
      </c>
      <c r="G465" s="16">
        <f t="shared" si="117"/>
        <v>25.48</v>
      </c>
      <c r="H465" s="16">
        <f t="shared" si="118"/>
        <v>1993.67</v>
      </c>
      <c r="I465" s="16">
        <f t="shared" si="119"/>
        <v>1395.17</v>
      </c>
      <c r="J465" s="57">
        <f t="shared" si="120"/>
        <v>3388.84</v>
      </c>
      <c r="P465" s="97">
        <v>14.988401999999999</v>
      </c>
      <c r="Q465" s="98">
        <v>10.488517</v>
      </c>
    </row>
    <row r="466" spans="1:17" x14ac:dyDescent="0.3">
      <c r="A466" s="27" t="s">
        <v>878</v>
      </c>
      <c r="B466" s="13" t="s">
        <v>879</v>
      </c>
      <c r="C466" s="14">
        <v>26</v>
      </c>
      <c r="D466" s="15" t="s">
        <v>25</v>
      </c>
      <c r="E466" s="95">
        <f t="shared" si="114"/>
        <v>239.56</v>
      </c>
      <c r="F466" s="96">
        <f t="shared" si="115"/>
        <v>11.96</v>
      </c>
      <c r="G466" s="16">
        <f t="shared" si="117"/>
        <v>251.52</v>
      </c>
      <c r="H466" s="16">
        <f t="shared" si="118"/>
        <v>6228.56</v>
      </c>
      <c r="I466" s="16">
        <f t="shared" si="119"/>
        <v>310.96000000000004</v>
      </c>
      <c r="J466" s="57">
        <f t="shared" si="120"/>
        <v>6539.52</v>
      </c>
      <c r="P466" s="97">
        <v>239.56210199999998</v>
      </c>
      <c r="Q466" s="98">
        <v>11.960442</v>
      </c>
    </row>
    <row r="467" spans="1:17" ht="28.8" x14ac:dyDescent="0.3">
      <c r="A467" s="27" t="s">
        <v>880</v>
      </c>
      <c r="B467" s="13" t="s">
        <v>881</v>
      </c>
      <c r="C467" s="14">
        <v>1</v>
      </c>
      <c r="D467" s="15" t="s">
        <v>877</v>
      </c>
      <c r="E467" s="95">
        <f t="shared" si="114"/>
        <v>17.32</v>
      </c>
      <c r="F467" s="96">
        <f t="shared" si="115"/>
        <v>6.29</v>
      </c>
      <c r="G467" s="16">
        <f t="shared" si="117"/>
        <v>23.61</v>
      </c>
      <c r="H467" s="16">
        <f t="shared" si="118"/>
        <v>17.32</v>
      </c>
      <c r="I467" s="16">
        <f t="shared" si="119"/>
        <v>6.29</v>
      </c>
      <c r="J467" s="57">
        <f t="shared" si="120"/>
        <v>23.61</v>
      </c>
      <c r="P467" s="97">
        <v>17.318248999999998</v>
      </c>
      <c r="Q467" s="98">
        <v>6.2914279999999998</v>
      </c>
    </row>
    <row r="468" spans="1:17" x14ac:dyDescent="0.3">
      <c r="A468" s="27" t="s">
        <v>882</v>
      </c>
      <c r="B468" s="13" t="s">
        <v>883</v>
      </c>
      <c r="C468" s="14">
        <v>1</v>
      </c>
      <c r="D468" s="15" t="s">
        <v>884</v>
      </c>
      <c r="E468" s="95">
        <f t="shared" si="114"/>
        <v>395.48</v>
      </c>
      <c r="F468" s="96">
        <f t="shared" si="115"/>
        <v>93.49</v>
      </c>
      <c r="G468" s="16">
        <f t="shared" si="117"/>
        <v>488.97</v>
      </c>
      <c r="H468" s="16">
        <f t="shared" si="118"/>
        <v>395.48</v>
      </c>
      <c r="I468" s="16">
        <f t="shared" si="119"/>
        <v>93.49</v>
      </c>
      <c r="J468" s="57">
        <f t="shared" si="120"/>
        <v>488.97</v>
      </c>
      <c r="P468" s="97">
        <v>395.476809</v>
      </c>
      <c r="Q468" s="98">
        <v>93.488264999999998</v>
      </c>
    </row>
    <row r="469" spans="1:17" x14ac:dyDescent="0.3">
      <c r="A469" s="27" t="s">
        <v>885</v>
      </c>
      <c r="B469" s="13" t="s">
        <v>886</v>
      </c>
      <c r="C469" s="14">
        <v>1703</v>
      </c>
      <c r="D469" s="15" t="s">
        <v>25</v>
      </c>
      <c r="E469" s="95">
        <f t="shared" si="114"/>
        <v>18.66</v>
      </c>
      <c r="F469" s="96">
        <f t="shared" si="115"/>
        <v>1.44</v>
      </c>
      <c r="G469" s="16">
        <f t="shared" si="117"/>
        <v>20.100000000000001</v>
      </c>
      <c r="H469" s="16">
        <f t="shared" si="118"/>
        <v>31777.98</v>
      </c>
      <c r="I469" s="16">
        <f t="shared" si="119"/>
        <v>2452.3199999999997</v>
      </c>
      <c r="J469" s="57">
        <f t="shared" si="120"/>
        <v>34230.300000000003</v>
      </c>
      <c r="P469" s="97">
        <v>18.655597999999998</v>
      </c>
      <c r="Q469" s="98">
        <v>1.4382809999999999</v>
      </c>
    </row>
    <row r="470" spans="1:17" x14ac:dyDescent="0.3">
      <c r="A470" s="27" t="s">
        <v>887</v>
      </c>
      <c r="B470" s="13" t="s">
        <v>888</v>
      </c>
      <c r="C470" s="14">
        <v>399</v>
      </c>
      <c r="D470" s="15" t="s">
        <v>877</v>
      </c>
      <c r="E470" s="95">
        <f t="shared" si="114"/>
        <v>11.35</v>
      </c>
      <c r="F470" s="96">
        <f t="shared" si="115"/>
        <v>9.9700000000000006</v>
      </c>
      <c r="G470" s="16">
        <f t="shared" si="117"/>
        <v>21.32</v>
      </c>
      <c r="H470" s="16">
        <f t="shared" si="118"/>
        <v>4528.6499999999996</v>
      </c>
      <c r="I470" s="16">
        <f t="shared" si="119"/>
        <v>3978.03</v>
      </c>
      <c r="J470" s="57">
        <f t="shared" si="120"/>
        <v>8506.68</v>
      </c>
      <c r="P470" s="97">
        <v>11.346439</v>
      </c>
      <c r="Q470" s="98">
        <v>9.9670349999999992</v>
      </c>
    </row>
    <row r="471" spans="1:17" x14ac:dyDescent="0.3">
      <c r="A471" s="27" t="s">
        <v>889</v>
      </c>
      <c r="B471" s="13" t="s">
        <v>890</v>
      </c>
      <c r="C471" s="14">
        <v>1</v>
      </c>
      <c r="D471" s="15" t="s">
        <v>25</v>
      </c>
      <c r="E471" s="95">
        <f t="shared" si="114"/>
        <v>117.67</v>
      </c>
      <c r="F471" s="96">
        <f t="shared" si="115"/>
        <v>79.739999999999995</v>
      </c>
      <c r="G471" s="16">
        <f t="shared" si="117"/>
        <v>197.41</v>
      </c>
      <c r="H471" s="16">
        <f t="shared" si="118"/>
        <v>117.67</v>
      </c>
      <c r="I471" s="16">
        <f t="shared" si="119"/>
        <v>79.739999999999995</v>
      </c>
      <c r="J471" s="57">
        <f t="shared" si="120"/>
        <v>197.41</v>
      </c>
      <c r="P471" s="97">
        <v>117.66989</v>
      </c>
      <c r="Q471" s="98">
        <v>79.744691000000003</v>
      </c>
    </row>
    <row r="472" spans="1:17" ht="28.8" x14ac:dyDescent="0.3">
      <c r="A472" s="27" t="s">
        <v>891</v>
      </c>
      <c r="B472" s="13" t="s">
        <v>892</v>
      </c>
      <c r="C472" s="14">
        <v>1</v>
      </c>
      <c r="D472" s="15" t="s">
        <v>25</v>
      </c>
      <c r="E472" s="95">
        <f t="shared" si="114"/>
        <v>121.7</v>
      </c>
      <c r="F472" s="96">
        <f t="shared" si="115"/>
        <v>39.880000000000003</v>
      </c>
      <c r="G472" s="16">
        <f t="shared" si="117"/>
        <v>161.58000000000001</v>
      </c>
      <c r="H472" s="16">
        <f t="shared" si="118"/>
        <v>121.7</v>
      </c>
      <c r="I472" s="16">
        <f t="shared" si="119"/>
        <v>39.880000000000003</v>
      </c>
      <c r="J472" s="57">
        <f t="shared" si="120"/>
        <v>161.58000000000001</v>
      </c>
      <c r="P472" s="97">
        <v>121.698759</v>
      </c>
      <c r="Q472" s="98">
        <v>39.876550999999992</v>
      </c>
    </row>
    <row r="473" spans="1:17" ht="28.8" x14ac:dyDescent="0.3">
      <c r="A473" s="27" t="s">
        <v>893</v>
      </c>
      <c r="B473" s="13" t="s">
        <v>894</v>
      </c>
      <c r="C473" s="14">
        <v>186</v>
      </c>
      <c r="D473" s="15" t="s">
        <v>25</v>
      </c>
      <c r="E473" s="95">
        <f t="shared" si="114"/>
        <v>122.06</v>
      </c>
      <c r="F473" s="96">
        <f t="shared" si="115"/>
        <v>39.880000000000003</v>
      </c>
      <c r="G473" s="16">
        <f t="shared" si="117"/>
        <v>161.94</v>
      </c>
      <c r="H473" s="16">
        <f t="shared" si="118"/>
        <v>22703.16</v>
      </c>
      <c r="I473" s="16">
        <f t="shared" si="119"/>
        <v>7417.68</v>
      </c>
      <c r="J473" s="57">
        <f t="shared" si="120"/>
        <v>30120.84</v>
      </c>
      <c r="P473" s="97">
        <v>122.06043199999999</v>
      </c>
      <c r="Q473" s="98">
        <v>39.876550999999992</v>
      </c>
    </row>
    <row r="474" spans="1:17" x14ac:dyDescent="0.3">
      <c r="A474" s="27" t="s">
        <v>895</v>
      </c>
      <c r="B474" s="13" t="s">
        <v>896</v>
      </c>
      <c r="C474" s="14">
        <v>2922</v>
      </c>
      <c r="D474" s="15" t="s">
        <v>877</v>
      </c>
      <c r="E474" s="95">
        <f t="shared" si="114"/>
        <v>1.73</v>
      </c>
      <c r="F474" s="96">
        <f t="shared" si="115"/>
        <v>6.29</v>
      </c>
      <c r="G474" s="16">
        <f t="shared" si="117"/>
        <v>8.02</v>
      </c>
      <c r="H474" s="16">
        <f t="shared" si="118"/>
        <v>5055.0600000000004</v>
      </c>
      <c r="I474" s="16">
        <f t="shared" si="119"/>
        <v>18379.38</v>
      </c>
      <c r="J474" s="57">
        <f t="shared" si="120"/>
        <v>23434.44</v>
      </c>
      <c r="P474" s="97">
        <v>1.732666</v>
      </c>
      <c r="Q474" s="98">
        <v>6.2914279999999998</v>
      </c>
    </row>
    <row r="475" spans="1:17" x14ac:dyDescent="0.3">
      <c r="A475" s="27" t="s">
        <v>897</v>
      </c>
      <c r="B475" s="13" t="s">
        <v>898</v>
      </c>
      <c r="C475" s="14">
        <v>442</v>
      </c>
      <c r="D475" s="15" t="s">
        <v>877</v>
      </c>
      <c r="E475" s="95">
        <f t="shared" si="114"/>
        <v>7.85</v>
      </c>
      <c r="F475" s="96">
        <f t="shared" si="115"/>
        <v>6.29</v>
      </c>
      <c r="G475" s="16">
        <f t="shared" si="117"/>
        <v>14.14</v>
      </c>
      <c r="H475" s="16">
        <f t="shared" si="118"/>
        <v>3469.7</v>
      </c>
      <c r="I475" s="16">
        <f t="shared" si="119"/>
        <v>2780.18</v>
      </c>
      <c r="J475" s="57">
        <f t="shared" si="120"/>
        <v>6249.88</v>
      </c>
      <c r="P475" s="97">
        <v>7.8474629999999994</v>
      </c>
      <c r="Q475" s="98">
        <v>6.2914279999999998</v>
      </c>
    </row>
    <row r="476" spans="1:17" ht="28.8" x14ac:dyDescent="0.3">
      <c r="A476" s="27" t="s">
        <v>899</v>
      </c>
      <c r="B476" s="13" t="s">
        <v>900</v>
      </c>
      <c r="C476" s="14">
        <v>250</v>
      </c>
      <c r="D476" s="15" t="s">
        <v>901</v>
      </c>
      <c r="E476" s="95">
        <f t="shared" si="114"/>
        <v>151.69</v>
      </c>
      <c r="F476" s="96">
        <f t="shared" si="115"/>
        <v>39.880000000000003</v>
      </c>
      <c r="G476" s="16">
        <f t="shared" si="117"/>
        <v>191.57</v>
      </c>
      <c r="H476" s="16">
        <f t="shared" si="118"/>
        <v>37922.5</v>
      </c>
      <c r="I476" s="16">
        <f t="shared" si="119"/>
        <v>9970</v>
      </c>
      <c r="J476" s="57">
        <f t="shared" si="120"/>
        <v>47892.5</v>
      </c>
      <c r="P476" s="97">
        <v>151.692385</v>
      </c>
      <c r="Q476" s="98">
        <v>39.876550999999992</v>
      </c>
    </row>
    <row r="477" spans="1:17" ht="28.8" x14ac:dyDescent="0.3">
      <c r="A477" s="27" t="s">
        <v>902</v>
      </c>
      <c r="B477" s="13" t="s">
        <v>903</v>
      </c>
      <c r="C477" s="14">
        <v>169</v>
      </c>
      <c r="D477" s="15" t="s">
        <v>901</v>
      </c>
      <c r="E477" s="95">
        <f t="shared" si="114"/>
        <v>357.73</v>
      </c>
      <c r="F477" s="96">
        <f t="shared" si="115"/>
        <v>39.880000000000003</v>
      </c>
      <c r="G477" s="16">
        <f t="shared" si="117"/>
        <v>397.61</v>
      </c>
      <c r="H477" s="16">
        <f t="shared" si="118"/>
        <v>60456.37</v>
      </c>
      <c r="I477" s="16">
        <f t="shared" si="119"/>
        <v>6739.72</v>
      </c>
      <c r="J477" s="57">
        <f t="shared" si="120"/>
        <v>67196.09</v>
      </c>
      <c r="P477" s="97">
        <v>357.72824099999997</v>
      </c>
      <c r="Q477" s="98">
        <v>39.876550999999992</v>
      </c>
    </row>
    <row r="478" spans="1:17" ht="28.8" x14ac:dyDescent="0.3">
      <c r="A478" s="27" t="s">
        <v>904</v>
      </c>
      <c r="B478" s="13" t="s">
        <v>905</v>
      </c>
      <c r="C478" s="14">
        <v>17</v>
      </c>
      <c r="D478" s="15" t="s">
        <v>901</v>
      </c>
      <c r="E478" s="95">
        <f t="shared" si="114"/>
        <v>352.09</v>
      </c>
      <c r="F478" s="96">
        <f t="shared" si="115"/>
        <v>39.880000000000003</v>
      </c>
      <c r="G478" s="16">
        <f t="shared" si="117"/>
        <v>391.96999999999997</v>
      </c>
      <c r="H478" s="16">
        <f t="shared" si="118"/>
        <v>5985.53</v>
      </c>
      <c r="I478" s="16">
        <f t="shared" si="119"/>
        <v>677.96</v>
      </c>
      <c r="J478" s="57">
        <f t="shared" si="120"/>
        <v>6663.49</v>
      </c>
      <c r="P478" s="97">
        <v>352.092871</v>
      </c>
      <c r="Q478" s="98">
        <v>39.876550999999992</v>
      </c>
    </row>
    <row r="479" spans="1:17" x14ac:dyDescent="0.3">
      <c r="A479" s="27" t="s">
        <v>906</v>
      </c>
      <c r="B479" s="13" t="s">
        <v>907</v>
      </c>
      <c r="C479" s="14">
        <v>1</v>
      </c>
      <c r="D479" s="15" t="s">
        <v>25</v>
      </c>
      <c r="E479" s="95">
        <f t="shared" si="114"/>
        <v>740.87</v>
      </c>
      <c r="F479" s="96">
        <f t="shared" si="115"/>
        <v>119.62</v>
      </c>
      <c r="G479" s="16">
        <f t="shared" si="117"/>
        <v>860.49</v>
      </c>
      <c r="H479" s="16">
        <f t="shared" si="118"/>
        <v>740.87</v>
      </c>
      <c r="I479" s="16">
        <f t="shared" si="119"/>
        <v>119.62</v>
      </c>
      <c r="J479" s="57">
        <f t="shared" si="120"/>
        <v>860.49</v>
      </c>
      <c r="P479" s="97">
        <v>740.86611300000004</v>
      </c>
      <c r="Q479" s="98">
        <v>119.621242</v>
      </c>
    </row>
    <row r="480" spans="1:17" x14ac:dyDescent="0.3">
      <c r="A480" s="27" t="s">
        <v>908</v>
      </c>
      <c r="B480" s="13" t="s">
        <v>909</v>
      </c>
      <c r="C480" s="14">
        <v>26</v>
      </c>
      <c r="D480" s="15" t="s">
        <v>25</v>
      </c>
      <c r="E480" s="95">
        <f t="shared" si="114"/>
        <v>256.51</v>
      </c>
      <c r="F480" s="96">
        <f t="shared" si="115"/>
        <v>126.66</v>
      </c>
      <c r="G480" s="16">
        <f t="shared" si="117"/>
        <v>383.16999999999996</v>
      </c>
      <c r="H480" s="16">
        <f t="shared" si="118"/>
        <v>6669.26</v>
      </c>
      <c r="I480" s="16">
        <f t="shared" si="119"/>
        <v>3293.16</v>
      </c>
      <c r="J480" s="57">
        <f t="shared" si="120"/>
        <v>9962.4199999999983</v>
      </c>
      <c r="P480" s="97">
        <v>256.510267</v>
      </c>
      <c r="Q480" s="98">
        <v>126.661249</v>
      </c>
    </row>
    <row r="481" spans="1:17" x14ac:dyDescent="0.3">
      <c r="A481" s="27" t="s">
        <v>910</v>
      </c>
      <c r="B481" s="13" t="s">
        <v>911</v>
      </c>
      <c r="C481" s="14">
        <v>26</v>
      </c>
      <c r="D481" s="15" t="s">
        <v>25</v>
      </c>
      <c r="E481" s="95">
        <f t="shared" si="114"/>
        <v>360.7</v>
      </c>
      <c r="F481" s="96">
        <f t="shared" si="115"/>
        <v>82.76</v>
      </c>
      <c r="G481" s="16">
        <f t="shared" si="117"/>
        <v>443.46</v>
      </c>
      <c r="H481" s="16">
        <f t="shared" si="118"/>
        <v>9378.1999999999989</v>
      </c>
      <c r="I481" s="16">
        <f t="shared" si="119"/>
        <v>2151.7600000000002</v>
      </c>
      <c r="J481" s="57">
        <f t="shared" si="120"/>
        <v>11529.96</v>
      </c>
      <c r="P481" s="97">
        <v>360.69732399999998</v>
      </c>
      <c r="Q481" s="98">
        <v>82.755828999999991</v>
      </c>
    </row>
    <row r="482" spans="1:17" x14ac:dyDescent="0.3">
      <c r="A482" s="27" t="s">
        <v>912</v>
      </c>
      <c r="B482" s="13" t="s">
        <v>913</v>
      </c>
      <c r="C482" s="14">
        <v>20</v>
      </c>
      <c r="D482" s="15" t="s">
        <v>25</v>
      </c>
      <c r="E482" s="95">
        <f t="shared" si="114"/>
        <v>2.08</v>
      </c>
      <c r="F482" s="96">
        <f t="shared" si="115"/>
        <v>110.23</v>
      </c>
      <c r="G482" s="16">
        <f t="shared" si="117"/>
        <v>112.31</v>
      </c>
      <c r="H482" s="16">
        <f t="shared" si="118"/>
        <v>41.6</v>
      </c>
      <c r="I482" s="16">
        <f t="shared" si="119"/>
        <v>2204.6</v>
      </c>
      <c r="J482" s="57">
        <f t="shared" si="120"/>
        <v>2246.1999999999998</v>
      </c>
      <c r="P482" s="97">
        <v>2.0775170000000003</v>
      </c>
      <c r="Q482" s="98">
        <v>110.22615500000001</v>
      </c>
    </row>
    <row r="483" spans="1:17" x14ac:dyDescent="0.3">
      <c r="A483" s="27" t="s">
        <v>914</v>
      </c>
      <c r="B483" s="13" t="s">
        <v>915</v>
      </c>
      <c r="C483" s="14">
        <v>1</v>
      </c>
      <c r="D483" s="15" t="s">
        <v>25</v>
      </c>
      <c r="E483" s="95">
        <f t="shared" si="114"/>
        <v>2.81</v>
      </c>
      <c r="F483" s="96">
        <f t="shared" si="115"/>
        <v>117.6</v>
      </c>
      <c r="G483" s="16">
        <f t="shared" si="117"/>
        <v>120.41</v>
      </c>
      <c r="H483" s="16">
        <f t="shared" si="118"/>
        <v>2.81</v>
      </c>
      <c r="I483" s="16">
        <f t="shared" si="119"/>
        <v>117.6</v>
      </c>
      <c r="J483" s="57">
        <f t="shared" si="120"/>
        <v>120.41</v>
      </c>
      <c r="P483" s="97">
        <v>2.8092739999999998</v>
      </c>
      <c r="Q483" s="98">
        <v>117.60260199999999</v>
      </c>
    </row>
    <row r="484" spans="1:17" x14ac:dyDescent="0.3">
      <c r="A484" s="27" t="s">
        <v>916</v>
      </c>
      <c r="B484" s="13" t="s">
        <v>917</v>
      </c>
      <c r="C484" s="14">
        <v>1</v>
      </c>
      <c r="D484" s="15" t="s">
        <v>11</v>
      </c>
      <c r="E484" s="95">
        <f t="shared" si="114"/>
        <v>384.68</v>
      </c>
      <c r="F484" s="96">
        <f t="shared" si="115"/>
        <v>85.34</v>
      </c>
      <c r="G484" s="16">
        <f t="shared" si="117"/>
        <v>470.02</v>
      </c>
      <c r="H484" s="16">
        <f t="shared" si="118"/>
        <v>384.68</v>
      </c>
      <c r="I484" s="16">
        <f t="shared" si="119"/>
        <v>85.34</v>
      </c>
      <c r="J484" s="57">
        <f t="shared" si="120"/>
        <v>470.02</v>
      </c>
      <c r="P484" s="97">
        <v>384.67708499999998</v>
      </c>
      <c r="Q484" s="98">
        <v>85.338005999999993</v>
      </c>
    </row>
    <row r="485" spans="1:17" x14ac:dyDescent="0.3">
      <c r="A485" s="27" t="s">
        <v>918</v>
      </c>
      <c r="B485" s="13" t="s">
        <v>919</v>
      </c>
      <c r="C485" s="14">
        <v>199</v>
      </c>
      <c r="D485" s="15" t="s">
        <v>11</v>
      </c>
      <c r="E485" s="95">
        <f t="shared" si="114"/>
        <v>7.21</v>
      </c>
      <c r="F485" s="96">
        <f t="shared" si="115"/>
        <v>85.34</v>
      </c>
      <c r="G485" s="16">
        <f t="shared" si="117"/>
        <v>92.55</v>
      </c>
      <c r="H485" s="16">
        <f t="shared" si="118"/>
        <v>1434.79</v>
      </c>
      <c r="I485" s="16">
        <f t="shared" si="119"/>
        <v>16982.66</v>
      </c>
      <c r="J485" s="57">
        <f t="shared" si="120"/>
        <v>18417.45</v>
      </c>
      <c r="P485" s="97">
        <v>7.2082269999999999</v>
      </c>
      <c r="Q485" s="98">
        <v>85.338005999999993</v>
      </c>
    </row>
    <row r="486" spans="1:17" x14ac:dyDescent="0.3">
      <c r="A486" s="27" t="s">
        <v>920</v>
      </c>
      <c r="B486" s="13" t="s">
        <v>921</v>
      </c>
      <c r="C486" s="14">
        <v>1</v>
      </c>
      <c r="D486" s="15" t="s">
        <v>36</v>
      </c>
      <c r="E486" s="95">
        <f t="shared" si="114"/>
        <v>1072.3499999999999</v>
      </c>
      <c r="F486" s="96">
        <f t="shared" si="115"/>
        <v>85.34</v>
      </c>
      <c r="G486" s="16">
        <f t="shared" si="117"/>
        <v>1157.6899999999998</v>
      </c>
      <c r="H486" s="16">
        <f t="shared" si="118"/>
        <v>1072.3499999999999</v>
      </c>
      <c r="I486" s="16">
        <f t="shared" si="119"/>
        <v>85.34</v>
      </c>
      <c r="J486" s="57">
        <f t="shared" si="120"/>
        <v>1157.6899999999998</v>
      </c>
      <c r="P486" s="97">
        <v>1072.352034</v>
      </c>
      <c r="Q486" s="98">
        <v>85.338005999999993</v>
      </c>
    </row>
    <row r="487" spans="1:17" x14ac:dyDescent="0.3">
      <c r="A487" s="27" t="s">
        <v>922</v>
      </c>
      <c r="B487" s="13" t="s">
        <v>923</v>
      </c>
      <c r="C487" s="14">
        <v>115</v>
      </c>
      <c r="D487" s="15" t="s">
        <v>36</v>
      </c>
      <c r="E487" s="95">
        <f t="shared" si="114"/>
        <v>24.91</v>
      </c>
      <c r="F487" s="96">
        <f t="shared" si="115"/>
        <v>19.600000000000001</v>
      </c>
      <c r="G487" s="16">
        <f t="shared" si="117"/>
        <v>44.510000000000005</v>
      </c>
      <c r="H487" s="16">
        <f t="shared" si="118"/>
        <v>2864.65</v>
      </c>
      <c r="I487" s="16">
        <f t="shared" si="119"/>
        <v>2254</v>
      </c>
      <c r="J487" s="57">
        <f t="shared" si="120"/>
        <v>5118.6500000000005</v>
      </c>
      <c r="P487" s="97">
        <v>24.913381999999999</v>
      </c>
      <c r="Q487" s="98">
        <v>19.597629999999999</v>
      </c>
    </row>
    <row r="488" spans="1:17" x14ac:dyDescent="0.3">
      <c r="A488" s="27" t="s">
        <v>924</v>
      </c>
      <c r="B488" s="13" t="s">
        <v>925</v>
      </c>
      <c r="C488" s="14">
        <v>160</v>
      </c>
      <c r="D488" s="15" t="s">
        <v>11</v>
      </c>
      <c r="E488" s="95">
        <f t="shared" si="114"/>
        <v>140.63999999999999</v>
      </c>
      <c r="F488" s="96">
        <f t="shared" si="115"/>
        <v>41.47</v>
      </c>
      <c r="G488" s="16">
        <f t="shared" si="117"/>
        <v>182.10999999999999</v>
      </c>
      <c r="H488" s="16">
        <f t="shared" si="118"/>
        <v>22502.399999999998</v>
      </c>
      <c r="I488" s="16">
        <f t="shared" si="119"/>
        <v>6635.2</v>
      </c>
      <c r="J488" s="57">
        <f t="shared" si="120"/>
        <v>29137.599999999999</v>
      </c>
      <c r="P488" s="97">
        <v>140.640331</v>
      </c>
      <c r="Q488" s="98">
        <v>41.466229999999996</v>
      </c>
    </row>
    <row r="489" spans="1:17" x14ac:dyDescent="0.3">
      <c r="A489" s="27" t="s">
        <v>926</v>
      </c>
      <c r="B489" s="13" t="s">
        <v>927</v>
      </c>
      <c r="C489" s="14">
        <v>96</v>
      </c>
      <c r="D489" s="15" t="s">
        <v>25</v>
      </c>
      <c r="E489" s="95">
        <f t="shared" si="114"/>
        <v>8.99</v>
      </c>
      <c r="F489" s="96">
        <f t="shared" si="115"/>
        <v>1.44</v>
      </c>
      <c r="G489" s="16">
        <f t="shared" si="117"/>
        <v>10.43</v>
      </c>
      <c r="H489" s="16">
        <f t="shared" si="118"/>
        <v>863.04</v>
      </c>
      <c r="I489" s="16">
        <f t="shared" si="119"/>
        <v>138.24</v>
      </c>
      <c r="J489" s="57">
        <f t="shared" si="120"/>
        <v>1001.28</v>
      </c>
      <c r="P489" s="97">
        <v>8.9913589999999992</v>
      </c>
      <c r="Q489" s="98">
        <v>1.4382809999999999</v>
      </c>
    </row>
    <row r="490" spans="1:17" x14ac:dyDescent="0.3">
      <c r="A490" s="27" t="s">
        <v>928</v>
      </c>
      <c r="B490" s="13" t="s">
        <v>929</v>
      </c>
      <c r="C490" s="14">
        <v>1</v>
      </c>
      <c r="D490" s="15" t="s">
        <v>11</v>
      </c>
      <c r="E490" s="95">
        <f t="shared" si="114"/>
        <v>21.57</v>
      </c>
      <c r="F490" s="96">
        <f t="shared" si="115"/>
        <v>4.22</v>
      </c>
      <c r="G490" s="16">
        <f t="shared" si="117"/>
        <v>25.79</v>
      </c>
      <c r="H490" s="16">
        <f t="shared" si="118"/>
        <v>21.57</v>
      </c>
      <c r="I490" s="16">
        <f t="shared" si="119"/>
        <v>4.22</v>
      </c>
      <c r="J490" s="57">
        <f t="shared" si="120"/>
        <v>25.79</v>
      </c>
      <c r="P490" s="97">
        <v>21.565804</v>
      </c>
      <c r="Q490" s="98">
        <v>4.2223219999999992</v>
      </c>
    </row>
    <row r="491" spans="1:17" x14ac:dyDescent="0.3">
      <c r="A491" s="27" t="s">
        <v>930</v>
      </c>
      <c r="B491" s="13" t="s">
        <v>931</v>
      </c>
      <c r="C491" s="14">
        <v>1</v>
      </c>
      <c r="D491" s="15" t="s">
        <v>11</v>
      </c>
      <c r="E491" s="95">
        <f t="shared" si="114"/>
        <v>14.63</v>
      </c>
      <c r="F491" s="96">
        <f t="shared" si="115"/>
        <v>4.22</v>
      </c>
      <c r="G491" s="16">
        <f t="shared" si="117"/>
        <v>18.850000000000001</v>
      </c>
      <c r="H491" s="16">
        <f t="shared" si="118"/>
        <v>14.63</v>
      </c>
      <c r="I491" s="16">
        <f t="shared" si="119"/>
        <v>4.22</v>
      </c>
      <c r="J491" s="57">
        <f t="shared" si="120"/>
        <v>18.850000000000001</v>
      </c>
      <c r="P491" s="97">
        <v>14.626728999999999</v>
      </c>
      <c r="Q491" s="98">
        <v>4.2223219999999992</v>
      </c>
    </row>
    <row r="492" spans="1:17" x14ac:dyDescent="0.3">
      <c r="A492" s="27" t="s">
        <v>932</v>
      </c>
      <c r="B492" s="13" t="s">
        <v>933</v>
      </c>
      <c r="C492" s="14">
        <v>1</v>
      </c>
      <c r="D492" s="15" t="s">
        <v>51</v>
      </c>
      <c r="E492" s="95">
        <f t="shared" si="114"/>
        <v>131.06</v>
      </c>
      <c r="F492" s="96">
        <f t="shared" si="115"/>
        <v>62.65</v>
      </c>
      <c r="G492" s="16">
        <f t="shared" si="117"/>
        <v>193.71</v>
      </c>
      <c r="H492" s="16">
        <f t="shared" si="118"/>
        <v>131.06</v>
      </c>
      <c r="I492" s="16">
        <f t="shared" si="119"/>
        <v>62.65</v>
      </c>
      <c r="J492" s="57">
        <f t="shared" si="120"/>
        <v>193.71</v>
      </c>
      <c r="P492" s="97">
        <v>131.06020199999998</v>
      </c>
      <c r="Q492" s="98">
        <v>62.645128</v>
      </c>
    </row>
    <row r="493" spans="1:17" x14ac:dyDescent="0.3">
      <c r="A493" s="27" t="s">
        <v>934</v>
      </c>
      <c r="B493" s="13" t="s">
        <v>935</v>
      </c>
      <c r="C493" s="14">
        <v>1</v>
      </c>
      <c r="D493" s="15" t="s">
        <v>85</v>
      </c>
      <c r="E493" s="95">
        <f t="shared" si="114"/>
        <v>16.05</v>
      </c>
      <c r="F493" s="96">
        <f t="shared" si="115"/>
        <v>3.61</v>
      </c>
      <c r="G493" s="16">
        <f t="shared" si="117"/>
        <v>19.66</v>
      </c>
      <c r="H493" s="16">
        <f t="shared" si="118"/>
        <v>16.05</v>
      </c>
      <c r="I493" s="16">
        <f t="shared" si="119"/>
        <v>3.61</v>
      </c>
      <c r="J493" s="57">
        <f t="shared" si="120"/>
        <v>19.66</v>
      </c>
      <c r="P493" s="97">
        <v>16.048187999999996</v>
      </c>
      <c r="Q493" s="98">
        <v>3.6083189999999998</v>
      </c>
    </row>
    <row r="494" spans="1:17" x14ac:dyDescent="0.3">
      <c r="A494" s="27" t="s">
        <v>936</v>
      </c>
      <c r="B494" s="13" t="s">
        <v>937</v>
      </c>
      <c r="C494" s="14">
        <v>1</v>
      </c>
      <c r="D494" s="15" t="s">
        <v>733</v>
      </c>
      <c r="E494" s="95">
        <f t="shared" si="114"/>
        <v>258.2</v>
      </c>
      <c r="F494" s="96">
        <f t="shared" si="115"/>
        <v>19.37</v>
      </c>
      <c r="G494" s="16">
        <f t="shared" si="117"/>
        <v>277.57</v>
      </c>
      <c r="H494" s="16">
        <f t="shared" si="118"/>
        <v>258.2</v>
      </c>
      <c r="I494" s="16">
        <f t="shared" si="119"/>
        <v>19.37</v>
      </c>
      <c r="J494" s="57">
        <f t="shared" si="120"/>
        <v>277.57</v>
      </c>
      <c r="P494" s="97">
        <v>258.20087799999999</v>
      </c>
      <c r="Q494" s="98">
        <v>19.370533000000002</v>
      </c>
    </row>
    <row r="495" spans="1:17" x14ac:dyDescent="0.3">
      <c r="A495" s="27" t="s">
        <v>938</v>
      </c>
      <c r="B495" s="13" t="s">
        <v>939</v>
      </c>
      <c r="C495" s="14">
        <v>1</v>
      </c>
      <c r="D495" s="15" t="s">
        <v>85</v>
      </c>
      <c r="E495" s="95">
        <f t="shared" si="114"/>
        <v>1971.36</v>
      </c>
      <c r="F495" s="96">
        <f t="shared" si="115"/>
        <v>217.42</v>
      </c>
      <c r="G495" s="16">
        <f t="shared" si="117"/>
        <v>2188.7799999999997</v>
      </c>
      <c r="H495" s="16">
        <f t="shared" si="118"/>
        <v>1971.36</v>
      </c>
      <c r="I495" s="16">
        <f t="shared" si="119"/>
        <v>217.42</v>
      </c>
      <c r="J495" s="57">
        <f t="shared" si="120"/>
        <v>2188.7799999999997</v>
      </c>
      <c r="P495" s="97">
        <v>1971.3617689999999</v>
      </c>
      <c r="Q495" s="98">
        <v>217.41593900000001</v>
      </c>
    </row>
    <row r="496" spans="1:17" x14ac:dyDescent="0.3">
      <c r="A496" s="27" t="s">
        <v>940</v>
      </c>
      <c r="B496" s="13" t="s">
        <v>941</v>
      </c>
      <c r="C496" s="14">
        <v>1</v>
      </c>
      <c r="D496" s="15" t="s">
        <v>85</v>
      </c>
      <c r="E496" s="95">
        <f t="shared" si="114"/>
        <v>1581.11</v>
      </c>
      <c r="F496" s="96">
        <f t="shared" si="115"/>
        <v>217.42</v>
      </c>
      <c r="G496" s="16">
        <f t="shared" si="117"/>
        <v>1798.53</v>
      </c>
      <c r="H496" s="16">
        <f t="shared" ref="H496:H514" si="121">C496*E496</f>
        <v>1581.11</v>
      </c>
      <c r="I496" s="16">
        <f t="shared" ref="I496:I514" si="122">C496*F496</f>
        <v>217.42</v>
      </c>
      <c r="J496" s="57">
        <f t="shared" ref="J496:J514" si="123">SUM(E496:F496)*C496</f>
        <v>1798.53</v>
      </c>
      <c r="P496" s="97">
        <v>1581.1081909999998</v>
      </c>
      <c r="Q496" s="98">
        <v>217.41593900000001</v>
      </c>
    </row>
    <row r="497" spans="1:17" x14ac:dyDescent="0.3">
      <c r="A497" s="27" t="s">
        <v>942</v>
      </c>
      <c r="B497" s="13" t="s">
        <v>943</v>
      </c>
      <c r="C497" s="14">
        <v>1</v>
      </c>
      <c r="D497" s="15" t="s">
        <v>85</v>
      </c>
      <c r="E497" s="95">
        <f t="shared" si="114"/>
        <v>3962.91</v>
      </c>
      <c r="F497" s="96">
        <f t="shared" si="115"/>
        <v>874.29</v>
      </c>
      <c r="G497" s="16">
        <f t="shared" si="117"/>
        <v>4837.2</v>
      </c>
      <c r="H497" s="16">
        <f t="shared" si="121"/>
        <v>3962.91</v>
      </c>
      <c r="I497" s="16">
        <f t="shared" si="122"/>
        <v>874.29</v>
      </c>
      <c r="J497" s="57">
        <f t="shared" si="123"/>
        <v>4837.2</v>
      </c>
      <c r="P497" s="97">
        <v>3962.9099379999998</v>
      </c>
      <c r="Q497" s="98">
        <v>874.289806</v>
      </c>
    </row>
    <row r="498" spans="1:17" x14ac:dyDescent="0.3">
      <c r="A498" s="27" t="s">
        <v>944</v>
      </c>
      <c r="B498" s="13" t="s">
        <v>945</v>
      </c>
      <c r="C498" s="14">
        <v>1</v>
      </c>
      <c r="D498" s="15" t="s">
        <v>85</v>
      </c>
      <c r="E498" s="95">
        <f t="shared" si="114"/>
        <v>2666.7</v>
      </c>
      <c r="F498" s="96">
        <f t="shared" si="115"/>
        <v>582.86</v>
      </c>
      <c r="G498" s="16">
        <f t="shared" si="117"/>
        <v>3249.56</v>
      </c>
      <c r="H498" s="16">
        <f t="shared" si="121"/>
        <v>2666.7</v>
      </c>
      <c r="I498" s="16">
        <f t="shared" si="122"/>
        <v>582.86</v>
      </c>
      <c r="J498" s="57">
        <f t="shared" si="123"/>
        <v>3249.56</v>
      </c>
      <c r="P498" s="97">
        <v>2666.6991389999998</v>
      </c>
      <c r="Q498" s="98">
        <v>582.85706700000003</v>
      </c>
    </row>
    <row r="499" spans="1:17" x14ac:dyDescent="0.3">
      <c r="A499" s="27" t="s">
        <v>946</v>
      </c>
      <c r="B499" s="13" t="s">
        <v>947</v>
      </c>
      <c r="C499" s="14">
        <v>1</v>
      </c>
      <c r="D499" s="15" t="s">
        <v>85</v>
      </c>
      <c r="E499" s="95">
        <f t="shared" si="114"/>
        <v>5584.81</v>
      </c>
      <c r="F499" s="96">
        <f t="shared" si="115"/>
        <v>488.29</v>
      </c>
      <c r="G499" s="16">
        <f t="shared" si="117"/>
        <v>6073.1</v>
      </c>
      <c r="H499" s="16">
        <f t="shared" si="121"/>
        <v>5584.81</v>
      </c>
      <c r="I499" s="16">
        <f t="shared" si="122"/>
        <v>488.29</v>
      </c>
      <c r="J499" s="57">
        <f t="shared" si="123"/>
        <v>6073.1</v>
      </c>
      <c r="P499" s="97">
        <v>5584.811479</v>
      </c>
      <c r="Q499" s="98">
        <v>488.29219399999994</v>
      </c>
    </row>
    <row r="500" spans="1:17" x14ac:dyDescent="0.3">
      <c r="A500" s="27" t="s">
        <v>948</v>
      </c>
      <c r="B500" s="13" t="s">
        <v>949</v>
      </c>
      <c r="C500" s="14">
        <v>1</v>
      </c>
      <c r="D500" s="15" t="s">
        <v>85</v>
      </c>
      <c r="E500" s="95">
        <f t="shared" si="114"/>
        <v>7180.66</v>
      </c>
      <c r="F500" s="96">
        <f t="shared" si="115"/>
        <v>1126.33</v>
      </c>
      <c r="G500" s="16">
        <f t="shared" si="117"/>
        <v>8306.99</v>
      </c>
      <c r="H500" s="16">
        <f t="shared" si="121"/>
        <v>7180.66</v>
      </c>
      <c r="I500" s="16">
        <f t="shared" si="122"/>
        <v>1126.33</v>
      </c>
      <c r="J500" s="57">
        <f t="shared" si="123"/>
        <v>8306.99</v>
      </c>
      <c r="P500" s="97">
        <v>7180.655741999999</v>
      </c>
      <c r="Q500" s="98">
        <v>1126.3254209999998</v>
      </c>
    </row>
    <row r="501" spans="1:17" x14ac:dyDescent="0.3">
      <c r="A501" s="27" t="s">
        <v>950</v>
      </c>
      <c r="B501" s="13" t="s">
        <v>951</v>
      </c>
      <c r="C501" s="14">
        <v>1</v>
      </c>
      <c r="D501" s="15" t="s">
        <v>85</v>
      </c>
      <c r="E501" s="95">
        <f t="shared" si="114"/>
        <v>8422.51</v>
      </c>
      <c r="F501" s="96">
        <f t="shared" si="115"/>
        <v>1871.47</v>
      </c>
      <c r="G501" s="16">
        <f t="shared" si="117"/>
        <v>10293.98</v>
      </c>
      <c r="H501" s="16">
        <f t="shared" si="121"/>
        <v>8422.51</v>
      </c>
      <c r="I501" s="16">
        <f t="shared" si="122"/>
        <v>1871.47</v>
      </c>
      <c r="J501" s="57">
        <f t="shared" si="123"/>
        <v>10293.98</v>
      </c>
      <c r="P501" s="97">
        <v>8422.5146590000004</v>
      </c>
      <c r="Q501" s="98">
        <v>1871.4727330000001</v>
      </c>
    </row>
    <row r="502" spans="1:17" x14ac:dyDescent="0.3">
      <c r="A502" s="27" t="s">
        <v>952</v>
      </c>
      <c r="B502" s="13" t="s">
        <v>953</v>
      </c>
      <c r="C502" s="14">
        <v>1</v>
      </c>
      <c r="D502" s="15" t="s">
        <v>85</v>
      </c>
      <c r="E502" s="95">
        <f t="shared" si="114"/>
        <v>10941.21</v>
      </c>
      <c r="F502" s="96">
        <f t="shared" si="115"/>
        <v>1900.92</v>
      </c>
      <c r="G502" s="16">
        <f t="shared" si="117"/>
        <v>12842.13</v>
      </c>
      <c r="H502" s="16">
        <f t="shared" si="121"/>
        <v>10941.21</v>
      </c>
      <c r="I502" s="16">
        <f t="shared" si="122"/>
        <v>1900.92</v>
      </c>
      <c r="J502" s="57">
        <f t="shared" si="123"/>
        <v>12842.13</v>
      </c>
      <c r="P502" s="97">
        <v>10941.213841999999</v>
      </c>
      <c r="Q502" s="98">
        <v>1900.9196439999998</v>
      </c>
    </row>
    <row r="503" spans="1:17" x14ac:dyDescent="0.3">
      <c r="A503" s="27" t="s">
        <v>954</v>
      </c>
      <c r="B503" s="13" t="s">
        <v>955</v>
      </c>
      <c r="C503" s="14">
        <v>1</v>
      </c>
      <c r="D503" s="15" t="s">
        <v>85</v>
      </c>
      <c r="E503" s="95">
        <f t="shared" si="114"/>
        <v>6970.04</v>
      </c>
      <c r="F503" s="96">
        <f t="shared" si="115"/>
        <v>1431.07</v>
      </c>
      <c r="G503" s="16">
        <f t="shared" si="117"/>
        <v>8401.11</v>
      </c>
      <c r="H503" s="16">
        <f t="shared" si="121"/>
        <v>6970.04</v>
      </c>
      <c r="I503" s="16">
        <f t="shared" si="122"/>
        <v>1431.07</v>
      </c>
      <c r="J503" s="57">
        <f t="shared" si="123"/>
        <v>8401.11</v>
      </c>
      <c r="P503" s="97">
        <v>6970.0358909999995</v>
      </c>
      <c r="Q503" s="98">
        <v>1431.0727729999999</v>
      </c>
    </row>
    <row r="504" spans="1:17" x14ac:dyDescent="0.3">
      <c r="A504" s="27" t="s">
        <v>956</v>
      </c>
      <c r="B504" s="13" t="s">
        <v>957</v>
      </c>
      <c r="C504" s="14">
        <v>1</v>
      </c>
      <c r="D504" s="15" t="s">
        <v>85</v>
      </c>
      <c r="E504" s="95">
        <f t="shared" si="114"/>
        <v>12328.34</v>
      </c>
      <c r="F504" s="96">
        <f t="shared" si="115"/>
        <v>2618.17</v>
      </c>
      <c r="G504" s="16">
        <f t="shared" si="117"/>
        <v>14946.51</v>
      </c>
      <c r="H504" s="16">
        <f t="shared" si="121"/>
        <v>12328.34</v>
      </c>
      <c r="I504" s="16">
        <f t="shared" si="122"/>
        <v>2618.17</v>
      </c>
      <c r="J504" s="57">
        <f t="shared" si="123"/>
        <v>14946.51</v>
      </c>
      <c r="P504" s="97">
        <v>12328.339139999998</v>
      </c>
      <c r="Q504" s="98">
        <v>2618.1676689999999</v>
      </c>
    </row>
    <row r="505" spans="1:17" x14ac:dyDescent="0.3">
      <c r="A505" s="27" t="s">
        <v>958</v>
      </c>
      <c r="B505" s="13" t="s">
        <v>959</v>
      </c>
      <c r="C505" s="14">
        <v>1</v>
      </c>
      <c r="D505" s="15" t="s">
        <v>85</v>
      </c>
      <c r="E505" s="95">
        <f t="shared" si="114"/>
        <v>33687.879999999997</v>
      </c>
      <c r="F505" s="96">
        <f t="shared" si="115"/>
        <v>3092.75</v>
      </c>
      <c r="G505" s="16">
        <f t="shared" si="117"/>
        <v>36780.629999999997</v>
      </c>
      <c r="H505" s="16">
        <f t="shared" si="121"/>
        <v>33687.879999999997</v>
      </c>
      <c r="I505" s="16">
        <f t="shared" si="122"/>
        <v>3092.75</v>
      </c>
      <c r="J505" s="57">
        <f t="shared" si="123"/>
        <v>36780.629999999997</v>
      </c>
      <c r="P505" s="97">
        <v>33687.880186999995</v>
      </c>
      <c r="Q505" s="98">
        <v>3092.7499330000001</v>
      </c>
    </row>
    <row r="506" spans="1:17" x14ac:dyDescent="0.3">
      <c r="A506" s="27" t="s">
        <v>960</v>
      </c>
      <c r="B506" s="13" t="s">
        <v>961</v>
      </c>
      <c r="C506" s="14">
        <v>1</v>
      </c>
      <c r="D506" s="15" t="s">
        <v>85</v>
      </c>
      <c r="E506" s="95">
        <f t="shared" si="114"/>
        <v>9.1300000000000008</v>
      </c>
      <c r="F506" s="96">
        <f t="shared" si="115"/>
        <v>11.53</v>
      </c>
      <c r="G506" s="16">
        <f t="shared" si="117"/>
        <v>20.66</v>
      </c>
      <c r="H506" s="16">
        <f t="shared" si="121"/>
        <v>9.1300000000000008</v>
      </c>
      <c r="I506" s="16">
        <f t="shared" si="122"/>
        <v>11.53</v>
      </c>
      <c r="J506" s="57">
        <f t="shared" si="123"/>
        <v>20.66</v>
      </c>
      <c r="P506" s="97">
        <v>9.134345999999999</v>
      </c>
      <c r="Q506" s="98">
        <v>11.531480999999999</v>
      </c>
    </row>
    <row r="507" spans="1:17" x14ac:dyDescent="0.3">
      <c r="A507" s="27" t="s">
        <v>962</v>
      </c>
      <c r="B507" s="13" t="s">
        <v>963</v>
      </c>
      <c r="C507" s="14">
        <v>1</v>
      </c>
      <c r="D507" s="15" t="s">
        <v>51</v>
      </c>
      <c r="E507" s="95">
        <f t="shared" si="114"/>
        <v>152.4</v>
      </c>
      <c r="F507" s="96">
        <f t="shared" si="115"/>
        <v>27.73</v>
      </c>
      <c r="G507" s="16">
        <f t="shared" si="117"/>
        <v>180.13</v>
      </c>
      <c r="H507" s="16">
        <f t="shared" si="121"/>
        <v>152.4</v>
      </c>
      <c r="I507" s="16">
        <f t="shared" si="122"/>
        <v>27.73</v>
      </c>
      <c r="J507" s="57">
        <f t="shared" si="123"/>
        <v>180.13</v>
      </c>
      <c r="P507" s="97">
        <v>152.398909</v>
      </c>
      <c r="Q507" s="98">
        <v>27.731066999999996</v>
      </c>
    </row>
    <row r="508" spans="1:17" x14ac:dyDescent="0.3">
      <c r="A508" s="27" t="s">
        <v>964</v>
      </c>
      <c r="B508" s="13" t="s">
        <v>965</v>
      </c>
      <c r="C508" s="14">
        <v>1</v>
      </c>
      <c r="D508" s="15" t="s">
        <v>51</v>
      </c>
      <c r="E508" s="95">
        <f t="shared" si="114"/>
        <v>32.08</v>
      </c>
      <c r="F508" s="96">
        <f t="shared" si="115"/>
        <v>27.73</v>
      </c>
      <c r="G508" s="16">
        <f t="shared" si="117"/>
        <v>59.81</v>
      </c>
      <c r="H508" s="16">
        <f t="shared" si="121"/>
        <v>32.08</v>
      </c>
      <c r="I508" s="16">
        <f t="shared" si="122"/>
        <v>27.73</v>
      </c>
      <c r="J508" s="57">
        <f t="shared" si="123"/>
        <v>59.81</v>
      </c>
      <c r="P508" s="97">
        <v>32.079554000000002</v>
      </c>
      <c r="Q508" s="98">
        <v>27.731066999999996</v>
      </c>
    </row>
    <row r="509" spans="1:17" x14ac:dyDescent="0.3">
      <c r="A509" s="27" t="s">
        <v>966</v>
      </c>
      <c r="B509" s="13" t="s">
        <v>967</v>
      </c>
      <c r="C509" s="14">
        <v>1</v>
      </c>
      <c r="D509" s="15" t="s">
        <v>25</v>
      </c>
      <c r="E509" s="95">
        <f t="shared" si="114"/>
        <v>120.54</v>
      </c>
      <c r="F509" s="96">
        <f t="shared" si="115"/>
        <v>11.96</v>
      </c>
      <c r="G509" s="16">
        <f t="shared" si="117"/>
        <v>132.5</v>
      </c>
      <c r="H509" s="16">
        <f t="shared" si="121"/>
        <v>120.54</v>
      </c>
      <c r="I509" s="16">
        <f t="shared" si="122"/>
        <v>11.96</v>
      </c>
      <c r="J509" s="57">
        <f t="shared" si="123"/>
        <v>132.5</v>
      </c>
      <c r="P509" s="97">
        <v>120.53804099999999</v>
      </c>
      <c r="Q509" s="98">
        <v>11.960442</v>
      </c>
    </row>
    <row r="510" spans="1:17" x14ac:dyDescent="0.3">
      <c r="A510" s="27" t="s">
        <v>968</v>
      </c>
      <c r="B510" s="13" t="s">
        <v>969</v>
      </c>
      <c r="C510" s="14">
        <v>1</v>
      </c>
      <c r="D510" s="15" t="s">
        <v>25</v>
      </c>
      <c r="E510" s="95">
        <f t="shared" si="114"/>
        <v>322.88</v>
      </c>
      <c r="F510" s="96">
        <f t="shared" si="115"/>
        <v>11.96</v>
      </c>
      <c r="G510" s="16">
        <f t="shared" si="117"/>
        <v>334.84</v>
      </c>
      <c r="H510" s="16">
        <f t="shared" si="121"/>
        <v>322.88</v>
      </c>
      <c r="I510" s="16">
        <f t="shared" si="122"/>
        <v>11.96</v>
      </c>
      <c r="J510" s="57">
        <f t="shared" si="123"/>
        <v>334.84</v>
      </c>
      <c r="P510" s="97">
        <v>322.88146799999998</v>
      </c>
      <c r="Q510" s="98">
        <v>11.960442</v>
      </c>
    </row>
    <row r="511" spans="1:17" x14ac:dyDescent="0.3">
      <c r="A511" s="27" t="s">
        <v>970</v>
      </c>
      <c r="B511" s="13" t="s">
        <v>971</v>
      </c>
      <c r="C511" s="14">
        <v>1</v>
      </c>
      <c r="D511" s="15" t="s">
        <v>25</v>
      </c>
      <c r="E511" s="95">
        <f t="shared" si="114"/>
        <v>334.78</v>
      </c>
      <c r="F511" s="96">
        <f t="shared" si="115"/>
        <v>11.96</v>
      </c>
      <c r="G511" s="16">
        <f t="shared" si="117"/>
        <v>346.73999999999995</v>
      </c>
      <c r="H511" s="16">
        <f t="shared" si="121"/>
        <v>334.78</v>
      </c>
      <c r="I511" s="16">
        <f t="shared" si="122"/>
        <v>11.96</v>
      </c>
      <c r="J511" s="57">
        <f t="shared" si="123"/>
        <v>346.73999999999995</v>
      </c>
      <c r="P511" s="97">
        <v>334.78303299999999</v>
      </c>
      <c r="Q511" s="98">
        <v>11.960442</v>
      </c>
    </row>
    <row r="512" spans="1:17" x14ac:dyDescent="0.3">
      <c r="A512" s="27" t="s">
        <v>972</v>
      </c>
      <c r="B512" s="13" t="s">
        <v>973</v>
      </c>
      <c r="C512" s="14">
        <v>1</v>
      </c>
      <c r="D512" s="15" t="s">
        <v>25</v>
      </c>
      <c r="E512" s="95">
        <f t="shared" si="114"/>
        <v>30.86</v>
      </c>
      <c r="F512" s="96">
        <f t="shared" si="115"/>
        <v>20.69</v>
      </c>
      <c r="G512" s="16">
        <f t="shared" si="117"/>
        <v>51.55</v>
      </c>
      <c r="H512" s="16">
        <f t="shared" si="121"/>
        <v>30.86</v>
      </c>
      <c r="I512" s="16">
        <f t="shared" si="122"/>
        <v>20.69</v>
      </c>
      <c r="J512" s="57">
        <f t="shared" si="123"/>
        <v>51.55</v>
      </c>
      <c r="P512" s="97">
        <v>30.859958999999996</v>
      </c>
      <c r="Q512" s="98">
        <v>20.69106</v>
      </c>
    </row>
    <row r="513" spans="1:17" x14ac:dyDescent="0.3">
      <c r="A513" s="27" t="s">
        <v>974</v>
      </c>
      <c r="B513" s="13" t="s">
        <v>975</v>
      </c>
      <c r="C513" s="14">
        <v>1</v>
      </c>
      <c r="D513" s="15" t="s">
        <v>976</v>
      </c>
      <c r="E513" s="95">
        <f t="shared" si="114"/>
        <v>252.2</v>
      </c>
      <c r="F513" s="96">
        <f t="shared" si="115"/>
        <v>19.37</v>
      </c>
      <c r="G513" s="16">
        <f t="shared" si="117"/>
        <v>271.57</v>
      </c>
      <c r="H513" s="16">
        <f t="shared" si="121"/>
        <v>252.2</v>
      </c>
      <c r="I513" s="16">
        <f t="shared" si="122"/>
        <v>19.37</v>
      </c>
      <c r="J513" s="57">
        <f t="shared" si="123"/>
        <v>271.57</v>
      </c>
      <c r="P513" s="97">
        <v>252.19542399999997</v>
      </c>
      <c r="Q513" s="98">
        <v>19.370533000000002</v>
      </c>
    </row>
    <row r="514" spans="1:17" x14ac:dyDescent="0.3">
      <c r="A514" s="27" t="s">
        <v>977</v>
      </c>
      <c r="B514" s="13" t="s">
        <v>978</v>
      </c>
      <c r="C514" s="14">
        <v>1</v>
      </c>
      <c r="D514" s="15" t="s">
        <v>25</v>
      </c>
      <c r="E514" s="95">
        <f t="shared" si="114"/>
        <v>36.81</v>
      </c>
      <c r="F514" s="96">
        <f t="shared" si="115"/>
        <v>829.01</v>
      </c>
      <c r="G514" s="16">
        <f t="shared" si="117"/>
        <v>865.81999999999994</v>
      </c>
      <c r="H514" s="16">
        <f t="shared" si="121"/>
        <v>36.81</v>
      </c>
      <c r="I514" s="16">
        <f t="shared" si="122"/>
        <v>829.01</v>
      </c>
      <c r="J514" s="57">
        <f t="shared" si="123"/>
        <v>865.81999999999994</v>
      </c>
      <c r="P514" s="97">
        <v>36.806535999999994</v>
      </c>
      <c r="Q514" s="98">
        <v>829.01339299999995</v>
      </c>
    </row>
    <row r="515" spans="1:17" x14ac:dyDescent="0.3">
      <c r="A515" s="25">
        <v>30</v>
      </c>
      <c r="B515" s="26" t="s">
        <v>979</v>
      </c>
      <c r="C515" s="8"/>
      <c r="D515" s="9"/>
      <c r="E515" s="30"/>
      <c r="F515" s="31"/>
      <c r="G515" s="10"/>
      <c r="H515" s="10">
        <v>0</v>
      </c>
      <c r="I515" s="10">
        <v>0</v>
      </c>
      <c r="J515" s="56">
        <v>0</v>
      </c>
    </row>
    <row r="516" spans="1:17" ht="30.75" customHeight="1" x14ac:dyDescent="0.3">
      <c r="A516" s="64"/>
      <c r="B516" s="65" t="s">
        <v>980</v>
      </c>
      <c r="C516" s="66"/>
      <c r="D516" s="67"/>
      <c r="E516" s="68"/>
      <c r="F516" s="68"/>
      <c r="G516" s="68"/>
      <c r="H516" s="69">
        <f t="shared" ref="H516:I516" si="124">SUM(H8+H16+H53+H54+H55+H60+H64+H80+H88+H89+H113+H123+H138+H161+H191+H209+H228+H240+H241+H372+H396+H410+H423+H424+H425+H426+H427+H428+H463+H515)</f>
        <v>3067819.8000000007</v>
      </c>
      <c r="I516" s="69">
        <f t="shared" si="124"/>
        <v>1341648.5600000003</v>
      </c>
      <c r="J516" s="70">
        <f>SUM(J8+J16+J53+J54+J55+J60+J64+J80+J88+J89+J113+J123+J138+J161+J191+J209+J228+J240+J241+J372+J396+J410+J423+J424+J425+J426+J427+J428+J463+J515)</f>
        <v>4409468.3600000003</v>
      </c>
    </row>
    <row r="518" spans="1:17" x14ac:dyDescent="0.3">
      <c r="H518" s="34"/>
      <c r="I518" s="34"/>
    </row>
    <row r="520" spans="1:17" x14ac:dyDescent="0.3">
      <c r="D520" s="33"/>
      <c r="F520" s="33"/>
    </row>
  </sheetData>
  <autoFilter ref="Q1:Q520" xr:uid="{00000000-0001-0000-0000-000000000000}"/>
  <mergeCells count="1">
    <mergeCell ref="C3:J3"/>
  </mergeCells>
  <printOptions horizontalCentered="1"/>
  <pageMargins left="0.31496062992125984" right="0.31496062992125984" top="0.78740157480314965" bottom="0.59055118110236227" header="0.31496062992125984" footer="0.31496062992125984"/>
  <pageSetup paperSize="9" scale="61" fitToHeight="0" orientation="landscape" r:id="rId1"/>
  <headerFooter>
    <oddHeader xml:space="preserve">&amp;C&amp;"-,Negrito itálico"&amp;14Orçamento estimado atualizado - Edital nº 2023/03954 (7421)
&amp;"-,Regular"&amp;12Contratação remanescente&amp;R&amp;"Calibri,Regular"&amp;10&amp;K000000 #Pública&amp;1#
</oddHeader>
    <oddFooter>&amp;CPágina &amp;P de &amp;N&amp;R&amp;12Data base do orçamento: &amp;"-,Negrito"Julho/2024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2EB5-BC6F-1E45-8234-C8D79A551650}">
  <dimension ref="A1:F69"/>
  <sheetViews>
    <sheetView topLeftCell="A22" zoomScale="70" zoomScaleNormal="70" workbookViewId="0">
      <selection activeCell="G38" sqref="G38"/>
    </sheetView>
  </sheetViews>
  <sheetFormatPr defaultColWidth="11.44140625" defaultRowHeight="14.4" x14ac:dyDescent="0.3"/>
  <cols>
    <col min="1" max="3" width="36.5546875" customWidth="1"/>
    <col min="4" max="4" width="66.109375" bestFit="1" customWidth="1"/>
    <col min="5" max="5" width="49.5546875" bestFit="1" customWidth="1"/>
  </cols>
  <sheetData>
    <row r="1" spans="1:5" ht="51" customHeight="1" thickBot="1" x14ac:dyDescent="0.35">
      <c r="A1" s="264" t="s">
        <v>982</v>
      </c>
      <c r="B1" s="264"/>
      <c r="C1" s="264"/>
      <c r="D1" s="264"/>
      <c r="E1" s="264"/>
    </row>
    <row r="2" spans="1:5" x14ac:dyDescent="0.3">
      <c r="A2" s="260" t="s">
        <v>981</v>
      </c>
      <c r="B2" s="260"/>
      <c r="C2" s="260"/>
      <c r="D2" s="260"/>
      <c r="E2" s="261"/>
    </row>
    <row r="3" spans="1:5" x14ac:dyDescent="0.3">
      <c r="A3" s="262"/>
      <c r="B3" s="262"/>
      <c r="C3" s="262"/>
      <c r="D3" s="262"/>
      <c r="E3" s="263"/>
    </row>
    <row r="4" spans="1:5" x14ac:dyDescent="0.3">
      <c r="A4" s="262"/>
      <c r="B4" s="262"/>
      <c r="C4" s="262"/>
      <c r="D4" s="262"/>
      <c r="E4" s="263"/>
    </row>
    <row r="5" spans="1:5" ht="45" customHeight="1" thickBot="1" x14ac:dyDescent="0.35">
      <c r="A5" s="54" t="s">
        <v>983</v>
      </c>
      <c r="B5" s="54" t="s">
        <v>984</v>
      </c>
      <c r="C5" s="54" t="s">
        <v>987</v>
      </c>
      <c r="D5" s="54" t="s">
        <v>985</v>
      </c>
      <c r="E5" s="55" t="s">
        <v>986</v>
      </c>
    </row>
    <row r="6" spans="1:5" ht="18.899999999999999" customHeight="1" x14ac:dyDescent="0.3">
      <c r="A6" s="39">
        <v>48</v>
      </c>
      <c r="B6" s="40" t="s">
        <v>990</v>
      </c>
      <c r="C6" s="40" t="s">
        <v>991</v>
      </c>
      <c r="D6" s="43">
        <v>20</v>
      </c>
      <c r="E6" s="40" t="s">
        <v>992</v>
      </c>
    </row>
    <row r="7" spans="1:5" ht="18.899999999999999" customHeight="1" x14ac:dyDescent="0.3">
      <c r="A7" s="39">
        <v>552</v>
      </c>
      <c r="B7" s="40" t="s">
        <v>993</v>
      </c>
      <c r="C7" s="40" t="s">
        <v>993</v>
      </c>
      <c r="D7" s="40">
        <v>504</v>
      </c>
      <c r="E7" s="40" t="s">
        <v>994</v>
      </c>
    </row>
    <row r="8" spans="1:5" ht="18.899999999999999" customHeight="1" x14ac:dyDescent="0.3">
      <c r="A8" s="39">
        <v>753</v>
      </c>
      <c r="B8" s="40" t="s">
        <v>995</v>
      </c>
      <c r="C8" s="40" t="s">
        <v>996</v>
      </c>
      <c r="D8" s="40">
        <v>402</v>
      </c>
      <c r="E8" s="40" t="s">
        <v>997</v>
      </c>
    </row>
    <row r="9" spans="1:5" ht="18.899999999999999" customHeight="1" x14ac:dyDescent="0.3">
      <c r="A9" s="39">
        <v>1147</v>
      </c>
      <c r="B9" s="40" t="s">
        <v>998</v>
      </c>
      <c r="C9" s="40" t="s">
        <v>998</v>
      </c>
      <c r="D9" s="40">
        <v>142</v>
      </c>
      <c r="E9" s="40" t="s">
        <v>999</v>
      </c>
    </row>
    <row r="10" spans="1:5" ht="18.899999999999999" customHeight="1" x14ac:dyDescent="0.3">
      <c r="A10" s="39">
        <v>1872</v>
      </c>
      <c r="B10" s="40" t="s">
        <v>1000</v>
      </c>
      <c r="C10" s="40" t="s">
        <v>1000</v>
      </c>
      <c r="D10" s="40">
        <v>652</v>
      </c>
      <c r="E10" s="40" t="s">
        <v>1001</v>
      </c>
    </row>
    <row r="11" spans="1:5" ht="18.899999999999999" customHeight="1" x14ac:dyDescent="0.3">
      <c r="A11" s="39">
        <v>1873</v>
      </c>
      <c r="B11" s="40" t="s">
        <v>1002</v>
      </c>
      <c r="C11" s="40" t="s">
        <v>991</v>
      </c>
      <c r="D11" s="43">
        <v>20</v>
      </c>
      <c r="E11" s="40" t="s">
        <v>1003</v>
      </c>
    </row>
    <row r="12" spans="1:5" ht="18.899999999999999" customHeight="1" x14ac:dyDescent="0.3">
      <c r="A12" s="39">
        <v>1881</v>
      </c>
      <c r="B12" s="40" t="s">
        <v>1004</v>
      </c>
      <c r="C12" s="40" t="s">
        <v>991</v>
      </c>
      <c r="D12" s="43">
        <v>20</v>
      </c>
      <c r="E12" s="40" t="s">
        <v>1005</v>
      </c>
    </row>
    <row r="13" spans="1:5" ht="18.75" customHeight="1" x14ac:dyDescent="0.3">
      <c r="A13" s="39">
        <v>1997</v>
      </c>
      <c r="B13" s="40" t="s">
        <v>1006</v>
      </c>
      <c r="C13" s="40" t="s">
        <v>991</v>
      </c>
      <c r="D13" s="43">
        <v>20</v>
      </c>
      <c r="E13" s="40" t="s">
        <v>992</v>
      </c>
    </row>
    <row r="14" spans="1:5" ht="18.899999999999999" customHeight="1" x14ac:dyDescent="0.3">
      <c r="A14" s="39">
        <v>2431</v>
      </c>
      <c r="B14" s="40" t="s">
        <v>1007</v>
      </c>
      <c r="C14" s="40" t="s">
        <v>1007</v>
      </c>
      <c r="D14" s="40">
        <v>608</v>
      </c>
      <c r="E14" s="40" t="s">
        <v>1008</v>
      </c>
    </row>
    <row r="15" spans="1:5" ht="18.899999999999999" customHeight="1" x14ac:dyDescent="0.3">
      <c r="A15" s="39">
        <v>2576</v>
      </c>
      <c r="B15" s="40" t="s">
        <v>1009</v>
      </c>
      <c r="C15" s="40" t="s">
        <v>991</v>
      </c>
      <c r="D15" s="43">
        <v>20</v>
      </c>
      <c r="E15" s="40" t="s">
        <v>1010</v>
      </c>
    </row>
    <row r="16" spans="1:5" ht="18.899999999999999" customHeight="1" x14ac:dyDescent="0.3">
      <c r="A16" s="39">
        <v>2609</v>
      </c>
      <c r="B16" s="40" t="s">
        <v>1011</v>
      </c>
      <c r="C16" s="40" t="s">
        <v>991</v>
      </c>
      <c r="D16" s="43">
        <v>20</v>
      </c>
      <c r="E16" s="40" t="s">
        <v>1012</v>
      </c>
    </row>
    <row r="17" spans="1:5" ht="18.899999999999999" customHeight="1" x14ac:dyDescent="0.3">
      <c r="A17" s="39">
        <v>2620</v>
      </c>
      <c r="B17" s="40" t="s">
        <v>1013</v>
      </c>
      <c r="C17" s="40" t="s">
        <v>1013</v>
      </c>
      <c r="D17" s="40">
        <v>272</v>
      </c>
      <c r="E17" s="40" t="s">
        <v>1014</v>
      </c>
    </row>
    <row r="18" spans="1:5" ht="18.899999999999999" customHeight="1" x14ac:dyDescent="0.3">
      <c r="A18" s="39">
        <v>2916</v>
      </c>
      <c r="B18" s="40" t="s">
        <v>1015</v>
      </c>
      <c r="C18" s="40" t="s">
        <v>991</v>
      </c>
      <c r="D18" s="43">
        <v>20</v>
      </c>
      <c r="E18" s="40" t="s">
        <v>1016</v>
      </c>
    </row>
    <row r="19" spans="1:5" ht="18.899999999999999" customHeight="1" x14ac:dyDescent="0.3">
      <c r="A19" s="39">
        <v>2936</v>
      </c>
      <c r="B19" s="40" t="s">
        <v>1017</v>
      </c>
      <c r="C19" s="40" t="s">
        <v>991</v>
      </c>
      <c r="D19" s="43">
        <v>20</v>
      </c>
      <c r="E19" s="40" t="s">
        <v>1018</v>
      </c>
    </row>
    <row r="20" spans="1:5" ht="18.899999999999999" customHeight="1" x14ac:dyDescent="0.3">
      <c r="A20" s="39">
        <v>2951</v>
      </c>
      <c r="B20" s="40" t="s">
        <v>1019</v>
      </c>
      <c r="C20" s="40" t="s">
        <v>991</v>
      </c>
      <c r="D20" s="43">
        <v>20</v>
      </c>
      <c r="E20" s="40" t="s">
        <v>1020</v>
      </c>
    </row>
    <row r="21" spans="1:5" ht="18.899999999999999" customHeight="1" x14ac:dyDescent="0.3">
      <c r="A21" s="39">
        <v>2959</v>
      </c>
      <c r="B21" s="40" t="s">
        <v>1021</v>
      </c>
      <c r="C21" s="40" t="s">
        <v>991</v>
      </c>
      <c r="D21" s="43">
        <v>20</v>
      </c>
      <c r="E21" s="40" t="s">
        <v>1022</v>
      </c>
    </row>
    <row r="22" spans="1:5" ht="18.899999999999999" customHeight="1" x14ac:dyDescent="0.3">
      <c r="A22" s="39">
        <v>3066</v>
      </c>
      <c r="B22" s="40" t="s">
        <v>1023</v>
      </c>
      <c r="C22" s="40" t="s">
        <v>1023</v>
      </c>
      <c r="D22" s="40">
        <v>660</v>
      </c>
      <c r="E22" s="40" t="s">
        <v>1024</v>
      </c>
    </row>
    <row r="23" spans="1:5" ht="18.899999999999999" customHeight="1" x14ac:dyDescent="0.3">
      <c r="A23" s="39">
        <v>3496</v>
      </c>
      <c r="B23" s="40" t="s">
        <v>1025</v>
      </c>
      <c r="C23" s="40" t="s">
        <v>991</v>
      </c>
      <c r="D23" s="43">
        <v>20</v>
      </c>
      <c r="E23" s="40" t="s">
        <v>1026</v>
      </c>
    </row>
    <row r="24" spans="1:5" ht="18.899999999999999" customHeight="1" x14ac:dyDescent="0.3">
      <c r="A24" s="39">
        <v>3497</v>
      </c>
      <c r="B24" s="40" t="s">
        <v>1027</v>
      </c>
      <c r="C24" s="40" t="s">
        <v>991</v>
      </c>
      <c r="D24" s="43">
        <v>20</v>
      </c>
      <c r="E24" s="40" t="s">
        <v>1028</v>
      </c>
    </row>
    <row r="25" spans="1:5" ht="18.899999999999999" customHeight="1" x14ac:dyDescent="0.3">
      <c r="A25" s="39">
        <v>3937</v>
      </c>
      <c r="B25" s="40" t="s">
        <v>1029</v>
      </c>
      <c r="C25" s="40" t="s">
        <v>1029</v>
      </c>
      <c r="D25" s="40">
        <v>718</v>
      </c>
      <c r="E25" s="40" t="s">
        <v>1030</v>
      </c>
    </row>
    <row r="26" spans="1:5" ht="18.899999999999999" customHeight="1" x14ac:dyDescent="0.3">
      <c r="A26" s="39">
        <v>4211</v>
      </c>
      <c r="B26" s="40" t="s">
        <v>1031</v>
      </c>
      <c r="C26" s="40" t="s">
        <v>991</v>
      </c>
      <c r="D26" s="43">
        <v>20</v>
      </c>
      <c r="E26" s="40" t="s">
        <v>1032</v>
      </c>
    </row>
    <row r="27" spans="1:5" ht="18.899999999999999" customHeight="1" x14ac:dyDescent="0.3">
      <c r="A27" s="39">
        <v>4447</v>
      </c>
      <c r="B27" s="40" t="s">
        <v>1033</v>
      </c>
      <c r="C27" s="40" t="s">
        <v>991</v>
      </c>
      <c r="D27" s="43">
        <v>20</v>
      </c>
      <c r="E27" s="40" t="s">
        <v>1034</v>
      </c>
    </row>
    <row r="28" spans="1:5" ht="18.899999999999999" customHeight="1" x14ac:dyDescent="0.3">
      <c r="A28" s="39">
        <v>4673</v>
      </c>
      <c r="B28" s="40" t="s">
        <v>1035</v>
      </c>
      <c r="C28" s="40" t="s">
        <v>991</v>
      </c>
      <c r="D28" s="43">
        <v>20</v>
      </c>
      <c r="E28" s="40" t="s">
        <v>1036</v>
      </c>
    </row>
    <row r="29" spans="1:5" ht="18.899999999999999" customHeight="1" x14ac:dyDescent="0.3">
      <c r="A29" s="39">
        <v>4992</v>
      </c>
      <c r="B29" s="40" t="s">
        <v>1037</v>
      </c>
      <c r="C29" s="40" t="s">
        <v>1037</v>
      </c>
      <c r="D29" s="40">
        <v>67</v>
      </c>
      <c r="E29" s="40" t="s">
        <v>1038</v>
      </c>
    </row>
    <row r="30" spans="1:5" ht="18.899999999999999" customHeight="1" x14ac:dyDescent="0.3">
      <c r="A30" s="39">
        <v>5783</v>
      </c>
      <c r="B30" s="40" t="s">
        <v>1039</v>
      </c>
      <c r="C30" s="40" t="s">
        <v>991</v>
      </c>
      <c r="D30" s="43">
        <v>20</v>
      </c>
      <c r="E30" s="40" t="s">
        <v>1040</v>
      </c>
    </row>
    <row r="31" spans="1:5" ht="18.899999999999999" customHeight="1" x14ac:dyDescent="0.3">
      <c r="A31" s="39">
        <v>5793</v>
      </c>
      <c r="B31" s="40" t="s">
        <v>1041</v>
      </c>
      <c r="C31" s="40" t="s">
        <v>991</v>
      </c>
      <c r="D31" s="43">
        <v>20</v>
      </c>
      <c r="E31" s="40" t="s">
        <v>1042</v>
      </c>
    </row>
    <row r="32" spans="1:5" ht="18.899999999999999" customHeight="1" x14ac:dyDescent="0.3">
      <c r="A32" s="39">
        <v>5799</v>
      </c>
      <c r="B32" s="40" t="s">
        <v>1043</v>
      </c>
      <c r="C32" s="40" t="s">
        <v>991</v>
      </c>
      <c r="D32" s="43">
        <v>20</v>
      </c>
      <c r="E32" s="40" t="s">
        <v>1044</v>
      </c>
    </row>
    <row r="33" spans="1:5" ht="18.899999999999999" customHeight="1" x14ac:dyDescent="0.3">
      <c r="A33" s="39">
        <v>5807</v>
      </c>
      <c r="B33" s="40" t="s">
        <v>1045</v>
      </c>
      <c r="C33" s="40" t="s">
        <v>991</v>
      </c>
      <c r="D33" s="43">
        <v>20</v>
      </c>
      <c r="E33" s="40" t="s">
        <v>1046</v>
      </c>
    </row>
    <row r="34" spans="1:5" ht="18.899999999999999" customHeight="1" x14ac:dyDescent="0.3">
      <c r="A34" s="39">
        <v>6993</v>
      </c>
      <c r="B34" s="40" t="s">
        <v>1047</v>
      </c>
      <c r="C34" s="40" t="s">
        <v>991</v>
      </c>
      <c r="D34" s="43">
        <v>20</v>
      </c>
      <c r="E34" s="40" t="s">
        <v>1048</v>
      </c>
    </row>
    <row r="35" spans="1:5" ht="18.899999999999999" customHeight="1" x14ac:dyDescent="0.3">
      <c r="A35" s="39">
        <v>7114</v>
      </c>
      <c r="B35" s="40" t="s">
        <v>1049</v>
      </c>
      <c r="C35" s="40" t="s">
        <v>991</v>
      </c>
      <c r="D35" s="43">
        <v>20</v>
      </c>
      <c r="E35" s="40" t="s">
        <v>1050</v>
      </c>
    </row>
    <row r="36" spans="1:5" ht="18.899999999999999" customHeight="1" x14ac:dyDescent="0.3">
      <c r="A36" s="39">
        <v>8628</v>
      </c>
      <c r="B36" s="40" t="s">
        <v>1051</v>
      </c>
      <c r="C36" s="40" t="s">
        <v>991</v>
      </c>
      <c r="D36" s="43">
        <v>20</v>
      </c>
      <c r="E36" s="40" t="s">
        <v>1052</v>
      </c>
    </row>
    <row r="37" spans="1:5" ht="18.899999999999999" customHeight="1" x14ac:dyDescent="0.3">
      <c r="A37" s="39">
        <v>9127</v>
      </c>
      <c r="B37" s="40" t="s">
        <v>1053</v>
      </c>
      <c r="C37" s="40" t="s">
        <v>991</v>
      </c>
      <c r="D37" s="43">
        <v>20</v>
      </c>
      <c r="E37" s="40" t="s">
        <v>989</v>
      </c>
    </row>
    <row r="38" spans="1:5" x14ac:dyDescent="0.3">
      <c r="A38" s="41">
        <v>3929</v>
      </c>
      <c r="B38" s="42" t="s">
        <v>1166</v>
      </c>
      <c r="C38" s="42" t="s">
        <v>1166</v>
      </c>
      <c r="D38" s="43">
        <v>137</v>
      </c>
      <c r="E38" s="46" t="s">
        <v>1167</v>
      </c>
    </row>
    <row r="39" spans="1:5" x14ac:dyDescent="0.3">
      <c r="A39" s="41"/>
      <c r="B39" s="42"/>
      <c r="C39" s="42"/>
      <c r="D39" s="43"/>
      <c r="E39" s="46"/>
    </row>
    <row r="40" spans="1:5" x14ac:dyDescent="0.3">
      <c r="A40" s="41"/>
      <c r="B40" s="42"/>
      <c r="C40" s="42"/>
      <c r="D40" s="43"/>
      <c r="E40" s="46"/>
    </row>
    <row r="41" spans="1:5" x14ac:dyDescent="0.3">
      <c r="A41" s="41"/>
      <c r="B41" s="42"/>
      <c r="C41" s="42"/>
      <c r="D41" s="43"/>
      <c r="E41" s="46"/>
    </row>
    <row r="42" spans="1:5" x14ac:dyDescent="0.3">
      <c r="A42" s="41"/>
      <c r="B42" s="42"/>
      <c r="C42" s="42"/>
      <c r="D42" s="43"/>
      <c r="E42" s="46"/>
    </row>
    <row r="43" spans="1:5" x14ac:dyDescent="0.3">
      <c r="A43" s="41"/>
      <c r="B43" s="42"/>
      <c r="C43" s="42"/>
      <c r="D43" s="43"/>
      <c r="E43" s="46"/>
    </row>
    <row r="44" spans="1:5" x14ac:dyDescent="0.3">
      <c r="A44" s="41"/>
      <c r="B44" s="42"/>
      <c r="C44" s="42"/>
      <c r="D44" s="43"/>
      <c r="E44" s="46"/>
    </row>
    <row r="45" spans="1:5" x14ac:dyDescent="0.3">
      <c r="A45" s="41"/>
      <c r="B45" s="42"/>
      <c r="C45" s="42"/>
      <c r="D45" s="43"/>
      <c r="E45" s="46"/>
    </row>
    <row r="46" spans="1:5" x14ac:dyDescent="0.3">
      <c r="A46" s="41"/>
      <c r="B46" s="42"/>
      <c r="C46" s="42"/>
      <c r="D46" s="43"/>
      <c r="E46" s="46"/>
    </row>
    <row r="47" spans="1:5" x14ac:dyDescent="0.3">
      <c r="A47" s="41"/>
      <c r="B47" s="42"/>
      <c r="C47" s="42"/>
      <c r="D47" s="43"/>
      <c r="E47" s="46"/>
    </row>
    <row r="48" spans="1:5" x14ac:dyDescent="0.3">
      <c r="A48" s="41"/>
      <c r="B48" s="42"/>
      <c r="C48" s="42"/>
      <c r="D48" s="43"/>
      <c r="E48" s="43"/>
    </row>
    <row r="49" spans="1:6" x14ac:dyDescent="0.3">
      <c r="A49" s="41"/>
      <c r="B49" s="42"/>
      <c r="C49" s="42"/>
      <c r="D49" s="43"/>
      <c r="E49" s="43"/>
    </row>
    <row r="50" spans="1:6" x14ac:dyDescent="0.3">
      <c r="A50" s="41"/>
      <c r="B50" s="42"/>
      <c r="C50" s="42"/>
      <c r="D50" s="43"/>
      <c r="E50" s="43"/>
    </row>
    <row r="51" spans="1:6" x14ac:dyDescent="0.3">
      <c r="A51" s="41"/>
      <c r="B51" s="42"/>
      <c r="C51" s="42"/>
      <c r="D51" s="43"/>
      <c r="E51" s="43"/>
    </row>
    <row r="52" spans="1:6" x14ac:dyDescent="0.3">
      <c r="A52" s="41"/>
      <c r="B52" s="42"/>
      <c r="C52" s="42"/>
      <c r="D52" s="43"/>
      <c r="E52" s="43"/>
    </row>
    <row r="53" spans="1:6" x14ac:dyDescent="0.3">
      <c r="A53" s="41"/>
      <c r="B53" s="42"/>
      <c r="C53" s="42"/>
      <c r="D53" s="43"/>
      <c r="E53" s="43"/>
    </row>
    <row r="54" spans="1:6" x14ac:dyDescent="0.3">
      <c r="A54" s="44"/>
      <c r="B54" s="45"/>
      <c r="C54" s="45"/>
      <c r="D54" s="46"/>
      <c r="E54" s="46"/>
    </row>
    <row r="55" spans="1:6" ht="18.899999999999999" customHeight="1" x14ac:dyDescent="0.3">
      <c r="A55" s="37"/>
      <c r="B55" s="35"/>
      <c r="C55" s="35"/>
      <c r="D55" s="38"/>
      <c r="E55" s="38"/>
      <c r="F55" s="36"/>
    </row>
    <row r="56" spans="1:6" ht="18.899999999999999" customHeight="1" thickBot="1" x14ac:dyDescent="0.35">
      <c r="F56" s="36"/>
    </row>
    <row r="57" spans="1:6" ht="18.899999999999999" customHeight="1" x14ac:dyDescent="0.3">
      <c r="A57" s="260" t="s">
        <v>988</v>
      </c>
      <c r="B57" s="260"/>
      <c r="C57" s="260"/>
      <c r="D57" s="260"/>
      <c r="E57" s="261"/>
      <c r="F57" s="36"/>
    </row>
    <row r="58" spans="1:6" ht="18.899999999999999" customHeight="1" x14ac:dyDescent="0.3">
      <c r="A58" s="262"/>
      <c r="B58" s="262"/>
      <c r="C58" s="262"/>
      <c r="D58" s="262"/>
      <c r="E58" s="263"/>
      <c r="F58" s="36"/>
    </row>
    <row r="59" spans="1:6" ht="18.899999999999999" customHeight="1" x14ac:dyDescent="0.3">
      <c r="A59" s="262"/>
      <c r="B59" s="262"/>
      <c r="C59" s="262"/>
      <c r="D59" s="262"/>
      <c r="E59" s="263"/>
      <c r="F59" s="36"/>
    </row>
    <row r="60" spans="1:6" ht="15.6" x14ac:dyDescent="0.3">
      <c r="A60" s="51" t="s">
        <v>983</v>
      </c>
      <c r="B60" s="52" t="s">
        <v>984</v>
      </c>
      <c r="C60" s="52" t="s">
        <v>987</v>
      </c>
      <c r="D60" s="52" t="s">
        <v>985</v>
      </c>
      <c r="E60" s="53" t="s">
        <v>986</v>
      </c>
    </row>
    <row r="61" spans="1:6" x14ac:dyDescent="0.3">
      <c r="A61" s="47">
        <v>14</v>
      </c>
      <c r="B61" s="48" t="s">
        <v>1054</v>
      </c>
      <c r="C61" s="48" t="s">
        <v>1054</v>
      </c>
      <c r="D61" s="48">
        <v>594</v>
      </c>
      <c r="E61" s="48" t="s">
        <v>1055</v>
      </c>
    </row>
    <row r="62" spans="1:6" x14ac:dyDescent="0.3">
      <c r="A62" s="47">
        <v>123</v>
      </c>
      <c r="B62" s="48" t="s">
        <v>1056</v>
      </c>
      <c r="C62" s="48" t="s">
        <v>1056</v>
      </c>
      <c r="D62" s="48">
        <v>10</v>
      </c>
      <c r="E62" s="48" t="s">
        <v>1057</v>
      </c>
    </row>
    <row r="63" spans="1:6" x14ac:dyDescent="0.3">
      <c r="A63" s="47">
        <v>543</v>
      </c>
      <c r="B63" s="48" t="s">
        <v>1058</v>
      </c>
      <c r="C63" s="48" t="s">
        <v>1058</v>
      </c>
      <c r="D63" s="48">
        <v>278</v>
      </c>
      <c r="E63" s="48" t="s">
        <v>1059</v>
      </c>
    </row>
    <row r="64" spans="1:6" x14ac:dyDescent="0.3">
      <c r="A64" s="47">
        <v>623</v>
      </c>
      <c r="B64" s="48" t="s">
        <v>1060</v>
      </c>
      <c r="C64" s="48" t="s">
        <v>1060</v>
      </c>
      <c r="D64" s="48">
        <v>154</v>
      </c>
      <c r="E64" s="48" t="s">
        <v>1061</v>
      </c>
    </row>
    <row r="65" spans="1:5" x14ac:dyDescent="0.3">
      <c r="A65" s="47">
        <v>742</v>
      </c>
      <c r="B65" s="48" t="s">
        <v>1062</v>
      </c>
      <c r="C65" s="48" t="s">
        <v>1062</v>
      </c>
      <c r="D65" s="48">
        <v>694</v>
      </c>
      <c r="E65" s="48" t="s">
        <v>1063</v>
      </c>
    </row>
    <row r="66" spans="1:5" x14ac:dyDescent="0.3">
      <c r="A66" s="47">
        <v>1031</v>
      </c>
      <c r="B66" s="48" t="s">
        <v>1064</v>
      </c>
      <c r="C66" s="48" t="s">
        <v>1065</v>
      </c>
      <c r="D66" s="48">
        <v>258</v>
      </c>
      <c r="E66" s="48" t="s">
        <v>1066</v>
      </c>
    </row>
    <row r="67" spans="1:5" x14ac:dyDescent="0.3">
      <c r="A67" s="47">
        <v>2340</v>
      </c>
      <c r="B67" s="48" t="s">
        <v>1067</v>
      </c>
      <c r="C67" s="48" t="s">
        <v>1067</v>
      </c>
      <c r="D67" s="48">
        <v>186</v>
      </c>
      <c r="E67" s="48" t="s">
        <v>1068</v>
      </c>
    </row>
    <row r="68" spans="1:5" x14ac:dyDescent="0.3">
      <c r="A68" s="47">
        <v>3093</v>
      </c>
      <c r="B68" s="48" t="s">
        <v>1069</v>
      </c>
      <c r="C68" s="48" t="s">
        <v>1070</v>
      </c>
      <c r="D68" s="48">
        <v>144</v>
      </c>
      <c r="E68" s="48" t="s">
        <v>1071</v>
      </c>
    </row>
    <row r="69" spans="1:5" x14ac:dyDescent="0.3">
      <c r="A69" s="49">
        <v>3930</v>
      </c>
      <c r="B69" s="50" t="s">
        <v>1072</v>
      </c>
      <c r="C69" s="50" t="s">
        <v>1072</v>
      </c>
      <c r="D69" s="50">
        <v>268</v>
      </c>
      <c r="E69" s="50" t="s">
        <v>1073</v>
      </c>
    </row>
  </sheetData>
  <mergeCells count="3">
    <mergeCell ref="A57:E59"/>
    <mergeCell ref="A2:E4"/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73E9C5CC9E5489EA86A680F9DCBDC" ma:contentTypeVersion="16" ma:contentTypeDescription="Crie um novo documento." ma:contentTypeScope="" ma:versionID="80f9a4b52fb2f0f8516a031e4b13c9da">
  <xsd:schema xmlns:xsd="http://www.w3.org/2001/XMLSchema" xmlns:xs="http://www.w3.org/2001/XMLSchema" xmlns:p="http://schemas.microsoft.com/office/2006/metadata/properties" xmlns:ns1="http://schemas.microsoft.com/sharepoint/v3" xmlns:ns2="340b2871-b3a3-450f-9b79-d1cee821277c" xmlns:ns3="04e90cdd-4795-421a-9a00-97aceb5a0bd0" targetNamespace="http://schemas.microsoft.com/office/2006/metadata/properties" ma:root="true" ma:fieldsID="91cc3d3a33c0f2e5afe7678baa7462be" ns1:_="" ns2:_="" ns3:_="">
    <xsd:import namespace="http://schemas.microsoft.com/sharepoint/v3"/>
    <xsd:import namespace="340b2871-b3a3-450f-9b79-d1cee821277c"/>
    <xsd:import namespace="04e90cdd-4795-421a-9a00-97aceb5a0bd0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b2871-b3a3-450f-9b79-d1cee8212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90cdd-4795-421a-9a00-97aceb5a0b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d8e31c-ab65-4965-b316-add72ddfa931}" ma:internalName="TaxCatchAll" ma:showField="CatchAllData" ma:web="04e90cdd-4795-421a-9a00-97aceb5a0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4e90cdd-4795-421a-9a00-97aceb5a0bd0" xsi:nil="true"/>
    <lcf76f155ced4ddcb4097134ff3c332f xmlns="340b2871-b3a3-450f-9b79-d1cee82127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B80C80-79D1-4E54-9AEE-F0EA41907A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660E04-2AE3-4D72-A120-4C09F4268B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40b2871-b3a3-450f-9b79-d1cee821277c"/>
    <ds:schemaRef ds:uri="04e90cdd-4795-421a-9a00-97aceb5a0b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25D9C6-6E9B-4D21-9BFC-02D7244E2E2F}">
  <ds:schemaRefs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04e90cdd-4795-421a-9a00-97aceb5a0bd0"/>
    <ds:schemaRef ds:uri="http://schemas.microsoft.com/sharepoint/v3"/>
    <ds:schemaRef ds:uri="340b2871-b3a3-450f-9b79-d1cee821277c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RAT </vt:lpstr>
      <vt:lpstr>Conformidade</vt:lpstr>
      <vt:lpstr>Valores Unitários</vt:lpstr>
      <vt:lpstr>Prefixos</vt:lpstr>
      <vt:lpstr>Conformidade!Area_de_impressao</vt:lpstr>
      <vt:lpstr>'RAT '!Area_de_impressao</vt:lpstr>
      <vt:lpstr>'Valores Unitários'!Area_de_impressao</vt:lpstr>
      <vt:lpstr>'Valores Unitários'!Titulos_de_impressao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2024-10-31T21:52:22Z</cp:lastPrinted>
  <dcterms:created xsi:type="dcterms:W3CDTF">2019-05-31T18:22:10Z</dcterms:created>
  <dcterms:modified xsi:type="dcterms:W3CDTF">2026-02-23T17:18:45Z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0x010100CEA36A465A48A941A6824E0C7C100BC0</vt:lpwstr>
  </property>
  <property fmtid="{D5CDD505-2E9C-101B-9397-08002B2CF9AE}" pid="3" name="Order">
    <vt:r8>4078000</vt:r8>
  </property>
  <property fmtid="{D5CDD505-2E9C-101B-9397-08002B2CF9AE}" pid="4" name="MediaServiceImageTags">
    <vt:lpwstr/>
  </property>
  <property fmtid="{D5CDD505-2E9C-101B-9397-08002B2CF9AE}" pid="5" name="MSIP_Label_1ba22eba-d59e-42ba-acb9-085eb1026b66_Enabled">
    <vt:lpwstr>true</vt:lpwstr>
  </property>
  <property fmtid="{D5CDD505-2E9C-101B-9397-08002B2CF9AE}" pid="6" name="MSIP_Label_1ba22eba-d59e-42ba-acb9-085eb1026b66_SetDate">
    <vt:lpwstr>2023-09-21T17:10:43Z</vt:lpwstr>
  </property>
  <property fmtid="{D5CDD505-2E9C-101B-9397-08002B2CF9AE}" pid="7" name="MSIP_Label_1ba22eba-d59e-42ba-acb9-085eb1026b66_Method">
    <vt:lpwstr>Privileged</vt:lpwstr>
  </property>
  <property fmtid="{D5CDD505-2E9C-101B-9397-08002B2CF9AE}" pid="8" name="MSIP_Label_1ba22eba-d59e-42ba-acb9-085eb1026b66_Name">
    <vt:lpwstr>1ba22eba-d59e-42ba-acb9-085eb1026b66</vt:lpwstr>
  </property>
  <property fmtid="{D5CDD505-2E9C-101B-9397-08002B2CF9AE}" pid="9" name="MSIP_Label_1ba22eba-d59e-42ba-acb9-085eb1026b66_SiteId">
    <vt:lpwstr>ea0c2907-38d2-4181-8750-b0b190b60443</vt:lpwstr>
  </property>
  <property fmtid="{D5CDD505-2E9C-101B-9397-08002B2CF9AE}" pid="10" name="MSIP_Label_1ba22eba-d59e-42ba-acb9-085eb1026b66_ActionId">
    <vt:lpwstr>04bc50a7-ba90-4fd0-ac10-239502635787</vt:lpwstr>
  </property>
  <property fmtid="{D5CDD505-2E9C-101B-9397-08002B2CF9AE}" pid="11" name="MSIP_Label_1ba22eba-d59e-42ba-acb9-085eb1026b66_ContentBits">
    <vt:lpwstr>1</vt:lpwstr>
  </property>
</Properties>
</file>