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- Área de Trabalho\1 - TM _ HUB\1.1 - Preventivas  2026\03 - Documentos Preventivas\2 - CONTRATO - VARGINHA - 2057 - ATUALIZADO\"/>
    </mc:Choice>
  </mc:AlternateContent>
  <xr:revisionPtr revIDLastSave="0" documentId="13_ncr:1_{E85D468A-8DA8-4E2E-AE2B-B850940AD70E}" xr6:coauthVersionLast="47" xr6:coauthVersionMax="47" xr10:uidLastSave="{00000000-0000-0000-0000-000000000000}"/>
  <bookViews>
    <workbookView xWindow="28680" yWindow="-75" windowWidth="29040" windowHeight="15720" activeTab="1" xr2:uid="{00000000-000D-0000-FFFF-FFFF00000000}"/>
  </bookViews>
  <sheets>
    <sheet name="RAT" sheetId="7" r:id="rId1"/>
    <sheet name="Conformidade" sheetId="6" r:id="rId2"/>
    <sheet name="Valores Unitários" sheetId="2" r:id="rId3"/>
    <sheet name="Prefixos" sheetId="5" r:id="rId4"/>
    <sheet name="BDI" sheetId="3" r:id="rId5"/>
  </sheets>
  <definedNames>
    <definedName name="_xlnm._FilterDatabase" localSheetId="2" hidden="1">'Valores Unitários'!$A$7:$J$516</definedName>
    <definedName name="_xlnm.Print_Area" localSheetId="1">Conformidade!$A$1:$R$51</definedName>
    <definedName name="_xlnm.Print_Area" localSheetId="0">RAT!$A$1:$R$53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7" l="1"/>
  <c r="J24" i="7"/>
  <c r="K24" i="7"/>
  <c r="M24" i="7"/>
  <c r="O24" i="7" s="1"/>
  <c r="N24" i="7"/>
  <c r="P24" i="7" s="1"/>
  <c r="Q24" i="7"/>
  <c r="C25" i="7"/>
  <c r="J25" i="7"/>
  <c r="K25" i="7"/>
  <c r="M25" i="7"/>
  <c r="N25" i="7"/>
  <c r="P25" i="7" s="1"/>
  <c r="O25" i="7"/>
  <c r="Q25" i="7"/>
  <c r="C26" i="7"/>
  <c r="J26" i="7"/>
  <c r="K26" i="7"/>
  <c r="Q26" i="7" s="1"/>
  <c r="M26" i="7"/>
  <c r="O26" i="7" s="1"/>
  <c r="N26" i="7"/>
  <c r="P26" i="7" s="1"/>
  <c r="C27" i="7"/>
  <c r="J27" i="7"/>
  <c r="K27" i="7"/>
  <c r="M27" i="7"/>
  <c r="N27" i="7"/>
  <c r="O27" i="7"/>
  <c r="P27" i="7"/>
  <c r="Q27" i="7"/>
  <c r="C28" i="7"/>
  <c r="J28" i="7"/>
  <c r="K28" i="7"/>
  <c r="Q28" i="7" s="1"/>
  <c r="M28" i="7"/>
  <c r="O28" i="7" s="1"/>
  <c r="N28" i="7"/>
  <c r="P28" i="7" s="1"/>
  <c r="C29" i="7"/>
  <c r="J29" i="7"/>
  <c r="K29" i="7"/>
  <c r="M29" i="7"/>
  <c r="O29" i="7" s="1"/>
  <c r="N29" i="7"/>
  <c r="P29" i="7"/>
  <c r="Q29" i="7"/>
  <c r="C30" i="7"/>
  <c r="J30" i="7"/>
  <c r="K30" i="7"/>
  <c r="M30" i="7"/>
  <c r="N30" i="7"/>
  <c r="P30" i="7" s="1"/>
  <c r="O30" i="7"/>
  <c r="Q30" i="7"/>
  <c r="C31" i="7"/>
  <c r="J31" i="7"/>
  <c r="K31" i="7"/>
  <c r="Q31" i="7" s="1"/>
  <c r="M31" i="7"/>
  <c r="O31" i="7" s="1"/>
  <c r="N31" i="7"/>
  <c r="P31" i="7" s="1"/>
  <c r="C32" i="7"/>
  <c r="J32" i="7"/>
  <c r="K32" i="7"/>
  <c r="M32" i="7"/>
  <c r="N32" i="7"/>
  <c r="O32" i="7"/>
  <c r="P32" i="7"/>
  <c r="Q32" i="7"/>
  <c r="N23" i="7"/>
  <c r="P23" i="7" s="1"/>
  <c r="M23" i="7"/>
  <c r="O23" i="7" s="1"/>
  <c r="K23" i="7"/>
  <c r="Q23" i="7" s="1"/>
  <c r="J23" i="7"/>
  <c r="C23" i="7"/>
  <c r="N22" i="7"/>
  <c r="P22" i="7" s="1"/>
  <c r="M22" i="7"/>
  <c r="O22" i="7" s="1"/>
  <c r="K22" i="7"/>
  <c r="Q22" i="7" s="1"/>
  <c r="J22" i="7"/>
  <c r="C22" i="7"/>
  <c r="N21" i="7"/>
  <c r="P21" i="7" s="1"/>
  <c r="M21" i="7"/>
  <c r="O21" i="7" s="1"/>
  <c r="K21" i="7"/>
  <c r="Q21" i="7" s="1"/>
  <c r="J21" i="7"/>
  <c r="C21" i="7"/>
  <c r="N20" i="7"/>
  <c r="P20" i="7" s="1"/>
  <c r="M20" i="7"/>
  <c r="O20" i="7" s="1"/>
  <c r="K20" i="7"/>
  <c r="Q20" i="7" s="1"/>
  <c r="J20" i="7"/>
  <c r="C20" i="7"/>
  <c r="N19" i="7" l="1"/>
  <c r="P19" i="7" s="1"/>
  <c r="M19" i="7"/>
  <c r="O19" i="7" s="1"/>
  <c r="J19" i="7"/>
  <c r="C19" i="7"/>
  <c r="J8" i="6"/>
  <c r="G8" i="6"/>
  <c r="D8" i="6"/>
  <c r="D5" i="6"/>
  <c r="B5" i="6"/>
  <c r="B35" i="7" l="1"/>
  <c r="B22" i="6"/>
  <c r="G12" i="6"/>
  <c r="B12" i="6"/>
  <c r="B10" i="6"/>
  <c r="B8" i="6"/>
  <c r="I35" i="7" l="1"/>
  <c r="G35" i="7"/>
  <c r="G22" i="6" s="1"/>
  <c r="G10" i="7"/>
  <c r="G10" i="6" s="1"/>
  <c r="C10" i="7"/>
  <c r="C10" i="6" s="1"/>
  <c r="AF421" i="2"/>
  <c r="Z421" i="2"/>
  <c r="D421" i="2"/>
  <c r="C421" i="2"/>
  <c r="AF12" i="2"/>
  <c r="Z12" i="2"/>
  <c r="D12" i="2"/>
  <c r="C12" i="2"/>
  <c r="AF512" i="2"/>
  <c r="Z512" i="2"/>
  <c r="D512" i="2"/>
  <c r="C512" i="2"/>
  <c r="AF511" i="2"/>
  <c r="Z511" i="2"/>
  <c r="D511" i="2"/>
  <c r="C511" i="2"/>
  <c r="AF513" i="2"/>
  <c r="Z513" i="2"/>
  <c r="D513" i="2"/>
  <c r="C513" i="2"/>
  <c r="AF387" i="2"/>
  <c r="Z387" i="2"/>
  <c r="D387" i="2"/>
  <c r="C387" i="2"/>
  <c r="AF386" i="2"/>
  <c r="Z386" i="2"/>
  <c r="D386" i="2"/>
  <c r="C386" i="2"/>
  <c r="AF236" i="2"/>
  <c r="Z236" i="2"/>
  <c r="D236" i="2"/>
  <c r="C236" i="2"/>
  <c r="AF235" i="2"/>
  <c r="Z235" i="2"/>
  <c r="D235" i="2"/>
  <c r="C235" i="2"/>
  <c r="AF158" i="2"/>
  <c r="Z158" i="2"/>
  <c r="D158" i="2"/>
  <c r="C158" i="2"/>
  <c r="AF135" i="2"/>
  <c r="Z135" i="2"/>
  <c r="D135" i="2"/>
  <c r="C135" i="2"/>
  <c r="AF134" i="2"/>
  <c r="Z134" i="2"/>
  <c r="D134" i="2"/>
  <c r="C134" i="2"/>
  <c r="AF121" i="2"/>
  <c r="Z121" i="2"/>
  <c r="D121" i="2"/>
  <c r="C121" i="2"/>
  <c r="AF110" i="2"/>
  <c r="Z110" i="2"/>
  <c r="D110" i="2"/>
  <c r="C110" i="2"/>
  <c r="AF109" i="2"/>
  <c r="Z109" i="2"/>
  <c r="D109" i="2"/>
  <c r="C109" i="2"/>
  <c r="AF51" i="2"/>
  <c r="Z51" i="2"/>
  <c r="D51" i="2"/>
  <c r="C51" i="2"/>
  <c r="AF11" i="2"/>
  <c r="Z11" i="2"/>
  <c r="D11" i="2"/>
  <c r="C11" i="2"/>
  <c r="AF10" i="2"/>
  <c r="Z10" i="2"/>
  <c r="D10" i="2"/>
  <c r="C10" i="2"/>
  <c r="AH16" i="2"/>
  <c r="AH53" i="2"/>
  <c r="AH54" i="2"/>
  <c r="AH55" i="2"/>
  <c r="AH60" i="2"/>
  <c r="AH64" i="2"/>
  <c r="AH80" i="2"/>
  <c r="AH88" i="2"/>
  <c r="AH89" i="2"/>
  <c r="AH113" i="2"/>
  <c r="AH123" i="2"/>
  <c r="AH138" i="2"/>
  <c r="AH161" i="2"/>
  <c r="AH191" i="2"/>
  <c r="AH209" i="2"/>
  <c r="AH228" i="2"/>
  <c r="AH240" i="2"/>
  <c r="AH241" i="2"/>
  <c r="AH372" i="2"/>
  <c r="AH396" i="2"/>
  <c r="AH410" i="2"/>
  <c r="AH423" i="2"/>
  <c r="AH424" i="2"/>
  <c r="AH425" i="2"/>
  <c r="AH426" i="2"/>
  <c r="AH427" i="2"/>
  <c r="AH428" i="2"/>
  <c r="AH463" i="2"/>
  <c r="AI16" i="2"/>
  <c r="AJ16" i="2"/>
  <c r="AI53" i="2"/>
  <c r="AJ53" i="2"/>
  <c r="AI54" i="2"/>
  <c r="AJ54" i="2"/>
  <c r="AI55" i="2"/>
  <c r="AJ55" i="2"/>
  <c r="AI60" i="2"/>
  <c r="AJ60" i="2"/>
  <c r="AI64" i="2"/>
  <c r="AJ64" i="2"/>
  <c r="AI80" i="2"/>
  <c r="AJ80" i="2"/>
  <c r="AI88" i="2"/>
  <c r="AJ88" i="2"/>
  <c r="AI89" i="2"/>
  <c r="AJ89" i="2"/>
  <c r="AI113" i="2"/>
  <c r="AJ113" i="2"/>
  <c r="AI123" i="2"/>
  <c r="AJ123" i="2"/>
  <c r="AI138" i="2"/>
  <c r="AJ138" i="2"/>
  <c r="AI161" i="2"/>
  <c r="AJ161" i="2"/>
  <c r="AI191" i="2"/>
  <c r="AJ191" i="2"/>
  <c r="AI209" i="2"/>
  <c r="AJ209" i="2"/>
  <c r="AI228" i="2"/>
  <c r="AJ228" i="2"/>
  <c r="AI240" i="2"/>
  <c r="AJ240" i="2"/>
  <c r="AI241" i="2"/>
  <c r="AJ241" i="2"/>
  <c r="AI372" i="2"/>
  <c r="AJ372" i="2"/>
  <c r="AI396" i="2"/>
  <c r="AJ396" i="2"/>
  <c r="AI410" i="2"/>
  <c r="AJ410" i="2"/>
  <c r="AI423" i="2"/>
  <c r="AJ423" i="2"/>
  <c r="AI424" i="2"/>
  <c r="AJ424" i="2"/>
  <c r="AI425" i="2"/>
  <c r="AJ425" i="2"/>
  <c r="AI426" i="2"/>
  <c r="AJ426" i="2"/>
  <c r="AI427" i="2"/>
  <c r="AJ427" i="2"/>
  <c r="AI428" i="2"/>
  <c r="AJ428" i="2"/>
  <c r="AI463" i="2"/>
  <c r="AJ463" i="2"/>
  <c r="I22" i="6" l="1"/>
  <c r="AF514" i="2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4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9" i="2"/>
  <c r="AF448" i="2"/>
  <c r="AF447" i="2"/>
  <c r="AF446" i="2"/>
  <c r="AF445" i="2"/>
  <c r="AF444" i="2"/>
  <c r="AF443" i="2"/>
  <c r="AF442" i="2"/>
  <c r="AF441" i="2"/>
  <c r="AF440" i="2"/>
  <c r="AF439" i="2"/>
  <c r="AF438" i="2"/>
  <c r="AF437" i="2"/>
  <c r="AF436" i="2"/>
  <c r="AF435" i="2"/>
  <c r="AF434" i="2"/>
  <c r="AF433" i="2"/>
  <c r="AF432" i="2"/>
  <c r="AF431" i="2"/>
  <c r="AF430" i="2"/>
  <c r="AF429" i="2"/>
  <c r="AF422" i="2"/>
  <c r="AF420" i="2"/>
  <c r="AF419" i="2"/>
  <c r="AF418" i="2"/>
  <c r="AF417" i="2"/>
  <c r="AF416" i="2"/>
  <c r="AF415" i="2"/>
  <c r="AF414" i="2"/>
  <c r="AF413" i="2"/>
  <c r="AF412" i="2"/>
  <c r="AF411" i="2"/>
  <c r="AF409" i="2"/>
  <c r="AF408" i="2"/>
  <c r="AF407" i="2"/>
  <c r="AF406" i="2"/>
  <c r="AF405" i="2"/>
  <c r="AF404" i="2"/>
  <c r="AF403" i="2"/>
  <c r="AF402" i="2"/>
  <c r="AF401" i="2"/>
  <c r="AF400" i="2"/>
  <c r="AF399" i="2"/>
  <c r="AF398" i="2"/>
  <c r="AF397" i="2"/>
  <c r="AF395" i="2"/>
  <c r="AF394" i="2"/>
  <c r="AF393" i="2"/>
  <c r="AF392" i="2"/>
  <c r="AF391" i="2"/>
  <c r="AF390" i="2"/>
  <c r="AF389" i="2"/>
  <c r="AF388" i="2"/>
  <c r="AF385" i="2"/>
  <c r="AF384" i="2"/>
  <c r="AF383" i="2"/>
  <c r="AF382" i="2"/>
  <c r="AF381" i="2"/>
  <c r="AF380" i="2"/>
  <c r="AF379" i="2"/>
  <c r="AF378" i="2"/>
  <c r="AF377" i="2"/>
  <c r="AF376" i="2"/>
  <c r="AF375" i="2"/>
  <c r="AF374" i="2"/>
  <c r="AF373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39" i="2"/>
  <c r="AF238" i="2"/>
  <c r="AF237" i="2"/>
  <c r="AF234" i="2"/>
  <c r="AF233" i="2"/>
  <c r="AF232" i="2"/>
  <c r="AF231" i="2"/>
  <c r="AF230" i="2"/>
  <c r="AF229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0" i="2"/>
  <c r="AF159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7" i="2"/>
  <c r="AF136" i="2"/>
  <c r="AF133" i="2"/>
  <c r="AF132" i="2"/>
  <c r="AF131" i="2"/>
  <c r="AF130" i="2"/>
  <c r="AF129" i="2"/>
  <c r="AF128" i="2"/>
  <c r="AF127" i="2"/>
  <c r="AF126" i="2"/>
  <c r="AF125" i="2"/>
  <c r="AF124" i="2"/>
  <c r="AF122" i="2"/>
  <c r="AF120" i="2"/>
  <c r="AF119" i="2"/>
  <c r="AF118" i="2"/>
  <c r="AF117" i="2"/>
  <c r="AF116" i="2"/>
  <c r="AF115" i="2"/>
  <c r="AF114" i="2"/>
  <c r="AF112" i="2"/>
  <c r="AF111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7" i="2"/>
  <c r="AF86" i="2"/>
  <c r="AF85" i="2"/>
  <c r="AF84" i="2"/>
  <c r="AF83" i="2"/>
  <c r="AF82" i="2"/>
  <c r="AF81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3" i="2"/>
  <c r="AF62" i="2"/>
  <c r="AF61" i="2"/>
  <c r="AF59" i="2"/>
  <c r="AF58" i="2"/>
  <c r="AF57" i="2"/>
  <c r="AF56" i="2"/>
  <c r="AF52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5" i="2"/>
  <c r="AF14" i="2"/>
  <c r="AF13" i="2"/>
  <c r="AF9" i="2"/>
  <c r="Z514" i="2"/>
  <c r="D514" i="2"/>
  <c r="C514" i="2"/>
  <c r="Z188" i="2"/>
  <c r="D188" i="2"/>
  <c r="C188" i="2"/>
  <c r="Z460" i="2"/>
  <c r="D460" i="2"/>
  <c r="C460" i="2"/>
  <c r="Z459" i="2"/>
  <c r="D459" i="2"/>
  <c r="C459" i="2"/>
  <c r="Z226" i="2"/>
  <c r="D226" i="2"/>
  <c r="C226" i="2"/>
  <c r="Z207" i="2"/>
  <c r="D207" i="2"/>
  <c r="C207" i="2"/>
  <c r="Z173" i="2"/>
  <c r="D173" i="2"/>
  <c r="C173" i="2"/>
  <c r="Z172" i="2"/>
  <c r="D172" i="2"/>
  <c r="C172" i="2"/>
  <c r="Z171" i="2"/>
  <c r="D171" i="2"/>
  <c r="C171" i="2"/>
  <c r="Z170" i="2"/>
  <c r="D170" i="2"/>
  <c r="C170" i="2"/>
  <c r="Z169" i="2"/>
  <c r="D169" i="2"/>
  <c r="C169" i="2"/>
  <c r="Z168" i="2"/>
  <c r="D168" i="2"/>
  <c r="C168" i="2"/>
  <c r="Z167" i="2"/>
  <c r="D167" i="2"/>
  <c r="C167" i="2"/>
  <c r="Z166" i="2"/>
  <c r="D166" i="2"/>
  <c r="C166" i="2"/>
  <c r="Z181" i="2"/>
  <c r="D181" i="2"/>
  <c r="C181" i="2"/>
  <c r="Z180" i="2"/>
  <c r="D180" i="2"/>
  <c r="C180" i="2"/>
  <c r="Z179" i="2"/>
  <c r="D179" i="2"/>
  <c r="C179" i="2"/>
  <c r="Z178" i="2"/>
  <c r="D178" i="2"/>
  <c r="C178" i="2"/>
  <c r="Z177" i="2"/>
  <c r="D177" i="2"/>
  <c r="C177" i="2"/>
  <c r="Z176" i="2"/>
  <c r="D176" i="2"/>
  <c r="C176" i="2"/>
  <c r="Z175" i="2"/>
  <c r="D175" i="2"/>
  <c r="C175" i="2"/>
  <c r="Z174" i="2"/>
  <c r="D174" i="2"/>
  <c r="C174" i="2"/>
  <c r="Z157" i="2"/>
  <c r="D157" i="2"/>
  <c r="C157" i="2"/>
  <c r="Z156" i="2"/>
  <c r="D156" i="2"/>
  <c r="C156" i="2"/>
  <c r="C159" i="2"/>
  <c r="D159" i="2"/>
  <c r="Z159" i="2"/>
  <c r="C160" i="2"/>
  <c r="D160" i="2"/>
  <c r="Z160" i="2"/>
  <c r="Z136" i="2"/>
  <c r="D136" i="2"/>
  <c r="C136" i="2"/>
  <c r="Z111" i="2"/>
  <c r="D111" i="2"/>
  <c r="C111" i="2"/>
  <c r="Z76" i="2"/>
  <c r="D76" i="2"/>
  <c r="C76" i="2"/>
  <c r="Z75" i="2"/>
  <c r="D75" i="2"/>
  <c r="C75" i="2"/>
  <c r="Z74" i="2"/>
  <c r="D74" i="2"/>
  <c r="C74" i="2"/>
  <c r="Z46" i="2"/>
  <c r="D46" i="2"/>
  <c r="C46" i="2"/>
  <c r="Z45" i="2"/>
  <c r="D45" i="2"/>
  <c r="C45" i="2"/>
  <c r="Z44" i="2"/>
  <c r="D44" i="2"/>
  <c r="C44" i="2"/>
  <c r="Z43" i="2"/>
  <c r="D43" i="2"/>
  <c r="C43" i="2"/>
  <c r="Z42" i="2"/>
  <c r="D42" i="2"/>
  <c r="C42" i="2"/>
  <c r="J35" i="7" l="1"/>
  <c r="J22" i="6" s="1"/>
  <c r="Z508" i="2"/>
  <c r="D508" i="2"/>
  <c r="C508" i="2"/>
  <c r="Z509" i="2"/>
  <c r="D509" i="2"/>
  <c r="C509" i="2"/>
  <c r="Z510" i="2"/>
  <c r="D510" i="2"/>
  <c r="C510" i="2"/>
  <c r="C21" i="3" l="1"/>
  <c r="AH18" i="2" l="1"/>
  <c r="AI18" i="2"/>
  <c r="AH19" i="2"/>
  <c r="AI19" i="2"/>
  <c r="AH20" i="2"/>
  <c r="AI20" i="2"/>
  <c r="AH21" i="2"/>
  <c r="AI21" i="2"/>
  <c r="AH22" i="2"/>
  <c r="AI22" i="2"/>
  <c r="AH23" i="2"/>
  <c r="AI23" i="2"/>
  <c r="AH24" i="2"/>
  <c r="AI24" i="2"/>
  <c r="AH25" i="2"/>
  <c r="AI25" i="2"/>
  <c r="AH26" i="2"/>
  <c r="AI26" i="2"/>
  <c r="AH27" i="2"/>
  <c r="AI27" i="2"/>
  <c r="AH28" i="2"/>
  <c r="AI28" i="2"/>
  <c r="AH29" i="2"/>
  <c r="AI29" i="2"/>
  <c r="AH30" i="2"/>
  <c r="AI30" i="2"/>
  <c r="AH31" i="2"/>
  <c r="AI31" i="2"/>
  <c r="AH32" i="2"/>
  <c r="AI32" i="2"/>
  <c r="AH33" i="2"/>
  <c r="AI33" i="2"/>
  <c r="AH34" i="2"/>
  <c r="AI34" i="2"/>
  <c r="AH35" i="2"/>
  <c r="AI35" i="2"/>
  <c r="AH36" i="2"/>
  <c r="AI36" i="2"/>
  <c r="AH37" i="2"/>
  <c r="AI37" i="2"/>
  <c r="AH38" i="2"/>
  <c r="AI38" i="2"/>
  <c r="AH39" i="2"/>
  <c r="AI39" i="2"/>
  <c r="AH40" i="2"/>
  <c r="AI40" i="2"/>
  <c r="AH41" i="2"/>
  <c r="AI41" i="2"/>
  <c r="AH47" i="2"/>
  <c r="AI47" i="2"/>
  <c r="AH48" i="2"/>
  <c r="AI48" i="2"/>
  <c r="AH49" i="2"/>
  <c r="AI49" i="2"/>
  <c r="AH50" i="2"/>
  <c r="AI50" i="2"/>
  <c r="AH52" i="2"/>
  <c r="AI52" i="2"/>
  <c r="C9" i="2"/>
  <c r="D9" i="2"/>
  <c r="C13" i="2"/>
  <c r="D13" i="2"/>
  <c r="C14" i="2"/>
  <c r="D14" i="2"/>
  <c r="C15" i="2"/>
  <c r="D15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7" i="2"/>
  <c r="D47" i="2"/>
  <c r="C48" i="2"/>
  <c r="D48" i="2"/>
  <c r="C49" i="2"/>
  <c r="D49" i="2"/>
  <c r="C50" i="2"/>
  <c r="D50" i="2"/>
  <c r="C52" i="2"/>
  <c r="D52" i="2"/>
  <c r="C56" i="2"/>
  <c r="D56" i="2"/>
  <c r="C57" i="2"/>
  <c r="D57" i="2"/>
  <c r="C58" i="2"/>
  <c r="D58" i="2"/>
  <c r="C59" i="2"/>
  <c r="D59" i="2"/>
  <c r="C61" i="2"/>
  <c r="D61" i="2"/>
  <c r="C62" i="2"/>
  <c r="D62" i="2"/>
  <c r="C63" i="2"/>
  <c r="D63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7" i="2"/>
  <c r="D77" i="2"/>
  <c r="C78" i="2"/>
  <c r="D78" i="2"/>
  <c r="C79" i="2"/>
  <c r="D79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12" i="2"/>
  <c r="D112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2" i="2"/>
  <c r="D122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7" i="2"/>
  <c r="D137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62" i="2"/>
  <c r="D162" i="2"/>
  <c r="C163" i="2"/>
  <c r="D163" i="2"/>
  <c r="C164" i="2"/>
  <c r="D164" i="2"/>
  <c r="C165" i="2"/>
  <c r="D165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9" i="2"/>
  <c r="D189" i="2"/>
  <c r="C190" i="2"/>
  <c r="D190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8" i="2"/>
  <c r="D208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7" i="2"/>
  <c r="D227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7" i="2"/>
  <c r="D237" i="2"/>
  <c r="C238" i="2"/>
  <c r="D238" i="2"/>
  <c r="C239" i="2"/>
  <c r="D239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2" i="2"/>
  <c r="D422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61" i="2"/>
  <c r="D461" i="2"/>
  <c r="C462" i="2"/>
  <c r="D462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Z505" i="2"/>
  <c r="AI505" i="2"/>
  <c r="AH505" i="2"/>
  <c r="Z504" i="2"/>
  <c r="AH504" i="2"/>
  <c r="AI421" i="2" l="1"/>
  <c r="G421" i="2"/>
  <c r="AJ421" i="2" s="1"/>
  <c r="I421" i="2"/>
  <c r="AH421" i="2"/>
  <c r="J421" i="2"/>
  <c r="H421" i="2"/>
  <c r="AH236" i="2"/>
  <c r="J236" i="2"/>
  <c r="H236" i="2"/>
  <c r="AH235" i="2"/>
  <c r="J235" i="2"/>
  <c r="H235" i="2"/>
  <c r="AH158" i="2"/>
  <c r="J158" i="2"/>
  <c r="H158" i="2"/>
  <c r="AH109" i="2"/>
  <c r="H109" i="2"/>
  <c r="J109" i="2"/>
  <c r="G51" i="2"/>
  <c r="AJ51" i="2" s="1"/>
  <c r="I51" i="2"/>
  <c r="AI51" i="2"/>
  <c r="AH513" i="2"/>
  <c r="J513" i="2"/>
  <c r="H513" i="2"/>
  <c r="AH387" i="2"/>
  <c r="H387" i="2"/>
  <c r="J387" i="2"/>
  <c r="AH135" i="2"/>
  <c r="J135" i="2"/>
  <c r="H135" i="2"/>
  <c r="AI134" i="2"/>
  <c r="G134" i="2"/>
  <c r="AJ134" i="2" s="1"/>
  <c r="I134" i="2"/>
  <c r="G11" i="2"/>
  <c r="AJ11" i="2" s="1"/>
  <c r="I11" i="2"/>
  <c r="AI11" i="2"/>
  <c r="AH12" i="2"/>
  <c r="J12" i="2"/>
  <c r="H12" i="2"/>
  <c r="AH386" i="2"/>
  <c r="H386" i="2"/>
  <c r="J386" i="2"/>
  <c r="G236" i="2"/>
  <c r="AJ236" i="2" s="1"/>
  <c r="I236" i="2"/>
  <c r="AI236" i="2"/>
  <c r="I121" i="2"/>
  <c r="AI121" i="2"/>
  <c r="G121" i="2"/>
  <c r="AJ121" i="2" s="1"/>
  <c r="I10" i="2"/>
  <c r="G10" i="2"/>
  <c r="AJ10" i="2" s="1"/>
  <c r="AI10" i="2"/>
  <c r="AH512" i="2"/>
  <c r="J512" i="2"/>
  <c r="H512" i="2"/>
  <c r="G511" i="2"/>
  <c r="AJ511" i="2" s="1"/>
  <c r="AI511" i="2"/>
  <c r="I511" i="2"/>
  <c r="G235" i="2"/>
  <c r="AJ235" i="2" s="1"/>
  <c r="AI235" i="2"/>
  <c r="I235" i="2"/>
  <c r="G110" i="2"/>
  <c r="AJ110" i="2" s="1"/>
  <c r="I110" i="2"/>
  <c r="AI110" i="2"/>
  <c r="AI109" i="2"/>
  <c r="G109" i="2"/>
  <c r="AJ109" i="2" s="1"/>
  <c r="I109" i="2"/>
  <c r="AH511" i="2"/>
  <c r="H511" i="2"/>
  <c r="J511" i="2"/>
  <c r="AI513" i="2"/>
  <c r="G513" i="2"/>
  <c r="AJ513" i="2" s="1"/>
  <c r="I513" i="2"/>
  <c r="G158" i="2"/>
  <c r="AJ158" i="2" s="1"/>
  <c r="I158" i="2"/>
  <c r="AI158" i="2"/>
  <c r="I135" i="2"/>
  <c r="AI135" i="2"/>
  <c r="G135" i="2"/>
  <c r="AJ135" i="2" s="1"/>
  <c r="AH51" i="2"/>
  <c r="J51" i="2"/>
  <c r="H51" i="2"/>
  <c r="AH11" i="2"/>
  <c r="J11" i="2"/>
  <c r="H11" i="2"/>
  <c r="H10" i="2"/>
  <c r="AH10" i="2"/>
  <c r="J10" i="2"/>
  <c r="G387" i="2"/>
  <c r="AJ387" i="2" s="1"/>
  <c r="I387" i="2"/>
  <c r="AI387" i="2"/>
  <c r="I386" i="2"/>
  <c r="AI386" i="2"/>
  <c r="G386" i="2"/>
  <c r="AJ386" i="2" s="1"/>
  <c r="AH134" i="2"/>
  <c r="H134" i="2"/>
  <c r="J134" i="2"/>
  <c r="AH121" i="2"/>
  <c r="J121" i="2"/>
  <c r="H121" i="2"/>
  <c r="AH110" i="2"/>
  <c r="H110" i="2"/>
  <c r="J110" i="2"/>
  <c r="G12" i="2"/>
  <c r="AJ12" i="2" s="1"/>
  <c r="AI12" i="2"/>
  <c r="I12" i="2"/>
  <c r="G512" i="2"/>
  <c r="AJ512" i="2" s="1"/>
  <c r="I512" i="2"/>
  <c r="AI512" i="2"/>
  <c r="AH509" i="2"/>
  <c r="H509" i="2"/>
  <c r="J509" i="2"/>
  <c r="AH226" i="2"/>
  <c r="H226" i="2"/>
  <c r="J226" i="2"/>
  <c r="AH180" i="2"/>
  <c r="H180" i="2"/>
  <c r="J180" i="2"/>
  <c r="AH171" i="2"/>
  <c r="H171" i="2"/>
  <c r="J171" i="2"/>
  <c r="AI180" i="2"/>
  <c r="I180" i="2"/>
  <c r="G180" i="2"/>
  <c r="AJ180" i="2" s="1"/>
  <c r="AI514" i="2"/>
  <c r="G514" i="2"/>
  <c r="AJ514" i="2" s="1"/>
  <c r="I514" i="2"/>
  <c r="AI173" i="2"/>
  <c r="I173" i="2"/>
  <c r="G173" i="2"/>
  <c r="AJ173" i="2" s="1"/>
  <c r="AI509" i="2"/>
  <c r="I509" i="2"/>
  <c r="G509" i="2"/>
  <c r="AJ509" i="2" s="1"/>
  <c r="AH510" i="2"/>
  <c r="J510" i="2"/>
  <c r="H510" i="2"/>
  <c r="AI166" i="2"/>
  <c r="G166" i="2"/>
  <c r="AJ166" i="2" s="1"/>
  <c r="I166" i="2"/>
  <c r="AI460" i="2"/>
  <c r="G460" i="2"/>
  <c r="AJ460" i="2" s="1"/>
  <c r="I460" i="2"/>
  <c r="AH46" i="2"/>
  <c r="H46" i="2"/>
  <c r="J46" i="2"/>
  <c r="AI175" i="2"/>
  <c r="G175" i="2"/>
  <c r="AJ175" i="2" s="1"/>
  <c r="I175" i="2"/>
  <c r="AI167" i="2"/>
  <c r="I167" i="2"/>
  <c r="G167" i="2"/>
  <c r="AJ167" i="2" s="1"/>
  <c r="AI226" i="2"/>
  <c r="G226" i="2"/>
  <c r="AJ226" i="2" s="1"/>
  <c r="I226" i="2"/>
  <c r="AH45" i="2"/>
  <c r="J45" i="2"/>
  <c r="H45" i="2"/>
  <c r="AI42" i="2"/>
  <c r="I42" i="2"/>
  <c r="G42" i="2"/>
  <c r="AJ42" i="2" s="1"/>
  <c r="AI111" i="2"/>
  <c r="G111" i="2"/>
  <c r="AJ111" i="2" s="1"/>
  <c r="I111" i="2"/>
  <c r="AH157" i="2"/>
  <c r="J157" i="2"/>
  <c r="H157" i="2"/>
  <c r="AH181" i="2"/>
  <c r="J181" i="2"/>
  <c r="H181" i="2"/>
  <c r="AH173" i="2"/>
  <c r="J173" i="2"/>
  <c r="H173" i="2"/>
  <c r="AI44" i="2"/>
  <c r="I44" i="2"/>
  <c r="G44" i="2"/>
  <c r="AJ44" i="2" s="1"/>
  <c r="AI43" i="2"/>
  <c r="G43" i="2"/>
  <c r="AJ43" i="2" s="1"/>
  <c r="I43" i="2"/>
  <c r="AI136" i="2"/>
  <c r="G136" i="2"/>
  <c r="AJ136" i="2" s="1"/>
  <c r="I136" i="2"/>
  <c r="AH174" i="2"/>
  <c r="J174" i="2"/>
  <c r="H174" i="2"/>
  <c r="AH166" i="2"/>
  <c r="J166" i="2"/>
  <c r="H166" i="2"/>
  <c r="AH207" i="2"/>
  <c r="J207" i="2"/>
  <c r="H207" i="2"/>
  <c r="AI508" i="2"/>
  <c r="G508" i="2"/>
  <c r="AJ508" i="2" s="1"/>
  <c r="I508" i="2"/>
  <c r="AI45" i="2"/>
  <c r="G45" i="2"/>
  <c r="AJ45" i="2" s="1"/>
  <c r="I45" i="2"/>
  <c r="AH172" i="2"/>
  <c r="H172" i="2"/>
  <c r="J172" i="2"/>
  <c r="AH74" i="2"/>
  <c r="H74" i="2"/>
  <c r="J74" i="2"/>
  <c r="AI181" i="2"/>
  <c r="I181" i="2"/>
  <c r="G181" i="2"/>
  <c r="AJ181" i="2" s="1"/>
  <c r="AH508" i="2"/>
  <c r="J508" i="2"/>
  <c r="H508" i="2"/>
  <c r="AI75" i="2"/>
  <c r="G75" i="2"/>
  <c r="AJ75" i="2" s="1"/>
  <c r="I75" i="2"/>
  <c r="AH167" i="2"/>
  <c r="H167" i="2"/>
  <c r="J167" i="2"/>
  <c r="AH188" i="2"/>
  <c r="J188" i="2"/>
  <c r="H188" i="2"/>
  <c r="AI76" i="2"/>
  <c r="I76" i="2"/>
  <c r="G76" i="2"/>
  <c r="AJ76" i="2" s="1"/>
  <c r="AH176" i="2"/>
  <c r="J176" i="2"/>
  <c r="H176" i="2"/>
  <c r="AH168" i="2"/>
  <c r="J168" i="2"/>
  <c r="H168" i="2"/>
  <c r="AH159" i="2"/>
  <c r="J159" i="2"/>
  <c r="H159" i="2"/>
  <c r="AH43" i="2"/>
  <c r="J43" i="2"/>
  <c r="H43" i="2"/>
  <c r="AH136" i="2"/>
  <c r="J136" i="2"/>
  <c r="H136" i="2"/>
  <c r="AI176" i="2"/>
  <c r="G176" i="2"/>
  <c r="AJ176" i="2" s="1"/>
  <c r="I176" i="2"/>
  <c r="AI168" i="2"/>
  <c r="G168" i="2"/>
  <c r="AJ168" i="2" s="1"/>
  <c r="I168" i="2"/>
  <c r="AH76" i="2"/>
  <c r="J76" i="2"/>
  <c r="H76" i="2"/>
  <c r="AH44" i="2"/>
  <c r="J44" i="2"/>
  <c r="H44" i="2"/>
  <c r="AH160" i="2"/>
  <c r="H160" i="2"/>
  <c r="J160" i="2"/>
  <c r="AI177" i="2"/>
  <c r="I177" i="2"/>
  <c r="G177" i="2"/>
  <c r="AJ177" i="2" s="1"/>
  <c r="AI169" i="2"/>
  <c r="G169" i="2"/>
  <c r="AJ169" i="2" s="1"/>
  <c r="I169" i="2"/>
  <c r="AI459" i="2"/>
  <c r="I459" i="2"/>
  <c r="G459" i="2"/>
  <c r="AJ459" i="2" s="1"/>
  <c r="AH179" i="2"/>
  <c r="H179" i="2"/>
  <c r="J179" i="2"/>
  <c r="AH156" i="2"/>
  <c r="H156" i="2"/>
  <c r="J156" i="2"/>
  <c r="AH514" i="2"/>
  <c r="H514" i="2"/>
  <c r="J514" i="2"/>
  <c r="AI156" i="2"/>
  <c r="G156" i="2"/>
  <c r="AJ156" i="2" s="1"/>
  <c r="I156" i="2"/>
  <c r="AI172" i="2"/>
  <c r="G172" i="2"/>
  <c r="AJ172" i="2" s="1"/>
  <c r="I172" i="2"/>
  <c r="AI170" i="2"/>
  <c r="G170" i="2"/>
  <c r="AJ170" i="2" s="1"/>
  <c r="I170" i="2"/>
  <c r="AH75" i="2"/>
  <c r="J75" i="2"/>
  <c r="H75" i="2"/>
  <c r="AI157" i="2"/>
  <c r="I157" i="2"/>
  <c r="G157" i="2"/>
  <c r="AJ157" i="2" s="1"/>
  <c r="I504" i="2"/>
  <c r="AI504" i="2"/>
  <c r="AI510" i="2"/>
  <c r="G510" i="2"/>
  <c r="AJ510" i="2" s="1"/>
  <c r="I510" i="2"/>
  <c r="AH175" i="2"/>
  <c r="H175" i="2"/>
  <c r="J175" i="2"/>
  <c r="AI207" i="2"/>
  <c r="I207" i="2"/>
  <c r="G207" i="2"/>
  <c r="AJ207" i="2" s="1"/>
  <c r="AH42" i="2"/>
  <c r="J42" i="2"/>
  <c r="H42" i="2"/>
  <c r="AH111" i="2"/>
  <c r="H111" i="2"/>
  <c r="J111" i="2"/>
  <c r="AI179" i="2"/>
  <c r="I179" i="2"/>
  <c r="G179" i="2"/>
  <c r="AJ179" i="2" s="1"/>
  <c r="AI171" i="2"/>
  <c r="I171" i="2"/>
  <c r="G171" i="2"/>
  <c r="AJ171" i="2" s="1"/>
  <c r="AI188" i="2"/>
  <c r="G188" i="2"/>
  <c r="AJ188" i="2" s="1"/>
  <c r="I188" i="2"/>
  <c r="AI178" i="2"/>
  <c r="I178" i="2"/>
  <c r="G178" i="2"/>
  <c r="AJ178" i="2" s="1"/>
  <c r="AI46" i="2"/>
  <c r="G46" i="2"/>
  <c r="AJ46" i="2" s="1"/>
  <c r="I46" i="2"/>
  <c r="AI160" i="2"/>
  <c r="I160" i="2"/>
  <c r="G160" i="2"/>
  <c r="AJ160" i="2" s="1"/>
  <c r="AH177" i="2"/>
  <c r="J177" i="2"/>
  <c r="H177" i="2"/>
  <c r="AH169" i="2"/>
  <c r="J169" i="2"/>
  <c r="H169" i="2"/>
  <c r="AH459" i="2"/>
  <c r="J459" i="2"/>
  <c r="H459" i="2"/>
  <c r="AI174" i="2"/>
  <c r="G174" i="2"/>
  <c r="AJ174" i="2" s="1"/>
  <c r="I174" i="2"/>
  <c r="AI74" i="2"/>
  <c r="G74" i="2"/>
  <c r="AJ74" i="2" s="1"/>
  <c r="I74" i="2"/>
  <c r="AI159" i="2"/>
  <c r="I159" i="2"/>
  <c r="G159" i="2"/>
  <c r="AJ159" i="2" s="1"/>
  <c r="AH178" i="2"/>
  <c r="J178" i="2"/>
  <c r="H178" i="2"/>
  <c r="AH170" i="2"/>
  <c r="J170" i="2"/>
  <c r="H170" i="2"/>
  <c r="AH460" i="2"/>
  <c r="J460" i="2"/>
  <c r="H460" i="2"/>
  <c r="G505" i="2"/>
  <c r="AJ505" i="2" s="1"/>
  <c r="J505" i="2"/>
  <c r="G504" i="2"/>
  <c r="AJ504" i="2" s="1"/>
  <c r="H505" i="2"/>
  <c r="J504" i="2"/>
  <c r="H504" i="2"/>
  <c r="I505" i="2"/>
  <c r="AH465" i="2" l="1"/>
  <c r="AI465" i="2"/>
  <c r="AH466" i="2"/>
  <c r="AI466" i="2"/>
  <c r="AH467" i="2"/>
  <c r="AI467" i="2"/>
  <c r="AH468" i="2"/>
  <c r="AI468" i="2"/>
  <c r="AH469" i="2"/>
  <c r="AI469" i="2"/>
  <c r="AH470" i="2"/>
  <c r="AI470" i="2"/>
  <c r="AH471" i="2"/>
  <c r="AI471" i="2"/>
  <c r="AH472" i="2"/>
  <c r="AI472" i="2"/>
  <c r="AH473" i="2"/>
  <c r="AI473" i="2"/>
  <c r="AH474" i="2"/>
  <c r="AI474" i="2"/>
  <c r="AH475" i="2"/>
  <c r="AI475" i="2"/>
  <c r="AH476" i="2"/>
  <c r="AI476" i="2"/>
  <c r="AH477" i="2"/>
  <c r="AI477" i="2"/>
  <c r="AH478" i="2"/>
  <c r="AI478" i="2"/>
  <c r="AH479" i="2"/>
  <c r="AI479" i="2"/>
  <c r="AH480" i="2"/>
  <c r="AI480" i="2"/>
  <c r="AH481" i="2"/>
  <c r="AI481" i="2"/>
  <c r="AH482" i="2"/>
  <c r="AI482" i="2"/>
  <c r="AH483" i="2"/>
  <c r="AI483" i="2"/>
  <c r="AH484" i="2"/>
  <c r="AI484" i="2"/>
  <c r="AH485" i="2"/>
  <c r="AI485" i="2"/>
  <c r="AH486" i="2"/>
  <c r="AI486" i="2"/>
  <c r="AH487" i="2"/>
  <c r="AI487" i="2"/>
  <c r="AH488" i="2"/>
  <c r="AI488" i="2"/>
  <c r="AH489" i="2"/>
  <c r="AI489" i="2"/>
  <c r="AH490" i="2"/>
  <c r="AI490" i="2"/>
  <c r="AH491" i="2"/>
  <c r="AI491" i="2"/>
  <c r="AH492" i="2"/>
  <c r="AI492" i="2"/>
  <c r="AH493" i="2"/>
  <c r="AI493" i="2"/>
  <c r="AH494" i="2"/>
  <c r="AI494" i="2"/>
  <c r="AH495" i="2"/>
  <c r="AI495" i="2"/>
  <c r="AH496" i="2"/>
  <c r="AI496" i="2"/>
  <c r="AH497" i="2"/>
  <c r="AI497" i="2"/>
  <c r="AH498" i="2"/>
  <c r="AI498" i="2"/>
  <c r="AH499" i="2"/>
  <c r="AI499" i="2"/>
  <c r="AH500" i="2"/>
  <c r="AI500" i="2"/>
  <c r="AH501" i="2"/>
  <c r="AI501" i="2"/>
  <c r="AH502" i="2"/>
  <c r="AI502" i="2"/>
  <c r="AH503" i="2"/>
  <c r="AI503" i="2"/>
  <c r="AH506" i="2"/>
  <c r="AI506" i="2"/>
  <c r="AH507" i="2"/>
  <c r="AI507" i="2"/>
  <c r="AI464" i="2"/>
  <c r="AH464" i="2"/>
  <c r="AH430" i="2"/>
  <c r="AI430" i="2"/>
  <c r="AH431" i="2"/>
  <c r="AI431" i="2"/>
  <c r="AH432" i="2"/>
  <c r="AI432" i="2"/>
  <c r="AH433" i="2"/>
  <c r="AI433" i="2"/>
  <c r="AH434" i="2"/>
  <c r="AI434" i="2"/>
  <c r="AH435" i="2"/>
  <c r="AI435" i="2"/>
  <c r="AH436" i="2"/>
  <c r="AI436" i="2"/>
  <c r="AH437" i="2"/>
  <c r="AI437" i="2"/>
  <c r="AH438" i="2"/>
  <c r="AI438" i="2"/>
  <c r="AH439" i="2"/>
  <c r="AI439" i="2"/>
  <c r="AH440" i="2"/>
  <c r="AI440" i="2"/>
  <c r="AH441" i="2"/>
  <c r="AI441" i="2"/>
  <c r="AH442" i="2"/>
  <c r="AI442" i="2"/>
  <c r="AH443" i="2"/>
  <c r="AI443" i="2"/>
  <c r="AH444" i="2"/>
  <c r="AI444" i="2"/>
  <c r="AH445" i="2"/>
  <c r="AI445" i="2"/>
  <c r="AH446" i="2"/>
  <c r="AI446" i="2"/>
  <c r="AH447" i="2"/>
  <c r="AI447" i="2"/>
  <c r="AH448" i="2"/>
  <c r="AI448" i="2"/>
  <c r="AH449" i="2"/>
  <c r="AI449" i="2"/>
  <c r="AH450" i="2"/>
  <c r="AI450" i="2"/>
  <c r="AH451" i="2"/>
  <c r="AI451" i="2"/>
  <c r="AH452" i="2"/>
  <c r="AI452" i="2"/>
  <c r="AH453" i="2"/>
  <c r="AI453" i="2"/>
  <c r="AH454" i="2"/>
  <c r="AI454" i="2"/>
  <c r="AH455" i="2"/>
  <c r="AI455" i="2"/>
  <c r="AH456" i="2"/>
  <c r="AI456" i="2"/>
  <c r="AH457" i="2"/>
  <c r="AI457" i="2"/>
  <c r="AH458" i="2"/>
  <c r="AI458" i="2"/>
  <c r="AH461" i="2"/>
  <c r="AI461" i="2"/>
  <c r="AH462" i="2"/>
  <c r="AI462" i="2"/>
  <c r="AI429" i="2"/>
  <c r="AH429" i="2"/>
  <c r="AH412" i="2"/>
  <c r="AI412" i="2"/>
  <c r="AH413" i="2"/>
  <c r="AI413" i="2"/>
  <c r="AH414" i="2"/>
  <c r="AI414" i="2"/>
  <c r="AH415" i="2"/>
  <c r="AI415" i="2"/>
  <c r="AH416" i="2"/>
  <c r="AI416" i="2"/>
  <c r="AH417" i="2"/>
  <c r="AI417" i="2"/>
  <c r="AH418" i="2"/>
  <c r="AI418" i="2"/>
  <c r="AH419" i="2"/>
  <c r="AI419" i="2"/>
  <c r="AH420" i="2"/>
  <c r="AI420" i="2"/>
  <c r="AH422" i="2"/>
  <c r="AI422" i="2"/>
  <c r="AI411" i="2"/>
  <c r="AH411" i="2"/>
  <c r="AH398" i="2"/>
  <c r="AI398" i="2"/>
  <c r="AH399" i="2"/>
  <c r="AI399" i="2"/>
  <c r="AH400" i="2"/>
  <c r="AI400" i="2"/>
  <c r="AH401" i="2"/>
  <c r="AI401" i="2"/>
  <c r="AH402" i="2"/>
  <c r="AI402" i="2"/>
  <c r="AH403" i="2"/>
  <c r="AI403" i="2"/>
  <c r="AH404" i="2"/>
  <c r="AI404" i="2"/>
  <c r="AH405" i="2"/>
  <c r="AI405" i="2"/>
  <c r="AH406" i="2"/>
  <c r="AI406" i="2"/>
  <c r="AH407" i="2"/>
  <c r="AI407" i="2"/>
  <c r="AH408" i="2"/>
  <c r="AI408" i="2"/>
  <c r="AH409" i="2"/>
  <c r="AI409" i="2"/>
  <c r="AI397" i="2"/>
  <c r="AH397" i="2"/>
  <c r="AH374" i="2"/>
  <c r="AI374" i="2"/>
  <c r="AH375" i="2"/>
  <c r="AI375" i="2"/>
  <c r="AH376" i="2"/>
  <c r="AI376" i="2"/>
  <c r="AH377" i="2"/>
  <c r="AI377" i="2"/>
  <c r="AH378" i="2"/>
  <c r="AI378" i="2"/>
  <c r="AH379" i="2"/>
  <c r="AI379" i="2"/>
  <c r="AH380" i="2"/>
  <c r="AI380" i="2"/>
  <c r="AH381" i="2"/>
  <c r="AI381" i="2"/>
  <c r="AH382" i="2"/>
  <c r="AI382" i="2"/>
  <c r="AH383" i="2"/>
  <c r="AI383" i="2"/>
  <c r="AH384" i="2"/>
  <c r="AI384" i="2"/>
  <c r="AH385" i="2"/>
  <c r="AI385" i="2"/>
  <c r="AH388" i="2"/>
  <c r="AI388" i="2"/>
  <c r="AH389" i="2"/>
  <c r="AI389" i="2"/>
  <c r="AH390" i="2"/>
  <c r="AI390" i="2"/>
  <c r="AH391" i="2"/>
  <c r="AI391" i="2"/>
  <c r="AH392" i="2"/>
  <c r="AI392" i="2"/>
  <c r="AH393" i="2"/>
  <c r="AI393" i="2"/>
  <c r="AH394" i="2"/>
  <c r="AI394" i="2"/>
  <c r="AH395" i="2"/>
  <c r="AI395" i="2"/>
  <c r="AI373" i="2"/>
  <c r="AH373" i="2"/>
  <c r="AH243" i="2"/>
  <c r="AI243" i="2"/>
  <c r="AH244" i="2"/>
  <c r="AI244" i="2"/>
  <c r="AH245" i="2"/>
  <c r="AI245" i="2"/>
  <c r="AH246" i="2"/>
  <c r="AI246" i="2"/>
  <c r="AH247" i="2"/>
  <c r="AI247" i="2"/>
  <c r="AH248" i="2"/>
  <c r="AI248" i="2"/>
  <c r="AH249" i="2"/>
  <c r="AI249" i="2"/>
  <c r="AH250" i="2"/>
  <c r="AI250" i="2"/>
  <c r="AH251" i="2"/>
  <c r="AI251" i="2"/>
  <c r="AH252" i="2"/>
  <c r="AI252" i="2"/>
  <c r="AH253" i="2"/>
  <c r="AI253" i="2"/>
  <c r="AH254" i="2"/>
  <c r="AI254" i="2"/>
  <c r="AH255" i="2"/>
  <c r="AI255" i="2"/>
  <c r="AH256" i="2"/>
  <c r="AI256" i="2"/>
  <c r="AH257" i="2"/>
  <c r="AI257" i="2"/>
  <c r="AH258" i="2"/>
  <c r="AI258" i="2"/>
  <c r="AH259" i="2"/>
  <c r="AI259" i="2"/>
  <c r="AH260" i="2"/>
  <c r="AI260" i="2"/>
  <c r="AH261" i="2"/>
  <c r="AI261" i="2"/>
  <c r="AH262" i="2"/>
  <c r="AI262" i="2"/>
  <c r="AH263" i="2"/>
  <c r="AI263" i="2"/>
  <c r="AH264" i="2"/>
  <c r="AI264" i="2"/>
  <c r="AH265" i="2"/>
  <c r="AI265" i="2"/>
  <c r="AH266" i="2"/>
  <c r="AI266" i="2"/>
  <c r="AH267" i="2"/>
  <c r="AI267" i="2"/>
  <c r="AH268" i="2"/>
  <c r="AI268" i="2"/>
  <c r="AH269" i="2"/>
  <c r="AI269" i="2"/>
  <c r="AH270" i="2"/>
  <c r="AI270" i="2"/>
  <c r="AH271" i="2"/>
  <c r="AI271" i="2"/>
  <c r="AH272" i="2"/>
  <c r="AI272" i="2"/>
  <c r="AH273" i="2"/>
  <c r="AI273" i="2"/>
  <c r="AH274" i="2"/>
  <c r="AI274" i="2"/>
  <c r="AH275" i="2"/>
  <c r="AI275" i="2"/>
  <c r="AH276" i="2"/>
  <c r="AI276" i="2"/>
  <c r="AH277" i="2"/>
  <c r="AI277" i="2"/>
  <c r="AH278" i="2"/>
  <c r="AI278" i="2"/>
  <c r="AH279" i="2"/>
  <c r="AI279" i="2"/>
  <c r="AH280" i="2"/>
  <c r="AI280" i="2"/>
  <c r="AH281" i="2"/>
  <c r="AI281" i="2"/>
  <c r="AH282" i="2"/>
  <c r="AI282" i="2"/>
  <c r="AH283" i="2"/>
  <c r="AI283" i="2"/>
  <c r="AH284" i="2"/>
  <c r="AI284" i="2"/>
  <c r="AH285" i="2"/>
  <c r="AI285" i="2"/>
  <c r="AH286" i="2"/>
  <c r="AI286" i="2"/>
  <c r="AH287" i="2"/>
  <c r="AI287" i="2"/>
  <c r="AH288" i="2"/>
  <c r="AI288" i="2"/>
  <c r="AH289" i="2"/>
  <c r="AI289" i="2"/>
  <c r="AH290" i="2"/>
  <c r="AI290" i="2"/>
  <c r="AH291" i="2"/>
  <c r="AI291" i="2"/>
  <c r="AH292" i="2"/>
  <c r="AI292" i="2"/>
  <c r="AH293" i="2"/>
  <c r="AI293" i="2"/>
  <c r="AH294" i="2"/>
  <c r="AI294" i="2"/>
  <c r="AH295" i="2"/>
  <c r="AI295" i="2"/>
  <c r="AH296" i="2"/>
  <c r="AI296" i="2"/>
  <c r="AH297" i="2"/>
  <c r="AI297" i="2"/>
  <c r="AH298" i="2"/>
  <c r="AI298" i="2"/>
  <c r="AH299" i="2"/>
  <c r="AI299" i="2"/>
  <c r="AH300" i="2"/>
  <c r="AI300" i="2"/>
  <c r="AH301" i="2"/>
  <c r="AI301" i="2"/>
  <c r="AH302" i="2"/>
  <c r="AI302" i="2"/>
  <c r="AH303" i="2"/>
  <c r="AI303" i="2"/>
  <c r="AH304" i="2"/>
  <c r="AI304" i="2"/>
  <c r="AH305" i="2"/>
  <c r="AI305" i="2"/>
  <c r="AH306" i="2"/>
  <c r="AI306" i="2"/>
  <c r="AH307" i="2"/>
  <c r="AI307" i="2"/>
  <c r="AH308" i="2"/>
  <c r="AI308" i="2"/>
  <c r="AH309" i="2"/>
  <c r="AI309" i="2"/>
  <c r="AH310" i="2"/>
  <c r="AI310" i="2"/>
  <c r="AH311" i="2"/>
  <c r="AI311" i="2"/>
  <c r="AH312" i="2"/>
  <c r="AI312" i="2"/>
  <c r="AH313" i="2"/>
  <c r="AI313" i="2"/>
  <c r="AH314" i="2"/>
  <c r="AI314" i="2"/>
  <c r="AH315" i="2"/>
  <c r="AI315" i="2"/>
  <c r="AH316" i="2"/>
  <c r="AI316" i="2"/>
  <c r="AH317" i="2"/>
  <c r="AI317" i="2"/>
  <c r="AH318" i="2"/>
  <c r="AI318" i="2"/>
  <c r="AH319" i="2"/>
  <c r="AI319" i="2"/>
  <c r="AH320" i="2"/>
  <c r="AI320" i="2"/>
  <c r="AH321" i="2"/>
  <c r="AI321" i="2"/>
  <c r="AH322" i="2"/>
  <c r="AI322" i="2"/>
  <c r="AH323" i="2"/>
  <c r="AI323" i="2"/>
  <c r="AH324" i="2"/>
  <c r="AI324" i="2"/>
  <c r="AH325" i="2"/>
  <c r="AI325" i="2"/>
  <c r="AH326" i="2"/>
  <c r="AI326" i="2"/>
  <c r="AH327" i="2"/>
  <c r="AI327" i="2"/>
  <c r="AH328" i="2"/>
  <c r="AI328" i="2"/>
  <c r="AH329" i="2"/>
  <c r="AI329" i="2"/>
  <c r="AH330" i="2"/>
  <c r="AI330" i="2"/>
  <c r="AH331" i="2"/>
  <c r="AI331" i="2"/>
  <c r="AH332" i="2"/>
  <c r="AI332" i="2"/>
  <c r="AH333" i="2"/>
  <c r="AI333" i="2"/>
  <c r="AH334" i="2"/>
  <c r="AI334" i="2"/>
  <c r="AH335" i="2"/>
  <c r="AI335" i="2"/>
  <c r="AH336" i="2"/>
  <c r="AI336" i="2"/>
  <c r="AH337" i="2"/>
  <c r="AI337" i="2"/>
  <c r="AH338" i="2"/>
  <c r="AI338" i="2"/>
  <c r="AH339" i="2"/>
  <c r="AI339" i="2"/>
  <c r="AH340" i="2"/>
  <c r="AI340" i="2"/>
  <c r="AH341" i="2"/>
  <c r="AI341" i="2"/>
  <c r="AH342" i="2"/>
  <c r="AI342" i="2"/>
  <c r="AH343" i="2"/>
  <c r="AI343" i="2"/>
  <c r="AH344" i="2"/>
  <c r="AI344" i="2"/>
  <c r="AH345" i="2"/>
  <c r="AI345" i="2"/>
  <c r="AH346" i="2"/>
  <c r="AI346" i="2"/>
  <c r="AH347" i="2"/>
  <c r="AI347" i="2"/>
  <c r="AH348" i="2"/>
  <c r="AI348" i="2"/>
  <c r="AH349" i="2"/>
  <c r="AI349" i="2"/>
  <c r="AH350" i="2"/>
  <c r="AI350" i="2"/>
  <c r="AH351" i="2"/>
  <c r="AI351" i="2"/>
  <c r="AH352" i="2"/>
  <c r="AI352" i="2"/>
  <c r="AH353" i="2"/>
  <c r="AI353" i="2"/>
  <c r="AH354" i="2"/>
  <c r="AI354" i="2"/>
  <c r="AH355" i="2"/>
  <c r="AI355" i="2"/>
  <c r="AH356" i="2"/>
  <c r="AI356" i="2"/>
  <c r="AH357" i="2"/>
  <c r="AI357" i="2"/>
  <c r="AH358" i="2"/>
  <c r="AI358" i="2"/>
  <c r="AH359" i="2"/>
  <c r="AI359" i="2"/>
  <c r="AH360" i="2"/>
  <c r="AI360" i="2"/>
  <c r="AH361" i="2"/>
  <c r="AI361" i="2"/>
  <c r="AH362" i="2"/>
  <c r="AI362" i="2"/>
  <c r="AH363" i="2"/>
  <c r="AI363" i="2"/>
  <c r="AH364" i="2"/>
  <c r="AI364" i="2"/>
  <c r="AH365" i="2"/>
  <c r="AI365" i="2"/>
  <c r="AH366" i="2"/>
  <c r="AI366" i="2"/>
  <c r="AH367" i="2"/>
  <c r="AI367" i="2"/>
  <c r="AH368" i="2"/>
  <c r="AI368" i="2"/>
  <c r="AH369" i="2"/>
  <c r="AI369" i="2"/>
  <c r="AH370" i="2"/>
  <c r="AI370" i="2"/>
  <c r="AH371" i="2"/>
  <c r="AI371" i="2"/>
  <c r="AI242" i="2"/>
  <c r="AH242" i="2"/>
  <c r="AH230" i="2"/>
  <c r="AI230" i="2"/>
  <c r="AH231" i="2"/>
  <c r="AI231" i="2"/>
  <c r="AH232" i="2"/>
  <c r="AI232" i="2"/>
  <c r="AH233" i="2"/>
  <c r="AI233" i="2"/>
  <c r="AH234" i="2"/>
  <c r="AI234" i="2"/>
  <c r="AH237" i="2"/>
  <c r="AI237" i="2"/>
  <c r="AH238" i="2"/>
  <c r="AI238" i="2"/>
  <c r="AH239" i="2"/>
  <c r="AI239" i="2"/>
  <c r="AI229" i="2"/>
  <c r="AH229" i="2"/>
  <c r="AH211" i="2"/>
  <c r="AI211" i="2"/>
  <c r="AH212" i="2"/>
  <c r="AI212" i="2"/>
  <c r="AH213" i="2"/>
  <c r="AI213" i="2"/>
  <c r="AH214" i="2"/>
  <c r="AI214" i="2"/>
  <c r="AH215" i="2"/>
  <c r="AI215" i="2"/>
  <c r="AH216" i="2"/>
  <c r="AI216" i="2"/>
  <c r="AH217" i="2"/>
  <c r="AI217" i="2"/>
  <c r="AH218" i="2"/>
  <c r="AI218" i="2"/>
  <c r="AH219" i="2"/>
  <c r="AI219" i="2"/>
  <c r="AH220" i="2"/>
  <c r="AI220" i="2"/>
  <c r="AH221" i="2"/>
  <c r="AI221" i="2"/>
  <c r="AH222" i="2"/>
  <c r="AI222" i="2"/>
  <c r="AH223" i="2"/>
  <c r="AI223" i="2"/>
  <c r="AH224" i="2"/>
  <c r="AI224" i="2"/>
  <c r="AH225" i="2"/>
  <c r="AI225" i="2"/>
  <c r="AH227" i="2"/>
  <c r="AI227" i="2"/>
  <c r="AI210" i="2"/>
  <c r="AH210" i="2"/>
  <c r="AH193" i="2"/>
  <c r="AI193" i="2"/>
  <c r="AH194" i="2"/>
  <c r="AI194" i="2"/>
  <c r="AH195" i="2"/>
  <c r="AI195" i="2"/>
  <c r="AH196" i="2"/>
  <c r="AI196" i="2"/>
  <c r="AH197" i="2"/>
  <c r="AI197" i="2"/>
  <c r="AH198" i="2"/>
  <c r="AI198" i="2"/>
  <c r="AH199" i="2"/>
  <c r="AI199" i="2"/>
  <c r="AH200" i="2"/>
  <c r="AI200" i="2"/>
  <c r="AH201" i="2"/>
  <c r="AI201" i="2"/>
  <c r="AH202" i="2"/>
  <c r="AI202" i="2"/>
  <c r="AH203" i="2"/>
  <c r="AI203" i="2"/>
  <c r="AH204" i="2"/>
  <c r="AI204" i="2"/>
  <c r="AH205" i="2"/>
  <c r="AI205" i="2"/>
  <c r="AH206" i="2"/>
  <c r="AI206" i="2"/>
  <c r="AH208" i="2"/>
  <c r="AI208" i="2"/>
  <c r="AI192" i="2"/>
  <c r="AH192" i="2"/>
  <c r="AH163" i="2"/>
  <c r="AI163" i="2"/>
  <c r="AH164" i="2"/>
  <c r="AI164" i="2"/>
  <c r="AH165" i="2"/>
  <c r="AI165" i="2"/>
  <c r="AH182" i="2"/>
  <c r="AI182" i="2"/>
  <c r="AH183" i="2"/>
  <c r="AI183" i="2"/>
  <c r="AH184" i="2"/>
  <c r="AI184" i="2"/>
  <c r="AH185" i="2"/>
  <c r="AI185" i="2"/>
  <c r="AH186" i="2"/>
  <c r="AI186" i="2"/>
  <c r="AH187" i="2"/>
  <c r="AI187" i="2"/>
  <c r="AH189" i="2"/>
  <c r="AI189" i="2"/>
  <c r="AH190" i="2"/>
  <c r="AI190" i="2"/>
  <c r="AI162" i="2"/>
  <c r="AH162" i="2"/>
  <c r="AH140" i="2"/>
  <c r="AI140" i="2"/>
  <c r="AH141" i="2"/>
  <c r="AI141" i="2"/>
  <c r="AH142" i="2"/>
  <c r="AI142" i="2"/>
  <c r="AH143" i="2"/>
  <c r="AI143" i="2"/>
  <c r="AH144" i="2"/>
  <c r="AI144" i="2"/>
  <c r="AH145" i="2"/>
  <c r="AI145" i="2"/>
  <c r="AH146" i="2"/>
  <c r="AI146" i="2"/>
  <c r="AH147" i="2"/>
  <c r="AI147" i="2"/>
  <c r="AH148" i="2"/>
  <c r="AI148" i="2"/>
  <c r="AH149" i="2"/>
  <c r="AI149" i="2"/>
  <c r="AH150" i="2"/>
  <c r="AI150" i="2"/>
  <c r="AH151" i="2"/>
  <c r="AI151" i="2"/>
  <c r="AH152" i="2"/>
  <c r="AI152" i="2"/>
  <c r="AH153" i="2"/>
  <c r="AI153" i="2"/>
  <c r="AH154" i="2"/>
  <c r="AI154" i="2"/>
  <c r="AH155" i="2"/>
  <c r="AI155" i="2"/>
  <c r="AI139" i="2"/>
  <c r="AH139" i="2"/>
  <c r="AH125" i="2"/>
  <c r="AI125" i="2"/>
  <c r="AH126" i="2"/>
  <c r="AI126" i="2"/>
  <c r="AH127" i="2"/>
  <c r="AI127" i="2"/>
  <c r="AH128" i="2"/>
  <c r="AI128" i="2"/>
  <c r="AH129" i="2"/>
  <c r="AI129" i="2"/>
  <c r="AH130" i="2"/>
  <c r="AI130" i="2"/>
  <c r="AH131" i="2"/>
  <c r="AI131" i="2"/>
  <c r="AH132" i="2"/>
  <c r="AI132" i="2"/>
  <c r="AH133" i="2"/>
  <c r="AI133" i="2"/>
  <c r="AH137" i="2"/>
  <c r="AI137" i="2"/>
  <c r="AI124" i="2"/>
  <c r="AH124" i="2"/>
  <c r="AH115" i="2"/>
  <c r="AI115" i="2"/>
  <c r="AH116" i="2"/>
  <c r="AI116" i="2"/>
  <c r="AH117" i="2"/>
  <c r="AI117" i="2"/>
  <c r="AH118" i="2"/>
  <c r="AI118" i="2"/>
  <c r="AH119" i="2"/>
  <c r="AI119" i="2"/>
  <c r="AH120" i="2"/>
  <c r="AI120" i="2"/>
  <c r="AH122" i="2"/>
  <c r="AI122" i="2"/>
  <c r="AI114" i="2"/>
  <c r="AH114" i="2"/>
  <c r="AH91" i="2"/>
  <c r="AI91" i="2"/>
  <c r="AH92" i="2"/>
  <c r="AI92" i="2"/>
  <c r="AH93" i="2"/>
  <c r="AI93" i="2"/>
  <c r="AH94" i="2"/>
  <c r="AI94" i="2"/>
  <c r="AH95" i="2"/>
  <c r="AI95" i="2"/>
  <c r="AH96" i="2"/>
  <c r="AI96" i="2"/>
  <c r="AH97" i="2"/>
  <c r="AI97" i="2"/>
  <c r="AH98" i="2"/>
  <c r="AI98" i="2"/>
  <c r="AH99" i="2"/>
  <c r="AI99" i="2"/>
  <c r="AH100" i="2"/>
  <c r="AI100" i="2"/>
  <c r="AH101" i="2"/>
  <c r="AI101" i="2"/>
  <c r="AH102" i="2"/>
  <c r="AI102" i="2"/>
  <c r="AH103" i="2"/>
  <c r="AI103" i="2"/>
  <c r="AH104" i="2"/>
  <c r="AI104" i="2"/>
  <c r="AH105" i="2"/>
  <c r="AI105" i="2"/>
  <c r="AH106" i="2"/>
  <c r="AI106" i="2"/>
  <c r="AH107" i="2"/>
  <c r="AI107" i="2"/>
  <c r="AH108" i="2"/>
  <c r="AI108" i="2"/>
  <c r="AH112" i="2"/>
  <c r="AI112" i="2"/>
  <c r="AI90" i="2"/>
  <c r="AH90" i="2"/>
  <c r="AH82" i="2"/>
  <c r="AI82" i="2"/>
  <c r="AH83" i="2"/>
  <c r="AI83" i="2"/>
  <c r="AH84" i="2"/>
  <c r="AI84" i="2"/>
  <c r="AH85" i="2"/>
  <c r="AI85" i="2"/>
  <c r="AH86" i="2"/>
  <c r="AI86" i="2"/>
  <c r="AH87" i="2"/>
  <c r="AI87" i="2"/>
  <c r="AI81" i="2"/>
  <c r="AH81" i="2"/>
  <c r="AH66" i="2"/>
  <c r="AI66" i="2"/>
  <c r="AH67" i="2"/>
  <c r="AI67" i="2"/>
  <c r="AH68" i="2"/>
  <c r="AI68" i="2"/>
  <c r="AH69" i="2"/>
  <c r="AI69" i="2"/>
  <c r="AH70" i="2"/>
  <c r="AI70" i="2"/>
  <c r="AH71" i="2"/>
  <c r="AI71" i="2"/>
  <c r="AH72" i="2"/>
  <c r="AI72" i="2"/>
  <c r="AH73" i="2"/>
  <c r="AI73" i="2"/>
  <c r="AH77" i="2"/>
  <c r="AI77" i="2"/>
  <c r="AH78" i="2"/>
  <c r="AI78" i="2"/>
  <c r="AH79" i="2"/>
  <c r="AI79" i="2"/>
  <c r="AI65" i="2"/>
  <c r="AH65" i="2"/>
  <c r="AH62" i="2"/>
  <c r="AI62" i="2"/>
  <c r="AH63" i="2"/>
  <c r="AI63" i="2"/>
  <c r="AI61" i="2"/>
  <c r="AH61" i="2"/>
  <c r="AH57" i="2"/>
  <c r="AI57" i="2"/>
  <c r="AH58" i="2"/>
  <c r="AI58" i="2"/>
  <c r="AH59" i="2"/>
  <c r="AI59" i="2"/>
  <c r="AI56" i="2"/>
  <c r="AH56" i="2"/>
  <c r="AI17" i="2"/>
  <c r="AH17" i="2"/>
  <c r="AH13" i="2"/>
  <c r="AI13" i="2"/>
  <c r="AH14" i="2"/>
  <c r="AI14" i="2"/>
  <c r="AH15" i="2"/>
  <c r="AI15" i="2"/>
  <c r="AI9" i="2"/>
  <c r="AH9" i="2"/>
  <c r="AH518" i="2" l="1"/>
  <c r="AH517" i="2"/>
  <c r="AI517" i="2"/>
  <c r="AI518" i="2"/>
  <c r="Z205" i="2"/>
  <c r="Z224" i="2"/>
  <c r="J224" i="2"/>
  <c r="Z499" i="2"/>
  <c r="J499" i="2"/>
  <c r="Z498" i="2"/>
  <c r="Z497" i="2"/>
  <c r="I497" i="2"/>
  <c r="H497" i="2"/>
  <c r="Z496" i="2"/>
  <c r="H496" i="2"/>
  <c r="Z495" i="2"/>
  <c r="H495" i="2"/>
  <c r="Z494" i="2"/>
  <c r="I494" i="2"/>
  <c r="Z493" i="2"/>
  <c r="I493" i="2"/>
  <c r="H493" i="2"/>
  <c r="Z492" i="2"/>
  <c r="H492" i="2"/>
  <c r="Z491" i="2"/>
  <c r="Z458" i="2"/>
  <c r="Z368" i="2"/>
  <c r="J368" i="2"/>
  <c r="Z367" i="2"/>
  <c r="I367" i="2"/>
  <c r="Z366" i="2"/>
  <c r="I366" i="2"/>
  <c r="H366" i="2"/>
  <c r="Z365" i="2"/>
  <c r="H365" i="2"/>
  <c r="Z364" i="2"/>
  <c r="J364" i="2"/>
  <c r="Z363" i="2"/>
  <c r="I363" i="2"/>
  <c r="Z223" i="2"/>
  <c r="I223" i="2"/>
  <c r="Z107" i="2"/>
  <c r="I108" i="2"/>
  <c r="Z108" i="2"/>
  <c r="Z85" i="2"/>
  <c r="H85" i="2"/>
  <c r="Z47" i="2"/>
  <c r="Z41" i="2"/>
  <c r="I41" i="2"/>
  <c r="Z40" i="2"/>
  <c r="I40" i="2"/>
  <c r="H40" i="2"/>
  <c r="H48" i="2"/>
  <c r="I48" i="2"/>
  <c r="Z48" i="2"/>
  <c r="H49" i="2"/>
  <c r="I49" i="2"/>
  <c r="Z49" i="2"/>
  <c r="I50" i="2"/>
  <c r="Z50" i="2"/>
  <c r="Z501" i="2"/>
  <c r="Z500" i="2"/>
  <c r="I500" i="2"/>
  <c r="Z490" i="2"/>
  <c r="I490" i="2"/>
  <c r="H490" i="2"/>
  <c r="Z489" i="2"/>
  <c r="H489" i="2"/>
  <c r="Z488" i="2"/>
  <c r="H488" i="2"/>
  <c r="Z487" i="2"/>
  <c r="I487" i="2"/>
  <c r="Z506" i="2"/>
  <c r="H506" i="2"/>
  <c r="Z503" i="2"/>
  <c r="Z502" i="2"/>
  <c r="I502" i="2"/>
  <c r="H502" i="2"/>
  <c r="AI519" i="2" l="1"/>
  <c r="N15" i="2" s="1"/>
  <c r="AH519" i="2"/>
  <c r="N14" i="2" s="1"/>
  <c r="J205" i="2"/>
  <c r="J223" i="2"/>
  <c r="G503" i="2"/>
  <c r="AJ503" i="2" s="1"/>
  <c r="G498" i="2"/>
  <c r="AJ498" i="2" s="1"/>
  <c r="G506" i="2"/>
  <c r="AJ506" i="2" s="1"/>
  <c r="H223" i="2"/>
  <c r="J458" i="2"/>
  <c r="G495" i="2"/>
  <c r="AJ495" i="2" s="1"/>
  <c r="G496" i="2"/>
  <c r="AJ496" i="2" s="1"/>
  <c r="I503" i="2"/>
  <c r="G85" i="2"/>
  <c r="AJ85" i="2" s="1"/>
  <c r="G205" i="2"/>
  <c r="AJ205" i="2" s="1"/>
  <c r="I506" i="2"/>
  <c r="H224" i="2"/>
  <c r="H205" i="2"/>
  <c r="G224" i="2"/>
  <c r="AJ224" i="2" s="1"/>
  <c r="J503" i="2"/>
  <c r="J501" i="2"/>
  <c r="J107" i="2"/>
  <c r="J491" i="2"/>
  <c r="I205" i="2"/>
  <c r="I224" i="2"/>
  <c r="J41" i="2"/>
  <c r="G487" i="2"/>
  <c r="AJ487" i="2" s="1"/>
  <c r="G491" i="2"/>
  <c r="AJ491" i="2" s="1"/>
  <c r="G492" i="2"/>
  <c r="AJ492" i="2" s="1"/>
  <c r="G494" i="2"/>
  <c r="AJ494" i="2" s="1"/>
  <c r="I496" i="2"/>
  <c r="G499" i="2"/>
  <c r="AJ499" i="2" s="1"/>
  <c r="J506" i="2"/>
  <c r="J500" i="2"/>
  <c r="G501" i="2"/>
  <c r="AJ501" i="2" s="1"/>
  <c r="J85" i="2"/>
  <c r="G107" i="2"/>
  <c r="AJ107" i="2" s="1"/>
  <c r="G368" i="2"/>
  <c r="AJ368" i="2" s="1"/>
  <c r="H458" i="2"/>
  <c r="H491" i="2"/>
  <c r="I492" i="2"/>
  <c r="I498" i="2"/>
  <c r="H499" i="2"/>
  <c r="G488" i="2"/>
  <c r="AJ488" i="2" s="1"/>
  <c r="G458" i="2"/>
  <c r="AJ458" i="2" s="1"/>
  <c r="H503" i="2"/>
  <c r="J487" i="2"/>
  <c r="H107" i="2"/>
  <c r="G223" i="2"/>
  <c r="AJ223" i="2" s="1"/>
  <c r="J494" i="2"/>
  <c r="J495" i="2"/>
  <c r="J498" i="2"/>
  <c r="J493" i="2"/>
  <c r="J497" i="2"/>
  <c r="G489" i="2"/>
  <c r="AJ489" i="2" s="1"/>
  <c r="I491" i="2"/>
  <c r="J492" i="2"/>
  <c r="G493" i="2"/>
  <c r="AJ493" i="2" s="1"/>
  <c r="H494" i="2"/>
  <c r="I495" i="2"/>
  <c r="J496" i="2"/>
  <c r="G497" i="2"/>
  <c r="AJ497" i="2" s="1"/>
  <c r="H498" i="2"/>
  <c r="I499" i="2"/>
  <c r="I488" i="2"/>
  <c r="I489" i="2"/>
  <c r="G500" i="2"/>
  <c r="AJ500" i="2" s="1"/>
  <c r="J488" i="2"/>
  <c r="H501" i="2"/>
  <c r="J367" i="2"/>
  <c r="G47" i="2"/>
  <c r="AJ47" i="2" s="1"/>
  <c r="G363" i="2"/>
  <c r="AJ363" i="2" s="1"/>
  <c r="G364" i="2"/>
  <c r="AJ364" i="2" s="1"/>
  <c r="G365" i="2"/>
  <c r="AJ365" i="2" s="1"/>
  <c r="I458" i="2"/>
  <c r="H364" i="2"/>
  <c r="I365" i="2"/>
  <c r="G367" i="2"/>
  <c r="AJ367" i="2" s="1"/>
  <c r="J363" i="2"/>
  <c r="H368" i="2"/>
  <c r="H363" i="2"/>
  <c r="I364" i="2"/>
  <c r="J365" i="2"/>
  <c r="G366" i="2"/>
  <c r="AJ366" i="2" s="1"/>
  <c r="H367" i="2"/>
  <c r="I368" i="2"/>
  <c r="J366" i="2"/>
  <c r="J50" i="2"/>
  <c r="J108" i="2"/>
  <c r="G48" i="2"/>
  <c r="AJ48" i="2" s="1"/>
  <c r="H108" i="2"/>
  <c r="I107" i="2"/>
  <c r="G108" i="2"/>
  <c r="AJ108" i="2" s="1"/>
  <c r="J48" i="2"/>
  <c r="J47" i="2"/>
  <c r="I85" i="2"/>
  <c r="J49" i="2"/>
  <c r="G41" i="2"/>
  <c r="AJ41" i="2" s="1"/>
  <c r="H47" i="2"/>
  <c r="J40" i="2"/>
  <c r="H50" i="2"/>
  <c r="G49" i="2"/>
  <c r="AJ49" i="2" s="1"/>
  <c r="G40" i="2"/>
  <c r="AJ40" i="2" s="1"/>
  <c r="H41" i="2"/>
  <c r="I47" i="2"/>
  <c r="G50" i="2"/>
  <c r="AJ50" i="2" s="1"/>
  <c r="J489" i="2"/>
  <c r="G490" i="2"/>
  <c r="AJ490" i="2" s="1"/>
  <c r="H500" i="2"/>
  <c r="I501" i="2"/>
  <c r="J490" i="2"/>
  <c r="H487" i="2"/>
  <c r="J502" i="2"/>
  <c r="G502" i="2"/>
  <c r="AJ502" i="2" s="1"/>
  <c r="H17" i="2" l="1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52" i="2"/>
  <c r="H56" i="2"/>
  <c r="H57" i="2"/>
  <c r="H58" i="2"/>
  <c r="H59" i="2"/>
  <c r="H61" i="2"/>
  <c r="H62" i="2"/>
  <c r="H63" i="2"/>
  <c r="H65" i="2"/>
  <c r="G14" i="2"/>
  <c r="AJ14" i="2" s="1"/>
  <c r="H13" i="2"/>
  <c r="H14" i="2"/>
  <c r="H15" i="2"/>
  <c r="H9" i="2"/>
  <c r="G507" i="2" l="1"/>
  <c r="AJ507" i="2" s="1"/>
  <c r="G486" i="2"/>
  <c r="AJ486" i="2" s="1"/>
  <c r="G484" i="2"/>
  <c r="AJ484" i="2" s="1"/>
  <c r="G482" i="2"/>
  <c r="AJ482" i="2" s="1"/>
  <c r="G480" i="2"/>
  <c r="AJ480" i="2" s="1"/>
  <c r="G478" i="2"/>
  <c r="AJ478" i="2" s="1"/>
  <c r="G476" i="2"/>
  <c r="AJ476" i="2" s="1"/>
  <c r="G474" i="2"/>
  <c r="AJ474" i="2" s="1"/>
  <c r="G472" i="2"/>
  <c r="AJ472" i="2" s="1"/>
  <c r="G470" i="2"/>
  <c r="AJ470" i="2" s="1"/>
  <c r="G468" i="2"/>
  <c r="AJ468" i="2" s="1"/>
  <c r="G466" i="2"/>
  <c r="AJ466" i="2" s="1"/>
  <c r="G464" i="2"/>
  <c r="AJ464" i="2" s="1"/>
  <c r="G461" i="2"/>
  <c r="AJ461" i="2" s="1"/>
  <c r="G456" i="2"/>
  <c r="AJ456" i="2" s="1"/>
  <c r="G454" i="2"/>
  <c r="AJ454" i="2" s="1"/>
  <c r="G452" i="2"/>
  <c r="AJ452" i="2" s="1"/>
  <c r="G450" i="2"/>
  <c r="AJ450" i="2" s="1"/>
  <c r="G448" i="2"/>
  <c r="AJ448" i="2" s="1"/>
  <c r="G446" i="2"/>
  <c r="AJ446" i="2" s="1"/>
  <c r="G444" i="2"/>
  <c r="AJ444" i="2" s="1"/>
  <c r="G442" i="2"/>
  <c r="AJ442" i="2" s="1"/>
  <c r="G440" i="2"/>
  <c r="AJ440" i="2" s="1"/>
  <c r="G438" i="2"/>
  <c r="AJ438" i="2" s="1"/>
  <c r="G436" i="2"/>
  <c r="AJ436" i="2" s="1"/>
  <c r="G434" i="2"/>
  <c r="AJ434" i="2" s="1"/>
  <c r="G432" i="2"/>
  <c r="AJ432" i="2" s="1"/>
  <c r="G430" i="2"/>
  <c r="AJ430" i="2" s="1"/>
  <c r="G422" i="2"/>
  <c r="AJ422" i="2" s="1"/>
  <c r="G419" i="2"/>
  <c r="AJ419" i="2" s="1"/>
  <c r="G417" i="2"/>
  <c r="AJ417" i="2" s="1"/>
  <c r="G415" i="2"/>
  <c r="AJ415" i="2" s="1"/>
  <c r="G413" i="2"/>
  <c r="AJ413" i="2" s="1"/>
  <c r="G411" i="2"/>
  <c r="AJ411" i="2" s="1"/>
  <c r="G408" i="2"/>
  <c r="AJ408" i="2" s="1"/>
  <c r="G406" i="2"/>
  <c r="AJ406" i="2" s="1"/>
  <c r="G404" i="2"/>
  <c r="AJ404" i="2" s="1"/>
  <c r="G402" i="2"/>
  <c r="AJ402" i="2" s="1"/>
  <c r="G400" i="2"/>
  <c r="AJ400" i="2" s="1"/>
  <c r="G398" i="2"/>
  <c r="AJ398" i="2" s="1"/>
  <c r="G395" i="2"/>
  <c r="AJ395" i="2" s="1"/>
  <c r="G393" i="2"/>
  <c r="AJ393" i="2" s="1"/>
  <c r="G391" i="2"/>
  <c r="AJ391" i="2" s="1"/>
  <c r="G389" i="2"/>
  <c r="AJ389" i="2" s="1"/>
  <c r="G385" i="2"/>
  <c r="AJ385" i="2" s="1"/>
  <c r="G383" i="2"/>
  <c r="AJ383" i="2" s="1"/>
  <c r="G381" i="2"/>
  <c r="AJ381" i="2" s="1"/>
  <c r="G379" i="2"/>
  <c r="AJ379" i="2" s="1"/>
  <c r="G377" i="2"/>
  <c r="AJ377" i="2" s="1"/>
  <c r="G375" i="2"/>
  <c r="AJ375" i="2" s="1"/>
  <c r="G373" i="2"/>
  <c r="AJ373" i="2" s="1"/>
  <c r="G370" i="2"/>
  <c r="AJ370" i="2" s="1"/>
  <c r="G362" i="2"/>
  <c r="AJ362" i="2" s="1"/>
  <c r="G360" i="2"/>
  <c r="AJ360" i="2" s="1"/>
  <c r="G358" i="2"/>
  <c r="AJ358" i="2" s="1"/>
  <c r="G356" i="2"/>
  <c r="AJ356" i="2" s="1"/>
  <c r="G354" i="2"/>
  <c r="AJ354" i="2" s="1"/>
  <c r="G352" i="2"/>
  <c r="AJ352" i="2" s="1"/>
  <c r="G350" i="2"/>
  <c r="AJ350" i="2" s="1"/>
  <c r="G348" i="2"/>
  <c r="AJ348" i="2" s="1"/>
  <c r="G346" i="2"/>
  <c r="AJ346" i="2" s="1"/>
  <c r="G344" i="2"/>
  <c r="AJ344" i="2" s="1"/>
  <c r="G342" i="2"/>
  <c r="AJ342" i="2" s="1"/>
  <c r="G340" i="2"/>
  <c r="AJ340" i="2" s="1"/>
  <c r="G338" i="2"/>
  <c r="AJ338" i="2" s="1"/>
  <c r="G336" i="2"/>
  <c r="AJ336" i="2" s="1"/>
  <c r="G334" i="2"/>
  <c r="AJ334" i="2" s="1"/>
  <c r="G332" i="2"/>
  <c r="AJ332" i="2" s="1"/>
  <c r="G330" i="2"/>
  <c r="AJ330" i="2" s="1"/>
  <c r="G328" i="2"/>
  <c r="AJ328" i="2" s="1"/>
  <c r="G326" i="2"/>
  <c r="AJ326" i="2" s="1"/>
  <c r="G324" i="2"/>
  <c r="AJ324" i="2" s="1"/>
  <c r="G322" i="2"/>
  <c r="AJ322" i="2" s="1"/>
  <c r="G320" i="2"/>
  <c r="AJ320" i="2" s="1"/>
  <c r="G318" i="2"/>
  <c r="AJ318" i="2" s="1"/>
  <c r="G316" i="2"/>
  <c r="AJ316" i="2" s="1"/>
  <c r="G314" i="2"/>
  <c r="AJ314" i="2" s="1"/>
  <c r="G312" i="2"/>
  <c r="AJ312" i="2" s="1"/>
  <c r="G310" i="2"/>
  <c r="AJ310" i="2" s="1"/>
  <c r="G308" i="2"/>
  <c r="AJ308" i="2" s="1"/>
  <c r="G306" i="2"/>
  <c r="AJ306" i="2" s="1"/>
  <c r="G304" i="2"/>
  <c r="AJ304" i="2" s="1"/>
  <c r="G302" i="2"/>
  <c r="AJ302" i="2" s="1"/>
  <c r="G300" i="2"/>
  <c r="AJ300" i="2" s="1"/>
  <c r="G298" i="2"/>
  <c r="AJ298" i="2" s="1"/>
  <c r="G296" i="2"/>
  <c r="AJ296" i="2" s="1"/>
  <c r="G294" i="2"/>
  <c r="AJ294" i="2" s="1"/>
  <c r="G292" i="2"/>
  <c r="AJ292" i="2" s="1"/>
  <c r="G290" i="2"/>
  <c r="AJ290" i="2" s="1"/>
  <c r="G288" i="2"/>
  <c r="AJ288" i="2" s="1"/>
  <c r="G286" i="2"/>
  <c r="AJ286" i="2" s="1"/>
  <c r="G284" i="2"/>
  <c r="AJ284" i="2" s="1"/>
  <c r="G282" i="2"/>
  <c r="AJ282" i="2" s="1"/>
  <c r="G280" i="2"/>
  <c r="AJ280" i="2" s="1"/>
  <c r="G278" i="2"/>
  <c r="AJ278" i="2" s="1"/>
  <c r="G276" i="2"/>
  <c r="AJ276" i="2" s="1"/>
  <c r="G274" i="2"/>
  <c r="AJ274" i="2" s="1"/>
  <c r="G272" i="2"/>
  <c r="AJ272" i="2" s="1"/>
  <c r="G270" i="2"/>
  <c r="AJ270" i="2" s="1"/>
  <c r="G268" i="2"/>
  <c r="AJ268" i="2" s="1"/>
  <c r="G266" i="2"/>
  <c r="AJ266" i="2" s="1"/>
  <c r="G264" i="2"/>
  <c r="AJ264" i="2" s="1"/>
  <c r="G262" i="2"/>
  <c r="AJ262" i="2" s="1"/>
  <c r="G260" i="2"/>
  <c r="AJ260" i="2" s="1"/>
  <c r="G258" i="2"/>
  <c r="AJ258" i="2" s="1"/>
  <c r="G256" i="2"/>
  <c r="AJ256" i="2" s="1"/>
  <c r="G254" i="2"/>
  <c r="AJ254" i="2" s="1"/>
  <c r="G252" i="2"/>
  <c r="AJ252" i="2" s="1"/>
  <c r="G250" i="2"/>
  <c r="AJ250" i="2" s="1"/>
  <c r="G248" i="2"/>
  <c r="AJ248" i="2" s="1"/>
  <c r="G246" i="2"/>
  <c r="AJ246" i="2" s="1"/>
  <c r="G244" i="2"/>
  <c r="AJ244" i="2" s="1"/>
  <c r="G242" i="2"/>
  <c r="AJ242" i="2" s="1"/>
  <c r="G238" i="2"/>
  <c r="AJ238" i="2" s="1"/>
  <c r="G234" i="2"/>
  <c r="AJ234" i="2" s="1"/>
  <c r="G232" i="2"/>
  <c r="AJ232" i="2" s="1"/>
  <c r="G230" i="2"/>
  <c r="AJ230" i="2" s="1"/>
  <c r="G227" i="2"/>
  <c r="AJ227" i="2" s="1"/>
  <c r="G222" i="2"/>
  <c r="AJ222" i="2" s="1"/>
  <c r="G220" i="2"/>
  <c r="AJ220" i="2" s="1"/>
  <c r="G218" i="2"/>
  <c r="AJ218" i="2" s="1"/>
  <c r="G216" i="2"/>
  <c r="AJ216" i="2" s="1"/>
  <c r="G214" i="2"/>
  <c r="AJ214" i="2" s="1"/>
  <c r="G212" i="2"/>
  <c r="AJ212" i="2" s="1"/>
  <c r="G210" i="2"/>
  <c r="AJ210" i="2" s="1"/>
  <c r="G206" i="2"/>
  <c r="AJ206" i="2" s="1"/>
  <c r="G203" i="2"/>
  <c r="AJ203" i="2" s="1"/>
  <c r="G201" i="2"/>
  <c r="AJ201" i="2" s="1"/>
  <c r="G199" i="2"/>
  <c r="AJ199" i="2" s="1"/>
  <c r="G197" i="2"/>
  <c r="AJ197" i="2" s="1"/>
  <c r="G195" i="2"/>
  <c r="AJ195" i="2" s="1"/>
  <c r="G193" i="2"/>
  <c r="AJ193" i="2" s="1"/>
  <c r="G190" i="2"/>
  <c r="AJ190" i="2" s="1"/>
  <c r="G187" i="2"/>
  <c r="AJ187" i="2" s="1"/>
  <c r="G185" i="2"/>
  <c r="AJ185" i="2" s="1"/>
  <c r="G183" i="2"/>
  <c r="AJ183" i="2" s="1"/>
  <c r="G165" i="2"/>
  <c r="AJ165" i="2" s="1"/>
  <c r="G163" i="2"/>
  <c r="AJ163" i="2" s="1"/>
  <c r="G155" i="2"/>
  <c r="AJ155" i="2" s="1"/>
  <c r="G153" i="2"/>
  <c r="AJ153" i="2" s="1"/>
  <c r="G151" i="2"/>
  <c r="AJ151" i="2" s="1"/>
  <c r="G149" i="2"/>
  <c r="AJ149" i="2" s="1"/>
  <c r="G147" i="2"/>
  <c r="AJ147" i="2" s="1"/>
  <c r="G145" i="2"/>
  <c r="AJ145" i="2" s="1"/>
  <c r="G143" i="2"/>
  <c r="AJ143" i="2" s="1"/>
  <c r="G141" i="2"/>
  <c r="AJ141" i="2" s="1"/>
  <c r="G139" i="2"/>
  <c r="AJ139" i="2" s="1"/>
  <c r="G133" i="2"/>
  <c r="AJ133" i="2" s="1"/>
  <c r="G131" i="2"/>
  <c r="AJ131" i="2" s="1"/>
  <c r="G129" i="2"/>
  <c r="AJ129" i="2" s="1"/>
  <c r="G127" i="2"/>
  <c r="AJ127" i="2" s="1"/>
  <c r="G125" i="2"/>
  <c r="AJ125" i="2" s="1"/>
  <c r="G122" i="2"/>
  <c r="AJ122" i="2" s="1"/>
  <c r="G119" i="2"/>
  <c r="AJ119" i="2" s="1"/>
  <c r="G117" i="2"/>
  <c r="AJ117" i="2" s="1"/>
  <c r="G115" i="2"/>
  <c r="AJ115" i="2" s="1"/>
  <c r="G112" i="2"/>
  <c r="AJ112" i="2" s="1"/>
  <c r="G106" i="2"/>
  <c r="AJ106" i="2" s="1"/>
  <c r="G104" i="2"/>
  <c r="AJ104" i="2" s="1"/>
  <c r="G102" i="2"/>
  <c r="AJ102" i="2" s="1"/>
  <c r="G100" i="2"/>
  <c r="AJ100" i="2" s="1"/>
  <c r="G98" i="2"/>
  <c r="AJ98" i="2" s="1"/>
  <c r="G96" i="2"/>
  <c r="AJ96" i="2" s="1"/>
  <c r="G94" i="2"/>
  <c r="AJ94" i="2" s="1"/>
  <c r="G92" i="2"/>
  <c r="AJ92" i="2" s="1"/>
  <c r="G90" i="2"/>
  <c r="AJ90" i="2" s="1"/>
  <c r="G86" i="2"/>
  <c r="AJ86" i="2" s="1"/>
  <c r="G83" i="2"/>
  <c r="AJ83" i="2" s="1"/>
  <c r="G81" i="2"/>
  <c r="AJ81" i="2" s="1"/>
  <c r="G78" i="2"/>
  <c r="AJ78" i="2" s="1"/>
  <c r="G73" i="2"/>
  <c r="AJ73" i="2" s="1"/>
  <c r="G71" i="2"/>
  <c r="AJ71" i="2" s="1"/>
  <c r="G67" i="2"/>
  <c r="AJ67" i="2" s="1"/>
  <c r="G62" i="2"/>
  <c r="AJ62" i="2" s="1"/>
  <c r="G59" i="2"/>
  <c r="AJ59" i="2" s="1"/>
  <c r="G57" i="2"/>
  <c r="AJ57" i="2" s="1"/>
  <c r="G52" i="2"/>
  <c r="AJ52" i="2" s="1"/>
  <c r="G39" i="2"/>
  <c r="AJ39" i="2" s="1"/>
  <c r="G37" i="2"/>
  <c r="AJ37" i="2" s="1"/>
  <c r="G35" i="2"/>
  <c r="AJ35" i="2" s="1"/>
  <c r="G33" i="2"/>
  <c r="AJ33" i="2" s="1"/>
  <c r="G31" i="2"/>
  <c r="AJ31" i="2" s="1"/>
  <c r="G29" i="2"/>
  <c r="AJ29" i="2" s="1"/>
  <c r="G27" i="2"/>
  <c r="AJ27" i="2" s="1"/>
  <c r="G25" i="2"/>
  <c r="AJ25" i="2" s="1"/>
  <c r="G23" i="2"/>
  <c r="AJ23" i="2" s="1"/>
  <c r="G21" i="2"/>
  <c r="AJ21" i="2" s="1"/>
  <c r="G19" i="2"/>
  <c r="AJ19" i="2" s="1"/>
  <c r="G17" i="2"/>
  <c r="AJ17" i="2" s="1"/>
  <c r="G485" i="2"/>
  <c r="AJ485" i="2" s="1"/>
  <c r="G483" i="2"/>
  <c r="AJ483" i="2" s="1"/>
  <c r="G481" i="2"/>
  <c r="AJ481" i="2" s="1"/>
  <c r="G479" i="2"/>
  <c r="AJ479" i="2" s="1"/>
  <c r="G477" i="2"/>
  <c r="AJ477" i="2" s="1"/>
  <c r="G475" i="2"/>
  <c r="AJ475" i="2" s="1"/>
  <c r="G473" i="2"/>
  <c r="AJ473" i="2" s="1"/>
  <c r="G471" i="2"/>
  <c r="AJ471" i="2" s="1"/>
  <c r="G469" i="2"/>
  <c r="AJ469" i="2" s="1"/>
  <c r="G467" i="2"/>
  <c r="AJ467" i="2" s="1"/>
  <c r="G465" i="2"/>
  <c r="AJ465" i="2" s="1"/>
  <c r="G462" i="2"/>
  <c r="AJ462" i="2" s="1"/>
  <c r="G457" i="2"/>
  <c r="AJ457" i="2" s="1"/>
  <c r="G455" i="2"/>
  <c r="AJ455" i="2" s="1"/>
  <c r="G453" i="2"/>
  <c r="AJ453" i="2" s="1"/>
  <c r="G451" i="2"/>
  <c r="AJ451" i="2" s="1"/>
  <c r="G449" i="2"/>
  <c r="AJ449" i="2" s="1"/>
  <c r="G447" i="2"/>
  <c r="AJ447" i="2" s="1"/>
  <c r="G445" i="2"/>
  <c r="AJ445" i="2" s="1"/>
  <c r="G443" i="2"/>
  <c r="AJ443" i="2" s="1"/>
  <c r="G441" i="2"/>
  <c r="AJ441" i="2" s="1"/>
  <c r="G439" i="2"/>
  <c r="AJ439" i="2" s="1"/>
  <c r="G437" i="2"/>
  <c r="AJ437" i="2" s="1"/>
  <c r="G435" i="2"/>
  <c r="AJ435" i="2" s="1"/>
  <c r="G433" i="2"/>
  <c r="AJ433" i="2" s="1"/>
  <c r="G431" i="2"/>
  <c r="AJ431" i="2" s="1"/>
  <c r="G429" i="2"/>
  <c r="AJ429" i="2" s="1"/>
  <c r="G420" i="2"/>
  <c r="AJ420" i="2" s="1"/>
  <c r="G418" i="2"/>
  <c r="AJ418" i="2" s="1"/>
  <c r="G416" i="2"/>
  <c r="AJ416" i="2" s="1"/>
  <c r="G414" i="2"/>
  <c r="AJ414" i="2" s="1"/>
  <c r="G412" i="2"/>
  <c r="AJ412" i="2" s="1"/>
  <c r="G409" i="2"/>
  <c r="AJ409" i="2" s="1"/>
  <c r="G407" i="2"/>
  <c r="AJ407" i="2" s="1"/>
  <c r="G405" i="2"/>
  <c r="AJ405" i="2" s="1"/>
  <c r="G403" i="2"/>
  <c r="AJ403" i="2" s="1"/>
  <c r="G401" i="2"/>
  <c r="AJ401" i="2" s="1"/>
  <c r="G399" i="2"/>
  <c r="AJ399" i="2" s="1"/>
  <c r="G397" i="2"/>
  <c r="AJ397" i="2" s="1"/>
  <c r="G394" i="2"/>
  <c r="AJ394" i="2" s="1"/>
  <c r="G392" i="2"/>
  <c r="AJ392" i="2" s="1"/>
  <c r="G390" i="2"/>
  <c r="AJ390" i="2" s="1"/>
  <c r="G388" i="2"/>
  <c r="AJ388" i="2" s="1"/>
  <c r="G384" i="2"/>
  <c r="AJ384" i="2" s="1"/>
  <c r="G382" i="2"/>
  <c r="AJ382" i="2" s="1"/>
  <c r="G380" i="2"/>
  <c r="AJ380" i="2" s="1"/>
  <c r="G378" i="2"/>
  <c r="AJ378" i="2" s="1"/>
  <c r="G376" i="2"/>
  <c r="AJ376" i="2" s="1"/>
  <c r="G374" i="2"/>
  <c r="AJ374" i="2" s="1"/>
  <c r="G371" i="2"/>
  <c r="AJ371" i="2" s="1"/>
  <c r="G369" i="2"/>
  <c r="AJ369" i="2" s="1"/>
  <c r="G361" i="2"/>
  <c r="AJ361" i="2" s="1"/>
  <c r="G359" i="2"/>
  <c r="AJ359" i="2" s="1"/>
  <c r="G357" i="2"/>
  <c r="AJ357" i="2" s="1"/>
  <c r="G355" i="2"/>
  <c r="AJ355" i="2" s="1"/>
  <c r="G353" i="2"/>
  <c r="AJ353" i="2" s="1"/>
  <c r="G351" i="2"/>
  <c r="AJ351" i="2" s="1"/>
  <c r="G349" i="2"/>
  <c r="AJ349" i="2" s="1"/>
  <c r="G347" i="2"/>
  <c r="AJ347" i="2" s="1"/>
  <c r="G345" i="2"/>
  <c r="AJ345" i="2" s="1"/>
  <c r="G343" i="2"/>
  <c r="AJ343" i="2" s="1"/>
  <c r="G341" i="2"/>
  <c r="AJ341" i="2" s="1"/>
  <c r="G339" i="2"/>
  <c r="AJ339" i="2" s="1"/>
  <c r="G337" i="2"/>
  <c r="AJ337" i="2" s="1"/>
  <c r="G335" i="2"/>
  <c r="AJ335" i="2" s="1"/>
  <c r="G333" i="2"/>
  <c r="AJ333" i="2" s="1"/>
  <c r="G331" i="2"/>
  <c r="AJ331" i="2" s="1"/>
  <c r="G329" i="2"/>
  <c r="AJ329" i="2" s="1"/>
  <c r="G327" i="2"/>
  <c r="AJ327" i="2" s="1"/>
  <c r="G325" i="2"/>
  <c r="AJ325" i="2" s="1"/>
  <c r="G323" i="2"/>
  <c r="AJ323" i="2" s="1"/>
  <c r="G321" i="2"/>
  <c r="AJ321" i="2" s="1"/>
  <c r="G319" i="2"/>
  <c r="AJ319" i="2" s="1"/>
  <c r="G317" i="2"/>
  <c r="AJ317" i="2" s="1"/>
  <c r="G315" i="2"/>
  <c r="AJ315" i="2" s="1"/>
  <c r="G313" i="2"/>
  <c r="AJ313" i="2" s="1"/>
  <c r="G311" i="2"/>
  <c r="AJ311" i="2" s="1"/>
  <c r="G309" i="2"/>
  <c r="AJ309" i="2" s="1"/>
  <c r="G307" i="2"/>
  <c r="AJ307" i="2" s="1"/>
  <c r="G305" i="2"/>
  <c r="AJ305" i="2" s="1"/>
  <c r="G303" i="2"/>
  <c r="AJ303" i="2" s="1"/>
  <c r="G301" i="2"/>
  <c r="AJ301" i="2" s="1"/>
  <c r="G299" i="2"/>
  <c r="AJ299" i="2" s="1"/>
  <c r="G297" i="2"/>
  <c r="AJ297" i="2" s="1"/>
  <c r="G295" i="2"/>
  <c r="AJ295" i="2" s="1"/>
  <c r="G293" i="2"/>
  <c r="AJ293" i="2" s="1"/>
  <c r="G291" i="2"/>
  <c r="AJ291" i="2" s="1"/>
  <c r="G289" i="2"/>
  <c r="AJ289" i="2" s="1"/>
  <c r="G287" i="2"/>
  <c r="AJ287" i="2" s="1"/>
  <c r="G285" i="2"/>
  <c r="AJ285" i="2" s="1"/>
  <c r="G283" i="2"/>
  <c r="AJ283" i="2" s="1"/>
  <c r="G281" i="2"/>
  <c r="AJ281" i="2" s="1"/>
  <c r="G279" i="2"/>
  <c r="AJ279" i="2" s="1"/>
  <c r="G277" i="2"/>
  <c r="AJ277" i="2" s="1"/>
  <c r="G275" i="2"/>
  <c r="AJ275" i="2" s="1"/>
  <c r="G273" i="2"/>
  <c r="AJ273" i="2" s="1"/>
  <c r="G271" i="2"/>
  <c r="AJ271" i="2" s="1"/>
  <c r="G269" i="2"/>
  <c r="AJ269" i="2" s="1"/>
  <c r="G267" i="2"/>
  <c r="AJ267" i="2" s="1"/>
  <c r="G265" i="2"/>
  <c r="AJ265" i="2" s="1"/>
  <c r="G263" i="2"/>
  <c r="AJ263" i="2" s="1"/>
  <c r="G261" i="2"/>
  <c r="AJ261" i="2" s="1"/>
  <c r="G259" i="2"/>
  <c r="AJ259" i="2" s="1"/>
  <c r="G257" i="2"/>
  <c r="AJ257" i="2" s="1"/>
  <c r="G255" i="2"/>
  <c r="AJ255" i="2" s="1"/>
  <c r="G9" i="2"/>
  <c r="G69" i="2"/>
  <c r="AJ69" i="2" s="1"/>
  <c r="G65" i="2"/>
  <c r="AJ65" i="2" s="1"/>
  <c r="G253" i="2"/>
  <c r="AJ253" i="2" s="1"/>
  <c r="G251" i="2"/>
  <c r="AJ251" i="2" s="1"/>
  <c r="G249" i="2"/>
  <c r="AJ249" i="2" s="1"/>
  <c r="G247" i="2"/>
  <c r="AJ247" i="2" s="1"/>
  <c r="G245" i="2"/>
  <c r="AJ245" i="2" s="1"/>
  <c r="G243" i="2"/>
  <c r="AJ243" i="2" s="1"/>
  <c r="G239" i="2"/>
  <c r="AJ239" i="2" s="1"/>
  <c r="G237" i="2"/>
  <c r="AJ237" i="2" s="1"/>
  <c r="G233" i="2"/>
  <c r="AJ233" i="2" s="1"/>
  <c r="G231" i="2"/>
  <c r="AJ231" i="2" s="1"/>
  <c r="G229" i="2"/>
  <c r="AJ229" i="2" s="1"/>
  <c r="G225" i="2"/>
  <c r="AJ225" i="2" s="1"/>
  <c r="G221" i="2"/>
  <c r="AJ221" i="2" s="1"/>
  <c r="G219" i="2"/>
  <c r="AJ219" i="2" s="1"/>
  <c r="G217" i="2"/>
  <c r="AJ217" i="2" s="1"/>
  <c r="G215" i="2"/>
  <c r="AJ215" i="2" s="1"/>
  <c r="G213" i="2"/>
  <c r="AJ213" i="2" s="1"/>
  <c r="G211" i="2"/>
  <c r="AJ211" i="2" s="1"/>
  <c r="G208" i="2"/>
  <c r="AJ208" i="2" s="1"/>
  <c r="G204" i="2"/>
  <c r="AJ204" i="2" s="1"/>
  <c r="G202" i="2"/>
  <c r="AJ202" i="2" s="1"/>
  <c r="G200" i="2"/>
  <c r="AJ200" i="2" s="1"/>
  <c r="G198" i="2"/>
  <c r="AJ198" i="2" s="1"/>
  <c r="G196" i="2"/>
  <c r="AJ196" i="2" s="1"/>
  <c r="G194" i="2"/>
  <c r="AJ194" i="2" s="1"/>
  <c r="G192" i="2"/>
  <c r="AJ192" i="2" s="1"/>
  <c r="G189" i="2"/>
  <c r="AJ189" i="2" s="1"/>
  <c r="G186" i="2"/>
  <c r="AJ186" i="2" s="1"/>
  <c r="G184" i="2"/>
  <c r="AJ184" i="2" s="1"/>
  <c r="G182" i="2"/>
  <c r="AJ182" i="2" s="1"/>
  <c r="G164" i="2"/>
  <c r="AJ164" i="2" s="1"/>
  <c r="G162" i="2"/>
  <c r="AJ162" i="2" s="1"/>
  <c r="G154" i="2"/>
  <c r="AJ154" i="2" s="1"/>
  <c r="G152" i="2"/>
  <c r="AJ152" i="2" s="1"/>
  <c r="G150" i="2"/>
  <c r="AJ150" i="2" s="1"/>
  <c r="G148" i="2"/>
  <c r="AJ148" i="2" s="1"/>
  <c r="G146" i="2"/>
  <c r="AJ146" i="2" s="1"/>
  <c r="G144" i="2"/>
  <c r="AJ144" i="2" s="1"/>
  <c r="G142" i="2"/>
  <c r="AJ142" i="2" s="1"/>
  <c r="G140" i="2"/>
  <c r="AJ140" i="2" s="1"/>
  <c r="G137" i="2"/>
  <c r="AJ137" i="2" s="1"/>
  <c r="G132" i="2"/>
  <c r="AJ132" i="2" s="1"/>
  <c r="G130" i="2"/>
  <c r="AJ130" i="2" s="1"/>
  <c r="G128" i="2"/>
  <c r="AJ128" i="2" s="1"/>
  <c r="G126" i="2"/>
  <c r="AJ126" i="2" s="1"/>
  <c r="G124" i="2"/>
  <c r="AJ124" i="2" s="1"/>
  <c r="G120" i="2"/>
  <c r="AJ120" i="2" s="1"/>
  <c r="G118" i="2"/>
  <c r="AJ118" i="2" s="1"/>
  <c r="G116" i="2"/>
  <c r="AJ116" i="2" s="1"/>
  <c r="G114" i="2"/>
  <c r="AJ114" i="2" s="1"/>
  <c r="G105" i="2"/>
  <c r="AJ105" i="2" s="1"/>
  <c r="G103" i="2"/>
  <c r="AJ103" i="2" s="1"/>
  <c r="G101" i="2"/>
  <c r="AJ101" i="2" s="1"/>
  <c r="G99" i="2"/>
  <c r="AJ99" i="2" s="1"/>
  <c r="G97" i="2"/>
  <c r="AJ97" i="2" s="1"/>
  <c r="G95" i="2"/>
  <c r="AJ95" i="2" s="1"/>
  <c r="G93" i="2"/>
  <c r="AJ93" i="2" s="1"/>
  <c r="G91" i="2"/>
  <c r="AJ91" i="2" s="1"/>
  <c r="G87" i="2"/>
  <c r="AJ87" i="2" s="1"/>
  <c r="G84" i="2"/>
  <c r="AJ84" i="2" s="1"/>
  <c r="G82" i="2"/>
  <c r="AJ82" i="2" s="1"/>
  <c r="G79" i="2"/>
  <c r="AJ79" i="2" s="1"/>
  <c r="G77" i="2"/>
  <c r="AJ77" i="2" s="1"/>
  <c r="G72" i="2"/>
  <c r="AJ72" i="2" s="1"/>
  <c r="G70" i="2"/>
  <c r="AJ70" i="2" s="1"/>
  <c r="G68" i="2"/>
  <c r="AJ68" i="2" s="1"/>
  <c r="G66" i="2"/>
  <c r="AJ66" i="2" s="1"/>
  <c r="G63" i="2"/>
  <c r="AJ63" i="2" s="1"/>
  <c r="G61" i="2"/>
  <c r="AJ61" i="2" s="1"/>
  <c r="G58" i="2"/>
  <c r="AJ58" i="2" s="1"/>
  <c r="G56" i="2"/>
  <c r="AJ56" i="2" s="1"/>
  <c r="G38" i="2"/>
  <c r="AJ38" i="2" s="1"/>
  <c r="G36" i="2"/>
  <c r="AJ36" i="2" s="1"/>
  <c r="G34" i="2"/>
  <c r="AJ34" i="2" s="1"/>
  <c r="G32" i="2"/>
  <c r="AJ32" i="2" s="1"/>
  <c r="G30" i="2"/>
  <c r="AJ30" i="2" s="1"/>
  <c r="G28" i="2"/>
  <c r="AJ28" i="2" s="1"/>
  <c r="G26" i="2"/>
  <c r="AJ26" i="2" s="1"/>
  <c r="G24" i="2"/>
  <c r="AJ24" i="2" s="1"/>
  <c r="G20" i="2"/>
  <c r="AJ20" i="2" s="1"/>
  <c r="G13" i="2"/>
  <c r="AJ13" i="2" s="1"/>
  <c r="G15" i="2"/>
  <c r="AJ15" i="2" s="1"/>
  <c r="G22" i="2"/>
  <c r="AJ22" i="2" s="1"/>
  <c r="G18" i="2"/>
  <c r="AJ18" i="2" s="1"/>
  <c r="I466" i="2"/>
  <c r="I467" i="2"/>
  <c r="I468" i="2"/>
  <c r="I469" i="2"/>
  <c r="I470" i="2"/>
  <c r="I471" i="2"/>
  <c r="I474" i="2"/>
  <c r="I475" i="2"/>
  <c r="I477" i="2"/>
  <c r="I478" i="2"/>
  <c r="I479" i="2"/>
  <c r="I480" i="2"/>
  <c r="I481" i="2"/>
  <c r="I482" i="2"/>
  <c r="I483" i="2"/>
  <c r="I484" i="2"/>
  <c r="I485" i="2"/>
  <c r="I486" i="2"/>
  <c r="I430" i="2"/>
  <c r="I431" i="2"/>
  <c r="I434" i="2"/>
  <c r="I435" i="2"/>
  <c r="I437" i="2"/>
  <c r="I438" i="2"/>
  <c r="I439" i="2"/>
  <c r="I441" i="2"/>
  <c r="I442" i="2"/>
  <c r="I443" i="2"/>
  <c r="I447" i="2"/>
  <c r="J449" i="2"/>
  <c r="I450" i="2"/>
  <c r="I451" i="2"/>
  <c r="I453" i="2"/>
  <c r="I454" i="2"/>
  <c r="I455" i="2"/>
  <c r="I457" i="2"/>
  <c r="I461" i="2"/>
  <c r="I462" i="2"/>
  <c r="I412" i="2"/>
  <c r="I413" i="2"/>
  <c r="H416" i="2"/>
  <c r="I417" i="2"/>
  <c r="H418" i="2"/>
  <c r="I422" i="2"/>
  <c r="I401" i="2"/>
  <c r="I402" i="2"/>
  <c r="I403" i="2"/>
  <c r="I406" i="2"/>
  <c r="I409" i="2"/>
  <c r="I374" i="2"/>
  <c r="I375" i="2"/>
  <c r="I379" i="2"/>
  <c r="I381" i="2"/>
  <c r="I382" i="2"/>
  <c r="I383" i="2"/>
  <c r="H384" i="2"/>
  <c r="I385" i="2"/>
  <c r="H388" i="2"/>
  <c r="I389" i="2"/>
  <c r="H390" i="2"/>
  <c r="I392" i="2"/>
  <c r="I393" i="2"/>
  <c r="H394" i="2"/>
  <c r="I395" i="2"/>
  <c r="I373" i="2"/>
  <c r="I243" i="2"/>
  <c r="I244" i="2"/>
  <c r="I246" i="2"/>
  <c r="I248" i="2"/>
  <c r="I251" i="2"/>
  <c r="I255" i="2"/>
  <c r="I256" i="2"/>
  <c r="I258" i="2"/>
  <c r="I259" i="2"/>
  <c r="I262" i="2"/>
  <c r="I263" i="2"/>
  <c r="I267" i="2"/>
  <c r="I271" i="2"/>
  <c r="I274" i="2"/>
  <c r="I275" i="2"/>
  <c r="I279" i="2"/>
  <c r="I280" i="2"/>
  <c r="I282" i="2"/>
  <c r="H283" i="2"/>
  <c r="I283" i="2"/>
  <c r="H285" i="2"/>
  <c r="I286" i="2"/>
  <c r="I287" i="2"/>
  <c r="H289" i="2"/>
  <c r="I290" i="2"/>
  <c r="H291" i="2"/>
  <c r="I291" i="2"/>
  <c r="H293" i="2"/>
  <c r="I294" i="2"/>
  <c r="I295" i="2"/>
  <c r="H297" i="2"/>
  <c r="I298" i="2"/>
  <c r="I300" i="2"/>
  <c r="I303" i="2"/>
  <c r="I304" i="2"/>
  <c r="I306" i="2"/>
  <c r="I307" i="2"/>
  <c r="I308" i="2"/>
  <c r="I310" i="2"/>
  <c r="I311" i="2"/>
  <c r="I312" i="2"/>
  <c r="I315" i="2"/>
  <c r="I316" i="2"/>
  <c r="H318" i="2"/>
  <c r="I319" i="2"/>
  <c r="H324" i="2"/>
  <c r="I328" i="2"/>
  <c r="I332" i="2"/>
  <c r="I336" i="2"/>
  <c r="I344" i="2"/>
  <c r="I352" i="2"/>
  <c r="I360" i="2"/>
  <c r="H369" i="2"/>
  <c r="I370" i="2"/>
  <c r="I230" i="2"/>
  <c r="I231" i="2"/>
  <c r="I233" i="2"/>
  <c r="H234" i="2"/>
  <c r="I234" i="2"/>
  <c r="H238" i="2"/>
  <c r="I239" i="2"/>
  <c r="I229" i="2"/>
  <c r="H229" i="2"/>
  <c r="I212" i="2"/>
  <c r="H213" i="2"/>
  <c r="H215" i="2"/>
  <c r="I215" i="2"/>
  <c r="I216" i="2"/>
  <c r="H217" i="2"/>
  <c r="H218" i="2"/>
  <c r="I220" i="2"/>
  <c r="I227" i="2"/>
  <c r="I193" i="2"/>
  <c r="H195" i="2"/>
  <c r="H196" i="2"/>
  <c r="I197" i="2"/>
  <c r="I198" i="2"/>
  <c r="I201" i="2"/>
  <c r="H203" i="2"/>
  <c r="H206" i="2"/>
  <c r="I206" i="2"/>
  <c r="I208" i="2"/>
  <c r="I164" i="2"/>
  <c r="H182" i="2"/>
  <c r="I184" i="2"/>
  <c r="H186" i="2"/>
  <c r="H189" i="2"/>
  <c r="I189" i="2"/>
  <c r="H162" i="2"/>
  <c r="I141" i="2"/>
  <c r="I142" i="2"/>
  <c r="I145" i="2"/>
  <c r="H147" i="2"/>
  <c r="I149" i="2"/>
  <c r="H153" i="2"/>
  <c r="I153" i="2"/>
  <c r="H139" i="2"/>
  <c r="I126" i="2"/>
  <c r="I127" i="2"/>
  <c r="I130" i="2"/>
  <c r="H132" i="2"/>
  <c r="I137" i="2"/>
  <c r="H124" i="2"/>
  <c r="I117" i="2"/>
  <c r="I118" i="2"/>
  <c r="H120" i="2"/>
  <c r="H122" i="2"/>
  <c r="I122" i="2"/>
  <c r="I114" i="2"/>
  <c r="H91" i="2"/>
  <c r="I91" i="2"/>
  <c r="I94" i="2"/>
  <c r="I95" i="2"/>
  <c r="H96" i="2"/>
  <c r="I98" i="2"/>
  <c r="I99" i="2"/>
  <c r="H100" i="2"/>
  <c r="I102" i="2"/>
  <c r="I103" i="2"/>
  <c r="I106" i="2"/>
  <c r="I83" i="2"/>
  <c r="H87" i="2"/>
  <c r="J87" i="2"/>
  <c r="I81" i="2"/>
  <c r="H81" i="2"/>
  <c r="H66" i="2"/>
  <c r="I66" i="2"/>
  <c r="I70" i="2"/>
  <c r="H71" i="2"/>
  <c r="I77" i="2"/>
  <c r="I65" i="2"/>
  <c r="I62" i="2"/>
  <c r="I61" i="2"/>
  <c r="I57" i="2"/>
  <c r="I58" i="2"/>
  <c r="I18" i="2"/>
  <c r="I19" i="2"/>
  <c r="I22" i="2"/>
  <c r="I23" i="2"/>
  <c r="I25" i="2"/>
  <c r="I27" i="2"/>
  <c r="I29" i="2"/>
  <c r="I30" i="2"/>
  <c r="I31" i="2"/>
  <c r="I33" i="2"/>
  <c r="I34" i="2"/>
  <c r="I35" i="2"/>
  <c r="I36" i="2"/>
  <c r="I37" i="2"/>
  <c r="I39" i="2"/>
  <c r="I52" i="2"/>
  <c r="Z50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I473" i="2"/>
  <c r="Z472" i="2"/>
  <c r="Z471" i="2"/>
  <c r="Z470" i="2"/>
  <c r="Z469" i="2"/>
  <c r="Z468" i="2"/>
  <c r="Z467" i="2"/>
  <c r="Z466" i="2"/>
  <c r="Z465" i="2"/>
  <c r="I465" i="2"/>
  <c r="Z464" i="2"/>
  <c r="I464" i="2"/>
  <c r="Z462" i="2"/>
  <c r="Z461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H446" i="2"/>
  <c r="Z445" i="2"/>
  <c r="Z444" i="2"/>
  <c r="Z443" i="2"/>
  <c r="Z442" i="2"/>
  <c r="Z441" i="2"/>
  <c r="Z440" i="2"/>
  <c r="Z439" i="2"/>
  <c r="Z438" i="2"/>
  <c r="Z437" i="2"/>
  <c r="Z436" i="2"/>
  <c r="H436" i="2"/>
  <c r="Z435" i="2"/>
  <c r="Z434" i="2"/>
  <c r="Z433" i="2"/>
  <c r="Z432" i="2"/>
  <c r="H432" i="2"/>
  <c r="Z431" i="2"/>
  <c r="Z430" i="2"/>
  <c r="H430" i="2"/>
  <c r="Z429" i="2"/>
  <c r="Z422" i="2"/>
  <c r="Z420" i="2"/>
  <c r="I420" i="2"/>
  <c r="Z419" i="2"/>
  <c r="Z418" i="2"/>
  <c r="Z417" i="2"/>
  <c r="Z416" i="2"/>
  <c r="Z415" i="2"/>
  <c r="Z414" i="2"/>
  <c r="H414" i="2"/>
  <c r="Z413" i="2"/>
  <c r="Z412" i="2"/>
  <c r="H412" i="2"/>
  <c r="Z411" i="2"/>
  <c r="Z409" i="2"/>
  <c r="Z408" i="2"/>
  <c r="H408" i="2"/>
  <c r="Z407" i="2"/>
  <c r="Z406" i="2"/>
  <c r="H406" i="2"/>
  <c r="Z405" i="2"/>
  <c r="I405" i="2"/>
  <c r="Z404" i="2"/>
  <c r="Z403" i="2"/>
  <c r="Z402" i="2"/>
  <c r="H402" i="2"/>
  <c r="Z401" i="2"/>
  <c r="Z400" i="2"/>
  <c r="Z399" i="2"/>
  <c r="I399" i="2"/>
  <c r="Z398" i="2"/>
  <c r="H398" i="2"/>
  <c r="Z397" i="2"/>
  <c r="I397" i="2"/>
  <c r="Z395" i="2"/>
  <c r="Z394" i="2"/>
  <c r="Z393" i="2"/>
  <c r="Z392" i="2"/>
  <c r="Z391" i="2"/>
  <c r="Z390" i="2"/>
  <c r="Z389" i="2"/>
  <c r="Z388" i="2"/>
  <c r="I388" i="2"/>
  <c r="Z385" i="2"/>
  <c r="Z384" i="2"/>
  <c r="Z383" i="2"/>
  <c r="Z382" i="2"/>
  <c r="Z381" i="2"/>
  <c r="Z380" i="2"/>
  <c r="Z379" i="2"/>
  <c r="Z378" i="2"/>
  <c r="I378" i="2"/>
  <c r="Z377" i="2"/>
  <c r="Z376" i="2"/>
  <c r="Z375" i="2"/>
  <c r="Z374" i="2"/>
  <c r="Z373" i="2"/>
  <c r="Z371" i="2"/>
  <c r="Z370" i="2"/>
  <c r="Z369" i="2"/>
  <c r="Z362" i="2"/>
  <c r="H362" i="2"/>
  <c r="Z361" i="2"/>
  <c r="Z360" i="2"/>
  <c r="H360" i="2"/>
  <c r="Z359" i="2"/>
  <c r="Z358" i="2"/>
  <c r="H358" i="2"/>
  <c r="Z357" i="2"/>
  <c r="Z356" i="2"/>
  <c r="I356" i="2"/>
  <c r="H356" i="2"/>
  <c r="Z355" i="2"/>
  <c r="Z354" i="2"/>
  <c r="H354" i="2"/>
  <c r="Z353" i="2"/>
  <c r="Z352" i="2"/>
  <c r="H352" i="2"/>
  <c r="Z351" i="2"/>
  <c r="Z350" i="2"/>
  <c r="H350" i="2"/>
  <c r="Z349" i="2"/>
  <c r="Z348" i="2"/>
  <c r="I348" i="2"/>
  <c r="H348" i="2"/>
  <c r="Z347" i="2"/>
  <c r="Z346" i="2"/>
  <c r="H346" i="2"/>
  <c r="Z345" i="2"/>
  <c r="Z344" i="2"/>
  <c r="H344" i="2"/>
  <c r="Z343" i="2"/>
  <c r="Z342" i="2"/>
  <c r="H342" i="2"/>
  <c r="Z341" i="2"/>
  <c r="Z340" i="2"/>
  <c r="I340" i="2"/>
  <c r="H340" i="2"/>
  <c r="Z339" i="2"/>
  <c r="Z338" i="2"/>
  <c r="H338" i="2"/>
  <c r="Z337" i="2"/>
  <c r="Z336" i="2"/>
  <c r="Z335" i="2"/>
  <c r="Z334" i="2"/>
  <c r="H334" i="2"/>
  <c r="Z333" i="2"/>
  <c r="Z332" i="2"/>
  <c r="H332" i="2"/>
  <c r="Z331" i="2"/>
  <c r="Z330" i="2"/>
  <c r="Z329" i="2"/>
  <c r="Z328" i="2"/>
  <c r="Z327" i="2"/>
  <c r="Z326" i="2"/>
  <c r="Z325" i="2"/>
  <c r="Z324" i="2"/>
  <c r="I324" i="2"/>
  <c r="Z323" i="2"/>
  <c r="Z322" i="2"/>
  <c r="H322" i="2"/>
  <c r="Z321" i="2"/>
  <c r="Z320" i="2"/>
  <c r="I320" i="2"/>
  <c r="H320" i="2"/>
  <c r="Z319" i="2"/>
  <c r="Z318" i="2"/>
  <c r="I318" i="2"/>
  <c r="Z317" i="2"/>
  <c r="Z316" i="2"/>
  <c r="Z315" i="2"/>
  <c r="Z314" i="2"/>
  <c r="I314" i="2"/>
  <c r="H314" i="2"/>
  <c r="Z313" i="2"/>
  <c r="H313" i="2"/>
  <c r="Z312" i="2"/>
  <c r="Z311" i="2"/>
  <c r="Z310" i="2"/>
  <c r="Z309" i="2"/>
  <c r="H309" i="2"/>
  <c r="Z308" i="2"/>
  <c r="Z307" i="2"/>
  <c r="Z306" i="2"/>
  <c r="Z305" i="2"/>
  <c r="H305" i="2"/>
  <c r="Z304" i="2"/>
  <c r="Z303" i="2"/>
  <c r="H303" i="2"/>
  <c r="Z302" i="2"/>
  <c r="Z301" i="2"/>
  <c r="H301" i="2"/>
  <c r="Z300" i="2"/>
  <c r="Z299" i="2"/>
  <c r="Z298" i="2"/>
  <c r="Z297" i="2"/>
  <c r="Z296" i="2"/>
  <c r="I296" i="2"/>
  <c r="Z295" i="2"/>
  <c r="Z294" i="2"/>
  <c r="Z293" i="2"/>
  <c r="Z292" i="2"/>
  <c r="I292" i="2"/>
  <c r="Z291" i="2"/>
  <c r="Z290" i="2"/>
  <c r="Z289" i="2"/>
  <c r="Z288" i="2"/>
  <c r="I288" i="2"/>
  <c r="Z287" i="2"/>
  <c r="Z286" i="2"/>
  <c r="Z285" i="2"/>
  <c r="Z284" i="2"/>
  <c r="I284" i="2"/>
  <c r="Z283" i="2"/>
  <c r="Z282" i="2"/>
  <c r="Z281" i="2"/>
  <c r="H281" i="2"/>
  <c r="Z280" i="2"/>
  <c r="Z279" i="2"/>
  <c r="Z278" i="2"/>
  <c r="I278" i="2"/>
  <c r="Z277" i="2"/>
  <c r="H277" i="2"/>
  <c r="Z276" i="2"/>
  <c r="I276" i="2"/>
  <c r="Z275" i="2"/>
  <c r="Z274" i="2"/>
  <c r="Z273" i="2"/>
  <c r="H273" i="2"/>
  <c r="Z272" i="2"/>
  <c r="Z271" i="2"/>
  <c r="H271" i="2"/>
  <c r="Z270" i="2"/>
  <c r="I270" i="2"/>
  <c r="Z269" i="2"/>
  <c r="H269" i="2"/>
  <c r="Z268" i="2"/>
  <c r="I268" i="2"/>
  <c r="Z267" i="2"/>
  <c r="H267" i="2"/>
  <c r="Z266" i="2"/>
  <c r="I266" i="2"/>
  <c r="Z265" i="2"/>
  <c r="H265" i="2"/>
  <c r="Z264" i="2"/>
  <c r="I264" i="2"/>
  <c r="Z263" i="2"/>
  <c r="Z262" i="2"/>
  <c r="Z261" i="2"/>
  <c r="H261" i="2"/>
  <c r="Z260" i="2"/>
  <c r="Z259" i="2"/>
  <c r="Z258" i="2"/>
  <c r="Z257" i="2"/>
  <c r="H257" i="2"/>
  <c r="Z256" i="2"/>
  <c r="Z255" i="2"/>
  <c r="Z254" i="2"/>
  <c r="I254" i="2"/>
  <c r="Z253" i="2"/>
  <c r="H253" i="2"/>
  <c r="Z252" i="2"/>
  <c r="Z251" i="2"/>
  <c r="Z250" i="2"/>
  <c r="I250" i="2"/>
  <c r="Z249" i="2"/>
  <c r="Z248" i="2"/>
  <c r="Z247" i="2"/>
  <c r="H247" i="2"/>
  <c r="Z246" i="2"/>
  <c r="Z245" i="2"/>
  <c r="H245" i="2"/>
  <c r="Z244" i="2"/>
  <c r="Z243" i="2"/>
  <c r="H243" i="2"/>
  <c r="Z242" i="2"/>
  <c r="I242" i="2"/>
  <c r="Z239" i="2"/>
  <c r="Z238" i="2"/>
  <c r="Z237" i="2"/>
  <c r="I237" i="2"/>
  <c r="Z234" i="2"/>
  <c r="Z233" i="2"/>
  <c r="Z232" i="2"/>
  <c r="H232" i="2"/>
  <c r="Z231" i="2"/>
  <c r="Z230" i="2"/>
  <c r="Z229" i="2"/>
  <c r="Z227" i="2"/>
  <c r="Z225" i="2"/>
  <c r="I225" i="2"/>
  <c r="Z222" i="2"/>
  <c r="H222" i="2"/>
  <c r="Z221" i="2"/>
  <c r="H221" i="2"/>
  <c r="Z220" i="2"/>
  <c r="Z219" i="2"/>
  <c r="H219" i="2"/>
  <c r="I219" i="2"/>
  <c r="Z218" i="2"/>
  <c r="Z217" i="2"/>
  <c r="Z216" i="2"/>
  <c r="Z215" i="2"/>
  <c r="Z214" i="2"/>
  <c r="Z213" i="2"/>
  <c r="Z212" i="2"/>
  <c r="Z211" i="2"/>
  <c r="I211" i="2"/>
  <c r="Z210" i="2"/>
  <c r="Z208" i="2"/>
  <c r="Z206" i="2"/>
  <c r="Z204" i="2"/>
  <c r="Z203" i="2"/>
  <c r="Z202" i="2"/>
  <c r="I202" i="2"/>
  <c r="Z201" i="2"/>
  <c r="Z200" i="2"/>
  <c r="Z199" i="2"/>
  <c r="Z198" i="2"/>
  <c r="Z197" i="2"/>
  <c r="Z196" i="2"/>
  <c r="Z195" i="2"/>
  <c r="Z194" i="2"/>
  <c r="I194" i="2"/>
  <c r="Z193" i="2"/>
  <c r="Z192" i="2"/>
  <c r="Z190" i="2"/>
  <c r="Z189" i="2"/>
  <c r="Z187" i="2"/>
  <c r="Z186" i="2"/>
  <c r="Z185" i="2"/>
  <c r="Z184" i="2"/>
  <c r="Z183" i="2"/>
  <c r="Z182" i="2"/>
  <c r="Z165" i="2"/>
  <c r="Z164" i="2"/>
  <c r="Z163" i="2"/>
  <c r="Z162" i="2"/>
  <c r="Z155" i="2"/>
  <c r="H155" i="2"/>
  <c r="Z154" i="2"/>
  <c r="Z153" i="2"/>
  <c r="Z152" i="2"/>
  <c r="H152" i="2"/>
  <c r="Z151" i="2"/>
  <c r="Z150" i="2"/>
  <c r="Z149" i="2"/>
  <c r="Z148" i="2"/>
  <c r="H148" i="2"/>
  <c r="Z147" i="2"/>
  <c r="Z146" i="2"/>
  <c r="Z145" i="2"/>
  <c r="Z144" i="2"/>
  <c r="H144" i="2"/>
  <c r="Z143" i="2"/>
  <c r="H143" i="2"/>
  <c r="Z142" i="2"/>
  <c r="Z141" i="2"/>
  <c r="Z140" i="2"/>
  <c r="Z139" i="2"/>
  <c r="Z137" i="2"/>
  <c r="Z133" i="2"/>
  <c r="Z132" i="2"/>
  <c r="Z131" i="2"/>
  <c r="Z130" i="2"/>
  <c r="Z129" i="2"/>
  <c r="Z128" i="2"/>
  <c r="H128" i="2"/>
  <c r="Z127" i="2"/>
  <c r="Z126" i="2"/>
  <c r="Z125" i="2"/>
  <c r="Z124" i="2"/>
  <c r="Z122" i="2"/>
  <c r="Z120" i="2"/>
  <c r="Z119" i="2"/>
  <c r="Z118" i="2"/>
  <c r="Z117" i="2"/>
  <c r="Z116" i="2"/>
  <c r="Z115" i="2"/>
  <c r="I115" i="2"/>
  <c r="H115" i="2"/>
  <c r="Z114" i="2"/>
  <c r="Z112" i="2"/>
  <c r="Z106" i="2"/>
  <c r="Z105" i="2"/>
  <c r="Z104" i="2"/>
  <c r="Z103" i="2"/>
  <c r="H103" i="2"/>
  <c r="Z102" i="2"/>
  <c r="Z101" i="2"/>
  <c r="Z100" i="2"/>
  <c r="Z99" i="2"/>
  <c r="H99" i="2"/>
  <c r="Z98" i="2"/>
  <c r="Z97" i="2"/>
  <c r="Z96" i="2"/>
  <c r="Z95" i="2"/>
  <c r="Z94" i="2"/>
  <c r="Z93" i="2"/>
  <c r="I93" i="2"/>
  <c r="Z92" i="2"/>
  <c r="Z91" i="2"/>
  <c r="Z90" i="2"/>
  <c r="I90" i="2"/>
  <c r="Z87" i="2"/>
  <c r="Z86" i="2"/>
  <c r="I86" i="2"/>
  <c r="Z84" i="2"/>
  <c r="Z83" i="2"/>
  <c r="Z82" i="2"/>
  <c r="H82" i="2"/>
  <c r="Z81" i="2"/>
  <c r="Z79" i="2"/>
  <c r="Z78" i="2"/>
  <c r="Z77" i="2"/>
  <c r="Z73" i="2"/>
  <c r="I73" i="2"/>
  <c r="Z72" i="2"/>
  <c r="Z71" i="2"/>
  <c r="Z70" i="2"/>
  <c r="H70" i="2"/>
  <c r="Z69" i="2"/>
  <c r="I69" i="2"/>
  <c r="Z68" i="2"/>
  <c r="Z67" i="2"/>
  <c r="Z66" i="2"/>
  <c r="Z65" i="2"/>
  <c r="Z63" i="2"/>
  <c r="Z62" i="2"/>
  <c r="Z61" i="2"/>
  <c r="Z59" i="2"/>
  <c r="Z58" i="2"/>
  <c r="Z57" i="2"/>
  <c r="Z56" i="2"/>
  <c r="I56" i="2"/>
  <c r="Z52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I26" i="2"/>
  <c r="Z25" i="2"/>
  <c r="Z24" i="2"/>
  <c r="Z23" i="2"/>
  <c r="Z22" i="2"/>
  <c r="Z21" i="2"/>
  <c r="Z20" i="2"/>
  <c r="Z19" i="2"/>
  <c r="Z18" i="2"/>
  <c r="Z17" i="2"/>
  <c r="Z15" i="2"/>
  <c r="Z14" i="2"/>
  <c r="Z13" i="2"/>
  <c r="Z9" i="2"/>
  <c r="AJ9" i="2" l="1"/>
  <c r="K19" i="7"/>
  <c r="Q19" i="7" s="1"/>
  <c r="AJ517" i="2"/>
  <c r="AJ518" i="2"/>
  <c r="J255" i="2"/>
  <c r="I400" i="2"/>
  <c r="J259" i="2"/>
  <c r="I377" i="2"/>
  <c r="J155" i="2"/>
  <c r="I449" i="2"/>
  <c r="H151" i="2"/>
  <c r="H214" i="2"/>
  <c r="J453" i="2"/>
  <c r="I507" i="2"/>
  <c r="J73" i="2"/>
  <c r="J69" i="2"/>
  <c r="J119" i="2"/>
  <c r="J65" i="2"/>
  <c r="H95" i="2"/>
  <c r="H330" i="2"/>
  <c r="H328" i="2"/>
  <c r="H326" i="2"/>
  <c r="I416" i="2"/>
  <c r="I446" i="2"/>
  <c r="H86" i="2"/>
  <c r="H391" i="2"/>
  <c r="H420" i="2"/>
  <c r="I433" i="2"/>
  <c r="I476" i="2"/>
  <c r="I472" i="2"/>
  <c r="J38" i="2"/>
  <c r="H140" i="2"/>
  <c r="H187" i="2"/>
  <c r="H385" i="2"/>
  <c r="H119" i="2"/>
  <c r="H125" i="2"/>
  <c r="I302" i="2"/>
  <c r="I38" i="2"/>
  <c r="H77" i="2"/>
  <c r="I24" i="2"/>
  <c r="H197" i="2"/>
  <c r="H456" i="2"/>
  <c r="J437" i="2"/>
  <c r="H440" i="2"/>
  <c r="H444" i="2"/>
  <c r="H448" i="2"/>
  <c r="H452" i="2"/>
  <c r="I404" i="2"/>
  <c r="I408" i="2"/>
  <c r="I376" i="2"/>
  <c r="I317" i="2"/>
  <c r="H336" i="2"/>
  <c r="H316" i="2"/>
  <c r="I245" i="2"/>
  <c r="I249" i="2"/>
  <c r="I313" i="2"/>
  <c r="I321" i="2"/>
  <c r="I325" i="2"/>
  <c r="I329" i="2"/>
  <c r="I333" i="2"/>
  <c r="I337" i="2"/>
  <c r="I341" i="2"/>
  <c r="I345" i="2"/>
  <c r="I349" i="2"/>
  <c r="I353" i="2"/>
  <c r="I357" i="2"/>
  <c r="I361" i="2"/>
  <c r="I371" i="2"/>
  <c r="I232" i="2"/>
  <c r="J217" i="2"/>
  <c r="J195" i="2"/>
  <c r="I185" i="2"/>
  <c r="I165" i="2"/>
  <c r="I190" i="2"/>
  <c r="I146" i="2"/>
  <c r="I150" i="2"/>
  <c r="H145" i="2"/>
  <c r="I154" i="2"/>
  <c r="I131" i="2"/>
  <c r="H116" i="2"/>
  <c r="I97" i="2"/>
  <c r="H104" i="2"/>
  <c r="H92" i="2"/>
  <c r="I101" i="2"/>
  <c r="H112" i="2"/>
  <c r="I105" i="2"/>
  <c r="I84" i="2"/>
  <c r="H67" i="2"/>
  <c r="I72" i="2"/>
  <c r="H78" i="2"/>
  <c r="I68" i="2"/>
  <c r="I79" i="2"/>
  <c r="I32" i="2"/>
  <c r="I20" i="2"/>
  <c r="I28" i="2"/>
  <c r="J390" i="2"/>
  <c r="J57" i="2"/>
  <c r="J116" i="2"/>
  <c r="J147" i="2"/>
  <c r="J283" i="2"/>
  <c r="J114" i="2"/>
  <c r="J33" i="2"/>
  <c r="J52" i="2"/>
  <c r="J84" i="2"/>
  <c r="J139" i="2"/>
  <c r="J296" i="2"/>
  <c r="J300" i="2"/>
  <c r="J32" i="2"/>
  <c r="J36" i="2"/>
  <c r="J61" i="2"/>
  <c r="H204" i="2"/>
  <c r="J267" i="2"/>
  <c r="J312" i="2"/>
  <c r="J399" i="2"/>
  <c r="J433" i="2"/>
  <c r="J67" i="2"/>
  <c r="J100" i="2"/>
  <c r="J128" i="2"/>
  <c r="J243" i="2"/>
  <c r="J78" i="2"/>
  <c r="J98" i="2"/>
  <c r="J104" i="2"/>
  <c r="J186" i="2"/>
  <c r="I252" i="2"/>
  <c r="H255" i="2"/>
  <c r="H259" i="2"/>
  <c r="J268" i="2"/>
  <c r="J291" i="2"/>
  <c r="H399" i="2"/>
  <c r="J20" i="2"/>
  <c r="J24" i="2"/>
  <c r="J25" i="2"/>
  <c r="J28" i="2"/>
  <c r="J59" i="2"/>
  <c r="J102" i="2"/>
  <c r="H133" i="2"/>
  <c r="H137" i="2"/>
  <c r="H183" i="2"/>
  <c r="H184" i="2"/>
  <c r="J203" i="2"/>
  <c r="J232" i="2"/>
  <c r="H311" i="2"/>
  <c r="J385" i="2"/>
  <c r="H434" i="2"/>
  <c r="H450" i="2"/>
  <c r="H192" i="2"/>
  <c r="I331" i="2"/>
  <c r="I342" i="2"/>
  <c r="J342" i="2"/>
  <c r="I369" i="2"/>
  <c r="H374" i="2"/>
  <c r="J441" i="2"/>
  <c r="J457" i="2"/>
  <c r="H481" i="2"/>
  <c r="J17" i="2"/>
  <c r="J58" i="2"/>
  <c r="J66" i="2"/>
  <c r="J77" i="2"/>
  <c r="J92" i="2"/>
  <c r="J112" i="2"/>
  <c r="H141" i="2"/>
  <c r="H149" i="2"/>
  <c r="H210" i="2"/>
  <c r="H225" i="2"/>
  <c r="J251" i="2"/>
  <c r="H251" i="2"/>
  <c r="J264" i="2"/>
  <c r="H287" i="2"/>
  <c r="I247" i="2"/>
  <c r="J247" i="2"/>
  <c r="I326" i="2"/>
  <c r="J326" i="2"/>
  <c r="I347" i="2"/>
  <c r="I358" i="2"/>
  <c r="J358" i="2"/>
  <c r="H378" i="2"/>
  <c r="H469" i="2"/>
  <c r="H485" i="2"/>
  <c r="J21" i="2"/>
  <c r="J39" i="2"/>
  <c r="J63" i="2"/>
  <c r="J82" i="2"/>
  <c r="J90" i="2"/>
  <c r="J96" i="2"/>
  <c r="J106" i="2"/>
  <c r="H126" i="2"/>
  <c r="J140" i="2"/>
  <c r="J148" i="2"/>
  <c r="H200" i="2"/>
  <c r="J222" i="2"/>
  <c r="I238" i="2"/>
  <c r="J238" i="2"/>
  <c r="H249" i="2"/>
  <c r="I260" i="2"/>
  <c r="H263" i="2"/>
  <c r="J276" i="2"/>
  <c r="I299" i="2"/>
  <c r="J299" i="2"/>
  <c r="H279" i="2"/>
  <c r="I418" i="2"/>
  <c r="J418" i="2"/>
  <c r="H465" i="2"/>
  <c r="H473" i="2"/>
  <c r="H477" i="2"/>
  <c r="J29" i="2"/>
  <c r="J62" i="2"/>
  <c r="J70" i="2"/>
  <c r="J94" i="2"/>
  <c r="J125" i="2"/>
  <c r="H129" i="2"/>
  <c r="H163" i="2"/>
  <c r="H199" i="2"/>
  <c r="J199" i="2"/>
  <c r="I272" i="2"/>
  <c r="J275" i="2"/>
  <c r="H275" i="2"/>
  <c r="J280" i="2"/>
  <c r="J129" i="2"/>
  <c r="J163" i="2"/>
  <c r="J192" i="2"/>
  <c r="J200" i="2"/>
  <c r="J210" i="2"/>
  <c r="J307" i="2"/>
  <c r="J308" i="2"/>
  <c r="I330" i="2"/>
  <c r="J330" i="2"/>
  <c r="I335" i="2"/>
  <c r="I346" i="2"/>
  <c r="J346" i="2"/>
  <c r="I351" i="2"/>
  <c r="J373" i="2"/>
  <c r="J377" i="2"/>
  <c r="J381" i="2"/>
  <c r="H381" i="2"/>
  <c r="H404" i="2"/>
  <c r="I411" i="2"/>
  <c r="I429" i="2"/>
  <c r="I445" i="2"/>
  <c r="J464" i="2"/>
  <c r="J468" i="2"/>
  <c r="J472" i="2"/>
  <c r="J476" i="2"/>
  <c r="J480" i="2"/>
  <c r="J484" i="2"/>
  <c r="J133" i="2"/>
  <c r="J144" i="2"/>
  <c r="J152" i="2"/>
  <c r="J183" i="2"/>
  <c r="J214" i="2"/>
  <c r="J284" i="2"/>
  <c r="I323" i="2"/>
  <c r="I334" i="2"/>
  <c r="J334" i="2"/>
  <c r="I339" i="2"/>
  <c r="I350" i="2"/>
  <c r="J350" i="2"/>
  <c r="I355" i="2"/>
  <c r="H376" i="2"/>
  <c r="J376" i="2"/>
  <c r="H380" i="2"/>
  <c r="J380" i="2"/>
  <c r="H392" i="2"/>
  <c r="J403" i="2"/>
  <c r="I415" i="2"/>
  <c r="H467" i="2"/>
  <c r="J467" i="2"/>
  <c r="H471" i="2"/>
  <c r="J471" i="2"/>
  <c r="H475" i="2"/>
  <c r="J475" i="2"/>
  <c r="H479" i="2"/>
  <c r="J479" i="2"/>
  <c r="H483" i="2"/>
  <c r="J483" i="2"/>
  <c r="H507" i="2"/>
  <c r="J507" i="2"/>
  <c r="J71" i="2"/>
  <c r="H117" i="2"/>
  <c r="J120" i="2"/>
  <c r="H130" i="2"/>
  <c r="J143" i="2"/>
  <c r="J151" i="2"/>
  <c r="H164" i="2"/>
  <c r="J187" i="2"/>
  <c r="H193" i="2"/>
  <c r="J196" i="2"/>
  <c r="H201" i="2"/>
  <c r="J204" i="2"/>
  <c r="H211" i="2"/>
  <c r="J218" i="2"/>
  <c r="J288" i="2"/>
  <c r="H295" i="2"/>
  <c r="H299" i="2"/>
  <c r="H307" i="2"/>
  <c r="I322" i="2"/>
  <c r="J322" i="2"/>
  <c r="I327" i="2"/>
  <c r="I338" i="2"/>
  <c r="J338" i="2"/>
  <c r="I343" i="2"/>
  <c r="I354" i="2"/>
  <c r="J354" i="2"/>
  <c r="I359" i="2"/>
  <c r="H370" i="2"/>
  <c r="I391" i="2"/>
  <c r="J395" i="2"/>
  <c r="H395" i="2"/>
  <c r="I407" i="2"/>
  <c r="I414" i="2"/>
  <c r="J414" i="2"/>
  <c r="I419" i="2"/>
  <c r="H442" i="2"/>
  <c r="H461" i="2"/>
  <c r="J314" i="2"/>
  <c r="J318" i="2"/>
  <c r="J260" i="2"/>
  <c r="J272" i="2"/>
  <c r="J292" i="2"/>
  <c r="J304" i="2"/>
  <c r="J315" i="2"/>
  <c r="J319" i="2"/>
  <c r="J323" i="2"/>
  <c r="J327" i="2"/>
  <c r="J331" i="2"/>
  <c r="J335" i="2"/>
  <c r="J339" i="2"/>
  <c r="J343" i="2"/>
  <c r="J347" i="2"/>
  <c r="J351" i="2"/>
  <c r="J355" i="2"/>
  <c r="J359" i="2"/>
  <c r="J369" i="2"/>
  <c r="H382" i="2"/>
  <c r="J391" i="2"/>
  <c r="J398" i="2"/>
  <c r="J407" i="2"/>
  <c r="J411" i="2"/>
  <c r="J415" i="2"/>
  <c r="J419" i="2"/>
  <c r="J429" i="2"/>
  <c r="H438" i="2"/>
  <c r="J445" i="2"/>
  <c r="H454" i="2"/>
  <c r="J23" i="2"/>
  <c r="J68" i="2"/>
  <c r="J72" i="2"/>
  <c r="J79" i="2"/>
  <c r="I162" i="2"/>
  <c r="I448" i="2"/>
  <c r="J448" i="2"/>
  <c r="H466" i="2"/>
  <c r="J466" i="2"/>
  <c r="H470" i="2"/>
  <c r="J470" i="2"/>
  <c r="H474" i="2"/>
  <c r="J474" i="2"/>
  <c r="H478" i="2"/>
  <c r="J478" i="2"/>
  <c r="H486" i="2"/>
  <c r="J486" i="2"/>
  <c r="I17" i="2"/>
  <c r="J18" i="2"/>
  <c r="I21" i="2"/>
  <c r="J22" i="2"/>
  <c r="H60" i="2"/>
  <c r="H69" i="2"/>
  <c r="H73" i="2"/>
  <c r="J83" i="2"/>
  <c r="J93" i="2"/>
  <c r="J97" i="2"/>
  <c r="J101" i="2"/>
  <c r="J105" i="2"/>
  <c r="H131" i="2"/>
  <c r="J131" i="2"/>
  <c r="I139" i="2"/>
  <c r="I147" i="2"/>
  <c r="I155" i="2"/>
  <c r="J162" i="2"/>
  <c r="H165" i="2"/>
  <c r="J165" i="2"/>
  <c r="H190" i="2"/>
  <c r="J190" i="2"/>
  <c r="I195" i="2"/>
  <c r="I203" i="2"/>
  <c r="H212" i="2"/>
  <c r="J212" i="2"/>
  <c r="H220" i="2"/>
  <c r="J220" i="2"/>
  <c r="J230" i="2"/>
  <c r="H230" i="2"/>
  <c r="H278" i="2"/>
  <c r="J278" i="2"/>
  <c r="H310" i="2"/>
  <c r="J310" i="2"/>
  <c r="J27" i="2"/>
  <c r="J31" i="2"/>
  <c r="J35" i="2"/>
  <c r="J37" i="2"/>
  <c r="J56" i="2"/>
  <c r="I128" i="2"/>
  <c r="H154" i="2"/>
  <c r="J154" i="2"/>
  <c r="I186" i="2"/>
  <c r="H194" i="2"/>
  <c r="J194" i="2"/>
  <c r="H202" i="2"/>
  <c r="J202" i="2"/>
  <c r="I217" i="2"/>
  <c r="I432" i="2"/>
  <c r="J432" i="2"/>
  <c r="H482" i="2"/>
  <c r="J482" i="2"/>
  <c r="J26" i="2"/>
  <c r="H68" i="2"/>
  <c r="H72" i="2"/>
  <c r="H79" i="2"/>
  <c r="J81" i="2"/>
  <c r="H84" i="2"/>
  <c r="J86" i="2"/>
  <c r="H90" i="2"/>
  <c r="J91" i="2"/>
  <c r="H94" i="2"/>
  <c r="J95" i="2"/>
  <c r="H98" i="2"/>
  <c r="J99" i="2"/>
  <c r="H102" i="2"/>
  <c r="J103" i="2"/>
  <c r="H106" i="2"/>
  <c r="H114" i="2"/>
  <c r="J115" i="2"/>
  <c r="H118" i="2"/>
  <c r="J118" i="2"/>
  <c r="I124" i="2"/>
  <c r="I132" i="2"/>
  <c r="H142" i="2"/>
  <c r="J142" i="2"/>
  <c r="H150" i="2"/>
  <c r="J150" i="2"/>
  <c r="I182" i="2"/>
  <c r="H198" i="2"/>
  <c r="J198" i="2"/>
  <c r="H208" i="2"/>
  <c r="J208" i="2"/>
  <c r="I213" i="2"/>
  <c r="I221" i="2"/>
  <c r="H270" i="2"/>
  <c r="J270" i="2"/>
  <c r="H302" i="2"/>
  <c r="J302" i="2"/>
  <c r="J19" i="2"/>
  <c r="H146" i="2"/>
  <c r="J146" i="2"/>
  <c r="H286" i="2"/>
  <c r="J286" i="2"/>
  <c r="J30" i="2"/>
  <c r="J34" i="2"/>
  <c r="H83" i="2"/>
  <c r="H93" i="2"/>
  <c r="H97" i="2"/>
  <c r="H101" i="2"/>
  <c r="H105" i="2"/>
  <c r="I119" i="2"/>
  <c r="J124" i="2"/>
  <c r="H127" i="2"/>
  <c r="J127" i="2"/>
  <c r="J132" i="2"/>
  <c r="I143" i="2"/>
  <c r="I151" i="2"/>
  <c r="J182" i="2"/>
  <c r="H185" i="2"/>
  <c r="J185" i="2"/>
  <c r="I199" i="2"/>
  <c r="J213" i="2"/>
  <c r="H216" i="2"/>
  <c r="J216" i="2"/>
  <c r="J221" i="2"/>
  <c r="H227" i="2"/>
  <c r="J227" i="2"/>
  <c r="H262" i="2"/>
  <c r="J262" i="2"/>
  <c r="H294" i="2"/>
  <c r="J294" i="2"/>
  <c r="H231" i="2"/>
  <c r="J231" i="2"/>
  <c r="H237" i="2"/>
  <c r="J237" i="2"/>
  <c r="H242" i="2"/>
  <c r="J242" i="2"/>
  <c r="H246" i="2"/>
  <c r="J246" i="2"/>
  <c r="H250" i="2"/>
  <c r="J250" i="2"/>
  <c r="I253" i="2"/>
  <c r="H254" i="2"/>
  <c r="J254" i="2"/>
  <c r="I257" i="2"/>
  <c r="H258" i="2"/>
  <c r="J258" i="2"/>
  <c r="I362" i="2"/>
  <c r="J362" i="2"/>
  <c r="H393" i="2"/>
  <c r="J393" i="2"/>
  <c r="I59" i="2"/>
  <c r="I55" i="2" s="1"/>
  <c r="I63" i="2"/>
  <c r="I60" i="2" s="1"/>
  <c r="I67" i="2"/>
  <c r="I71" i="2"/>
  <c r="I78" i="2"/>
  <c r="I82" i="2"/>
  <c r="I87" i="2"/>
  <c r="I92" i="2"/>
  <c r="I96" i="2"/>
  <c r="I100" i="2"/>
  <c r="I104" i="2"/>
  <c r="I112" i="2"/>
  <c r="I116" i="2"/>
  <c r="J117" i="2"/>
  <c r="I120" i="2"/>
  <c r="J122" i="2"/>
  <c r="I125" i="2"/>
  <c r="J126" i="2"/>
  <c r="I129" i="2"/>
  <c r="J130" i="2"/>
  <c r="I133" i="2"/>
  <c r="J137" i="2"/>
  <c r="I140" i="2"/>
  <c r="J141" i="2"/>
  <c r="I144" i="2"/>
  <c r="J145" i="2"/>
  <c r="I148" i="2"/>
  <c r="J149" i="2"/>
  <c r="I152" i="2"/>
  <c r="J153" i="2"/>
  <c r="I163" i="2"/>
  <c r="J164" i="2"/>
  <c r="I183" i="2"/>
  <c r="J184" i="2"/>
  <c r="I187" i="2"/>
  <c r="J189" i="2"/>
  <c r="I192" i="2"/>
  <c r="J193" i="2"/>
  <c r="I196" i="2"/>
  <c r="J197" i="2"/>
  <c r="I200" i="2"/>
  <c r="J201" i="2"/>
  <c r="I204" i="2"/>
  <c r="J206" i="2"/>
  <c r="I210" i="2"/>
  <c r="J211" i="2"/>
  <c r="I214" i="2"/>
  <c r="J215" i="2"/>
  <c r="I218" i="2"/>
  <c r="J219" i="2"/>
  <c r="I222" i="2"/>
  <c r="J225" i="2"/>
  <c r="J229" i="2"/>
  <c r="H266" i="2"/>
  <c r="J266" i="2"/>
  <c r="H274" i="2"/>
  <c r="J274" i="2"/>
  <c r="H282" i="2"/>
  <c r="J282" i="2"/>
  <c r="H290" i="2"/>
  <c r="J290" i="2"/>
  <c r="H298" i="2"/>
  <c r="J298" i="2"/>
  <c r="H306" i="2"/>
  <c r="J306" i="2"/>
  <c r="H383" i="2"/>
  <c r="J383" i="2"/>
  <c r="J233" i="2"/>
  <c r="H233" i="2"/>
  <c r="J234" i="2"/>
  <c r="J239" i="2"/>
  <c r="H239" i="2"/>
  <c r="J244" i="2"/>
  <c r="H244" i="2"/>
  <c r="J245" i="2"/>
  <c r="J248" i="2"/>
  <c r="H248" i="2"/>
  <c r="J249" i="2"/>
  <c r="J252" i="2"/>
  <c r="H252" i="2"/>
  <c r="J253" i="2"/>
  <c r="J256" i="2"/>
  <c r="H256" i="2"/>
  <c r="J257" i="2"/>
  <c r="J263" i="2"/>
  <c r="J271" i="2"/>
  <c r="J279" i="2"/>
  <c r="J287" i="2"/>
  <c r="J295" i="2"/>
  <c r="J303" i="2"/>
  <c r="J311" i="2"/>
  <c r="H260" i="2"/>
  <c r="I261" i="2"/>
  <c r="H264" i="2"/>
  <c r="I265" i="2"/>
  <c r="H268" i="2"/>
  <c r="I269" i="2"/>
  <c r="H272" i="2"/>
  <c r="I273" i="2"/>
  <c r="H276" i="2"/>
  <c r="I277" i="2"/>
  <c r="H280" i="2"/>
  <c r="I281" i="2"/>
  <c r="H284" i="2"/>
  <c r="I285" i="2"/>
  <c r="H288" i="2"/>
  <c r="I289" i="2"/>
  <c r="H292" i="2"/>
  <c r="I293" i="2"/>
  <c r="H296" i="2"/>
  <c r="I297" i="2"/>
  <c r="H300" i="2"/>
  <c r="I301" i="2"/>
  <c r="H304" i="2"/>
  <c r="I305" i="2"/>
  <c r="H308" i="2"/>
  <c r="I309" i="2"/>
  <c r="H312" i="2"/>
  <c r="J313" i="2"/>
  <c r="H371" i="2"/>
  <c r="J371" i="2"/>
  <c r="I384" i="2"/>
  <c r="I394" i="2"/>
  <c r="H397" i="2"/>
  <c r="J397" i="2"/>
  <c r="I444" i="2"/>
  <c r="J444" i="2"/>
  <c r="J261" i="2"/>
  <c r="J265" i="2"/>
  <c r="J269" i="2"/>
  <c r="J273" i="2"/>
  <c r="J277" i="2"/>
  <c r="J281" i="2"/>
  <c r="J285" i="2"/>
  <c r="J289" i="2"/>
  <c r="J293" i="2"/>
  <c r="J297" i="2"/>
  <c r="J301" i="2"/>
  <c r="J305" i="2"/>
  <c r="J309" i="2"/>
  <c r="H317" i="2"/>
  <c r="J317" i="2"/>
  <c r="H321" i="2"/>
  <c r="J321" i="2"/>
  <c r="H325" i="2"/>
  <c r="J325" i="2"/>
  <c r="H329" i="2"/>
  <c r="J329" i="2"/>
  <c r="H333" i="2"/>
  <c r="J333" i="2"/>
  <c r="H337" i="2"/>
  <c r="J337" i="2"/>
  <c r="H341" i="2"/>
  <c r="J341" i="2"/>
  <c r="H345" i="2"/>
  <c r="J345" i="2"/>
  <c r="H349" i="2"/>
  <c r="J349" i="2"/>
  <c r="H353" i="2"/>
  <c r="J353" i="2"/>
  <c r="H357" i="2"/>
  <c r="J357" i="2"/>
  <c r="H375" i="2"/>
  <c r="J375" i="2"/>
  <c r="H379" i="2"/>
  <c r="J379" i="2"/>
  <c r="J384" i="2"/>
  <c r="H389" i="2"/>
  <c r="J389" i="2"/>
  <c r="J394" i="2"/>
  <c r="I398" i="2"/>
  <c r="I440" i="2"/>
  <c r="J440" i="2"/>
  <c r="I456" i="2"/>
  <c r="J456" i="2"/>
  <c r="H361" i="2"/>
  <c r="J361" i="2"/>
  <c r="I380" i="2"/>
  <c r="I390" i="2"/>
  <c r="I436" i="2"/>
  <c r="J436" i="2"/>
  <c r="I452" i="2"/>
  <c r="J452" i="2"/>
  <c r="H315" i="2"/>
  <c r="H319" i="2"/>
  <c r="H323" i="2"/>
  <c r="H327" i="2"/>
  <c r="H331" i="2"/>
  <c r="H335" i="2"/>
  <c r="H339" i="2"/>
  <c r="H343" i="2"/>
  <c r="H347" i="2"/>
  <c r="H351" i="2"/>
  <c r="H355" i="2"/>
  <c r="H359" i="2"/>
  <c r="H373" i="2"/>
  <c r="H377" i="2"/>
  <c r="J400" i="2"/>
  <c r="H401" i="2"/>
  <c r="J401" i="2"/>
  <c r="H405" i="2"/>
  <c r="J405" i="2"/>
  <c r="H409" i="2"/>
  <c r="J409" i="2"/>
  <c r="J316" i="2"/>
  <c r="J320" i="2"/>
  <c r="J324" i="2"/>
  <c r="J328" i="2"/>
  <c r="J332" i="2"/>
  <c r="J336" i="2"/>
  <c r="J340" i="2"/>
  <c r="J344" i="2"/>
  <c r="J348" i="2"/>
  <c r="J352" i="2"/>
  <c r="J356" i="2"/>
  <c r="J360" i="2"/>
  <c r="J370" i="2"/>
  <c r="J374" i="2"/>
  <c r="J378" i="2"/>
  <c r="J382" i="2"/>
  <c r="J388" i="2"/>
  <c r="J392" i="2"/>
  <c r="H413" i="2"/>
  <c r="J413" i="2"/>
  <c r="H417" i="2"/>
  <c r="J417" i="2"/>
  <c r="H422" i="2"/>
  <c r="J422" i="2"/>
  <c r="H400" i="2"/>
  <c r="J402" i="2"/>
  <c r="J406" i="2"/>
  <c r="H431" i="2"/>
  <c r="J431" i="2"/>
  <c r="H435" i="2"/>
  <c r="J435" i="2"/>
  <c r="H439" i="2"/>
  <c r="J439" i="2"/>
  <c r="H443" i="2"/>
  <c r="J443" i="2"/>
  <c r="H447" i="2"/>
  <c r="J447" i="2"/>
  <c r="H451" i="2"/>
  <c r="J451" i="2"/>
  <c r="H455" i="2"/>
  <c r="J455" i="2"/>
  <c r="H462" i="2"/>
  <c r="J462" i="2"/>
  <c r="H403" i="2"/>
  <c r="H407" i="2"/>
  <c r="H411" i="2"/>
  <c r="H415" i="2"/>
  <c r="H419" i="2"/>
  <c r="H429" i="2"/>
  <c r="H433" i="2"/>
  <c r="H437" i="2"/>
  <c r="H441" i="2"/>
  <c r="H445" i="2"/>
  <c r="H449" i="2"/>
  <c r="H453" i="2"/>
  <c r="H457" i="2"/>
  <c r="H464" i="2"/>
  <c r="H468" i="2"/>
  <c r="H472" i="2"/>
  <c r="H476" i="2"/>
  <c r="H480" i="2"/>
  <c r="H484" i="2"/>
  <c r="J404" i="2"/>
  <c r="J408" i="2"/>
  <c r="J412" i="2"/>
  <c r="J416" i="2"/>
  <c r="J420" i="2"/>
  <c r="J430" i="2"/>
  <c r="J434" i="2"/>
  <c r="J438" i="2"/>
  <c r="J442" i="2"/>
  <c r="J446" i="2"/>
  <c r="J450" i="2"/>
  <c r="J454" i="2"/>
  <c r="J461" i="2"/>
  <c r="J465" i="2"/>
  <c r="J469" i="2"/>
  <c r="J473" i="2"/>
  <c r="J477" i="2"/>
  <c r="J481" i="2"/>
  <c r="J485" i="2"/>
  <c r="AJ519" i="2" l="1"/>
  <c r="I228" i="2"/>
  <c r="I463" i="2"/>
  <c r="J55" i="2"/>
  <c r="J60" i="2"/>
  <c r="H55" i="2"/>
  <c r="I372" i="2"/>
  <c r="I396" i="2"/>
  <c r="I410" i="2"/>
  <c r="J64" i="2"/>
  <c r="H191" i="2"/>
  <c r="J209" i="2"/>
  <c r="J191" i="2"/>
  <c r="J138" i="2"/>
  <c r="H209" i="2"/>
  <c r="J428" i="2"/>
  <c r="J372" i="2"/>
  <c r="I64" i="2"/>
  <c r="J89" i="2"/>
  <c r="I89" i="2"/>
  <c r="J410" i="2"/>
  <c r="I80" i="2"/>
  <c r="H138" i="2"/>
  <c r="J113" i="2"/>
  <c r="J16" i="2"/>
  <c r="H16" i="2"/>
  <c r="J463" i="2"/>
  <c r="I428" i="2"/>
  <c r="I113" i="2"/>
  <c r="H228" i="2"/>
  <c r="H123" i="2"/>
  <c r="H80" i="2"/>
  <c r="I241" i="2"/>
  <c r="H161" i="2"/>
  <c r="H396" i="2"/>
  <c r="J228" i="2"/>
  <c r="I209" i="2"/>
  <c r="I191" i="2"/>
  <c r="I123" i="2"/>
  <c r="J161" i="2"/>
  <c r="H428" i="2"/>
  <c r="H372" i="2"/>
  <c r="J241" i="2"/>
  <c r="J123" i="2"/>
  <c r="H89" i="2"/>
  <c r="J80" i="2"/>
  <c r="H64" i="2"/>
  <c r="I16" i="2"/>
  <c r="I161" i="2"/>
  <c r="H463" i="2"/>
  <c r="H410" i="2"/>
  <c r="J396" i="2"/>
  <c r="H241" i="2"/>
  <c r="H113" i="2"/>
  <c r="I138" i="2"/>
  <c r="I13" i="2" l="1"/>
  <c r="J13" i="2" l="1"/>
  <c r="J14" i="2" l="1"/>
  <c r="I14" i="2" l="1"/>
  <c r="J9" i="2" l="1"/>
  <c r="I9" i="2" l="1"/>
  <c r="J15" i="2"/>
  <c r="J8" i="2" s="1"/>
  <c r="J516" i="2" s="1"/>
  <c r="N7" i="2" s="1"/>
  <c r="J5" i="2" l="1"/>
  <c r="H8" i="2"/>
  <c r="H516" i="2" s="1"/>
  <c r="I15" i="2"/>
  <c r="I8" i="2" s="1"/>
  <c r="I516" i="2" s="1"/>
</calcChain>
</file>

<file path=xl/sharedStrings.xml><?xml version="1.0" encoding="utf-8"?>
<sst xmlns="http://schemas.openxmlformats.org/spreadsheetml/2006/main" count="2263" uniqueCount="1220">
  <si>
    <t>A interessada deverá prrencher os campos em amarelo abaixo.</t>
  </si>
  <si>
    <t xml:space="preserve">CONSERVAÇÃO PREDIAL  </t>
  </si>
  <si>
    <t xml:space="preserve">Informar nos campos em amarelo abaixo o desconto para MA e MO.
Poderá ser informado desconto diferente ou igual para MA e MO de  forma a ajustar o desconto global ao desconto ofertado na licitação. 
O campo em verde, após o preenchimento do MA, MO e BDI (em sua respectiva aba), deverá refletir o valor de desconto ofertado na Licitação.
O valor efetivo de desconto de MA e MO considerando BDI aparecerá nos campos em Azul. </t>
  </si>
  <si>
    <t xml:space="preserve">PROPONENTE : </t>
  </si>
  <si>
    <t>LOTE:</t>
  </si>
  <si>
    <t>Material sem BDI</t>
  </si>
  <si>
    <t>Mão de obra sem BDI</t>
  </si>
  <si>
    <t xml:space="preserve">CNPJ: </t>
  </si>
  <si>
    <t>DESCONTO:</t>
  </si>
  <si>
    <t>Não mexer nos dados abaixo. Dados Sem BDI.</t>
  </si>
  <si>
    <t>Não mexer nos dados abaixo. Dados com BDI.</t>
  </si>
  <si>
    <t>Descontos Calculados</t>
  </si>
  <si>
    <t>ITEM</t>
  </si>
  <si>
    <t xml:space="preserve">                                          </t>
  </si>
  <si>
    <t>QTDE</t>
  </si>
  <si>
    <t>UN.</t>
  </si>
  <si>
    <t>UNITÁRIO
MATERIAL</t>
  </si>
  <si>
    <t>UNITÁRIO
MÃO DE OBRA</t>
  </si>
  <si>
    <t>TOTAL UNITÁRIO DO ITEM</t>
  </si>
  <si>
    <t>TOTAL MATERIAL ROTEIRO</t>
  </si>
  <si>
    <t>TOTAL MÃO DE OBRA ROTEIRO</t>
  </si>
  <si>
    <t>TOTAL GERAL ROTEIRO</t>
  </si>
  <si>
    <t>Desconto Global Calculado com BDI</t>
  </si>
  <si>
    <t>UNITÁRIO MATERIAL
Referência</t>
  </si>
  <si>
    <t>UNITÁRIO MÃO DE OBRA
Referência</t>
  </si>
  <si>
    <t>TOTAL UNITÁRIO DO ITEM
Referência</t>
  </si>
  <si>
    <t>PRELIMINARES</t>
  </si>
  <si>
    <t>O valor do campo em verde deverá ser igual ao da proposta apresentada.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</si>
  <si>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</si>
  <si>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</si>
  <si>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</si>
  <si>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</si>
  <si>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</si>
  <si>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</si>
  <si>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</si>
  <si>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</si>
  <si>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</si>
  <si>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</si>
  <si>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</si>
  <si>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Chamado Preventivo</t>
  </si>
  <si>
    <t>1.6</t>
  </si>
  <si>
    <t>Deslocamento Fluvial</t>
  </si>
  <si>
    <t>Desconto Calculado Material Efetivo</t>
  </si>
  <si>
    <t>Km</t>
  </si>
  <si>
    <t>1.7</t>
  </si>
  <si>
    <t>Laudo técncio fotográfico - Elementos de Sinalização - Padrão BB</t>
  </si>
  <si>
    <t>Desconto Calculado Mão de Obra Efetivo</t>
  </si>
  <si>
    <t>UN</t>
  </si>
  <si>
    <t>IMPLANTAÇÃO / ADMINISTRAÇÃO</t>
  </si>
  <si>
    <t>Os valores acima consideram o valor informado na aba BDI.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</si>
  <si>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</si>
  <si>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</si>
  <si>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</si>
  <si>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</si>
  <si>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</si>
  <si>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A interessada pode alterar o BDI na respectiva aba da planilha eletrônica. A alteração do BDI afeta o desconto calculado efetivo de material e de mão de obra. O valor do BDI deverá ser igual ao da proposta a ser apresentada.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</si>
  <si>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</si>
  <si>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</si>
  <si>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</si>
  <si>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</si>
  <si>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</si>
  <si>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</si>
  <si>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</si>
  <si>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</si>
  <si>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</si>
  <si>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</si>
  <si>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</si>
  <si>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</si>
  <si>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</si>
  <si>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A interessada pode utilizar modelo próprio de planilha para cálculo,entretanto,a planilha final a ser apresentada juntamente com a proposta, deverá ter a mesma formatação do orçamento estimado que compõe a licitação.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</si>
  <si>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</si>
  <si>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</si>
  <si>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</si>
  <si>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</si>
  <si>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</si>
  <si>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</si>
  <si>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</si>
  <si>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</si>
  <si>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</si>
  <si>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</si>
  <si>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</si>
  <si>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</si>
  <si>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</si>
  <si>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</si>
  <si>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</si>
  <si>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</si>
  <si>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</si>
  <si>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</si>
  <si>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</si>
  <si>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</si>
  <si>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</si>
  <si>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</si>
  <si>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</si>
  <si>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</si>
  <si>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</si>
  <si>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</si>
  <si>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</si>
  <si>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</si>
  <si>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</si>
  <si>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</si>
  <si>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</si>
  <si>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</si>
  <si>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</si>
  <si>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</si>
  <si>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</si>
  <si>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</si>
  <si>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</si>
  <si>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</si>
  <si>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</si>
  <si>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</si>
  <si>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</si>
  <si>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</si>
  <si>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</si>
  <si>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</si>
  <si>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</si>
  <si>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</si>
  <si>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</si>
  <si>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</si>
  <si>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</si>
  <si>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</si>
  <si>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</si>
  <si>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</si>
  <si>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</si>
  <si>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</si>
  <si>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</si>
  <si>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</si>
  <si>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</si>
  <si>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</si>
  <si>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</si>
  <si>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</si>
  <si>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</si>
  <si>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</si>
  <si>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</si>
  <si>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</si>
  <si>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</si>
  <si>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</si>
  <si>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</si>
  <si>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</si>
  <si>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</si>
  <si>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</si>
  <si>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</si>
  <si>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</si>
  <si>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</si>
  <si>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</si>
  <si>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</si>
  <si>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</si>
  <si>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</si>
  <si>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</si>
  <si>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</si>
  <si>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</si>
  <si>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</si>
  <si>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</si>
  <si>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</si>
  <si>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</si>
  <si>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</si>
  <si>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</si>
  <si>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</si>
  <si>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</si>
  <si>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</si>
  <si>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</si>
  <si>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</si>
  <si>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</si>
  <si>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</si>
  <si>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</si>
  <si>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</si>
  <si>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</si>
  <si>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</si>
  <si>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</si>
  <si>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</si>
  <si>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</si>
  <si>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</si>
  <si>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</si>
  <si>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</si>
  <si>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</si>
  <si>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</si>
  <si>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Fixação de telha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</si>
  <si>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</si>
  <si>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</si>
  <si>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</si>
  <si>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</si>
  <si>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</si>
  <si>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</si>
  <si>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</si>
  <si>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</si>
  <si>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</si>
  <si>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</si>
  <si>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</si>
  <si>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</si>
  <si>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</si>
  <si>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</si>
  <si>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</si>
  <si>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</si>
  <si>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</si>
  <si>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</si>
  <si>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</si>
  <si>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</si>
  <si>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</si>
  <si>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</si>
  <si>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</si>
  <si>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</si>
  <si>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</si>
  <si>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</si>
  <si>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</si>
  <si>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</si>
  <si>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</si>
  <si>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</si>
  <si>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</si>
  <si>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</si>
  <si>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</si>
  <si>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</si>
  <si>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</si>
  <si>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</si>
  <si>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</si>
  <si>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</si>
  <si>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</si>
  <si>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</si>
  <si>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</si>
  <si>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</si>
  <si>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</si>
  <si>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</si>
  <si>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</si>
  <si>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</si>
  <si>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</si>
  <si>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</si>
  <si>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</si>
  <si>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</si>
  <si>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</si>
  <si>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</si>
  <si>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</si>
  <si>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</si>
  <si>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</si>
  <si>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</si>
  <si>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</si>
  <si>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</si>
  <si>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</si>
  <si>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</si>
  <si>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</si>
  <si>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</si>
  <si>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</si>
  <si>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</si>
  <si>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</si>
  <si>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</si>
  <si>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</si>
  <si>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</si>
  <si>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</si>
  <si>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</si>
  <si>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</si>
  <si>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</si>
  <si>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</si>
  <si>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</si>
  <si>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</si>
  <si>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</si>
  <si>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</si>
  <si>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</si>
  <si>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</si>
  <si>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</si>
  <si>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</si>
  <si>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</si>
  <si>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</si>
  <si>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</si>
  <si>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</si>
  <si>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</si>
  <si>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</si>
  <si>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</si>
  <si>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</si>
  <si>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</si>
  <si>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</si>
  <si>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</si>
  <si>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</si>
  <si>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</si>
  <si>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</si>
  <si>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</si>
  <si>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</si>
  <si>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</si>
  <si>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</si>
  <si>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</si>
  <si>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</si>
  <si>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</si>
  <si>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</si>
  <si>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</si>
  <si>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</si>
  <si>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</si>
  <si>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</si>
  <si>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</si>
  <si>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</si>
  <si>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</si>
  <si>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</si>
  <si>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</si>
  <si>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</si>
  <si>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</si>
  <si>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</si>
  <si>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</si>
  <si>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</si>
  <si>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</si>
  <si>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</si>
  <si>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</si>
  <si>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</si>
  <si>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</si>
  <si>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</si>
  <si>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</si>
  <si>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</si>
  <si>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</si>
  <si>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</si>
  <si>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</si>
  <si>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</si>
  <si>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</si>
  <si>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</si>
  <si>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</si>
  <si>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</si>
  <si>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</si>
  <si>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</si>
  <si>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</si>
  <si>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</si>
  <si>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</si>
  <si>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</si>
  <si>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</si>
  <si>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</si>
  <si>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</si>
  <si>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</si>
  <si>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</si>
  <si>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</si>
  <si>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</si>
  <si>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</si>
  <si>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</si>
  <si>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</si>
  <si>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</si>
  <si>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</si>
  <si>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</si>
  <si>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</si>
  <si>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</si>
  <si>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</si>
  <si>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</si>
  <si>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</si>
  <si>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</si>
  <si>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</si>
  <si>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</si>
  <si>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</si>
  <si>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</si>
  <si>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</si>
  <si>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</si>
  <si>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</si>
  <si>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</si>
  <si>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</si>
  <si>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</si>
  <si>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</si>
  <si>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</si>
  <si>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</si>
  <si>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</si>
  <si>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</si>
  <si>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</si>
  <si>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</si>
  <si>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</si>
  <si>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</si>
  <si>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</si>
  <si>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</si>
  <si>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</si>
  <si>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</si>
  <si>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</si>
  <si>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</si>
  <si>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</si>
  <si>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</si>
  <si>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</si>
  <si>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</si>
  <si>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</si>
  <si>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</si>
  <si>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</si>
  <si>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</si>
  <si>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</si>
  <si>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</si>
  <si>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</si>
  <si>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</si>
  <si>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</si>
  <si>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</si>
  <si>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</si>
  <si>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</si>
  <si>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</si>
  <si>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</si>
  <si>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</si>
  <si>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</si>
  <si>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</si>
  <si>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</si>
  <si>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</si>
  <si>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</si>
  <si>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</si>
  <si>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</si>
  <si>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</si>
  <si>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</si>
  <si>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</si>
  <si>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</si>
  <si>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</si>
  <si>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</si>
  <si>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</si>
  <si>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</si>
  <si>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</si>
  <si>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</si>
  <si>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</si>
  <si>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</si>
  <si>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</si>
  <si>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</si>
  <si>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</si>
  <si>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</si>
  <si>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</si>
  <si>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</si>
  <si>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</si>
  <si>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</si>
  <si>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</si>
  <si>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</si>
  <si>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</si>
  <si>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</si>
  <si>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</si>
  <si>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</si>
  <si>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</si>
  <si>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</si>
  <si>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</si>
  <si>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</si>
  <si>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</si>
  <si>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</si>
  <si>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</si>
  <si>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</si>
  <si>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</si>
  <si>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</si>
  <si>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</si>
  <si>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</si>
  <si>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</si>
  <si>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</si>
  <si>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</si>
  <si>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</si>
  <si>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</si>
  <si>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</si>
  <si>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</si>
  <si>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</si>
  <si>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</si>
  <si>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</si>
  <si>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</si>
  <si>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</si>
  <si>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</si>
  <si>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</si>
  <si>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</si>
  <si>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</si>
  <si>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</si>
  <si>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</si>
  <si>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</si>
  <si>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</si>
  <si>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</si>
  <si>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</si>
  <si>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</si>
  <si>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</si>
  <si>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</si>
  <si>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</si>
  <si>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</si>
  <si>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</si>
  <si>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</si>
  <si>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</si>
  <si>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</si>
  <si>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</si>
  <si>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</si>
  <si>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</si>
  <si>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</si>
  <si>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</si>
  <si>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</si>
  <si>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</si>
  <si>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</si>
  <si>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 xml:space="preserve">UN 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</si>
  <si>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</si>
  <si>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</si>
  <si>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</si>
  <si>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</si>
  <si>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</si>
  <si>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</si>
  <si>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</si>
  <si>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</si>
  <si>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</si>
  <si>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</si>
  <si>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</si>
  <si>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</si>
  <si>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</si>
  <si>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</si>
  <si>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</si>
  <si>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</si>
  <si>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</si>
  <si>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</si>
  <si>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</si>
  <si>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</si>
  <si>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</si>
  <si>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</si>
  <si>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</si>
  <si>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</si>
  <si>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</si>
  <si>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</si>
  <si>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</si>
  <si>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</si>
  <si>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</si>
  <si>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</si>
  <si>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</si>
  <si>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</si>
  <si>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</si>
  <si>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</si>
  <si>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</si>
  <si>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</si>
  <si>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</si>
  <si>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</si>
  <si>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</si>
  <si>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</si>
  <si>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</si>
  <si>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</si>
  <si>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</si>
  <si>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</si>
  <si>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</si>
  <si>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</si>
  <si>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</si>
  <si>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</si>
  <si>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</si>
  <si>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</si>
  <si>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</si>
  <si>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</si>
  <si>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</si>
  <si>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</si>
  <si>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</si>
  <si>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</si>
  <si>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</si>
  <si>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</si>
  <si>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</si>
  <si>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</si>
  <si>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</si>
  <si>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</si>
  <si>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</si>
  <si>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</si>
  <si>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</si>
  <si>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</si>
  <si>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</si>
  <si>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</si>
  <si>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</si>
  <si>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</si>
  <si>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</si>
  <si>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</si>
  <si>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</si>
  <si>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</si>
  <si>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</si>
  <si>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</si>
  <si>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</si>
  <si>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</si>
  <si>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</si>
  <si>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</si>
  <si>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</si>
  <si>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</si>
  <si>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</si>
  <si>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</si>
  <si>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</si>
  <si>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</si>
  <si>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</si>
  <si>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</si>
  <si>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</si>
  <si>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</si>
  <si>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</si>
  <si>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</si>
  <si>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</si>
  <si>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</si>
  <si>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</si>
  <si>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</si>
  <si>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</si>
  <si>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</si>
  <si>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</si>
  <si>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</si>
  <si>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</si>
  <si>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</si>
  <si>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</si>
  <si>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</si>
  <si>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</si>
  <si>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</si>
  <si>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</si>
  <si>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</si>
  <si>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</si>
  <si>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</si>
  <si>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</si>
  <si>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</si>
  <si>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</si>
  <si>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</si>
  <si>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</si>
  <si>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</si>
  <si>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</si>
  <si>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</si>
  <si>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</si>
  <si>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</si>
  <si>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</si>
  <si>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</si>
  <si>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</si>
  <si>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</si>
  <si>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</si>
  <si>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</si>
  <si>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</si>
  <si>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</si>
  <si>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</si>
  <si>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</si>
  <si>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</si>
  <si>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</si>
  <si>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</si>
  <si>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</si>
  <si>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</si>
  <si>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</si>
  <si>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</si>
  <si>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</si>
  <si>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</si>
  <si>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</si>
  <si>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</si>
  <si>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</si>
  <si>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</si>
  <si>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</si>
  <si>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</si>
  <si>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</si>
  <si>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</si>
  <si>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</si>
  <si>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</si>
  <si>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</si>
  <si>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</si>
  <si>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</si>
  <si>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</si>
  <si>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</si>
  <si>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</si>
  <si>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</si>
  <si>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</si>
  <si>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</si>
  <si>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</si>
  <si>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</si>
  <si>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</si>
  <si>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</si>
  <si>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Contator de Potencia até 12A</t>
  </si>
  <si>
    <t>19.67</t>
  </si>
  <si>
    <t>Contator de Potencia até 45A</t>
  </si>
  <si>
    <t>19.68</t>
  </si>
  <si>
    <t>Contator de Potencia até 94A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</si>
  <si>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</si>
  <si>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</si>
  <si>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</si>
  <si>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</si>
  <si>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</si>
  <si>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</si>
  <si>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</si>
  <si>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Cabo de cobre flexivel anti-chama 450/750V / de 10 a 16mm2</t>
  </si>
  <si>
    <t>19.73</t>
  </si>
  <si>
    <t>Cabo de cobre flexivel anti-chama 450/750V / de 25 a 35mm2</t>
  </si>
  <si>
    <t>19.74</t>
  </si>
  <si>
    <t>Cabo de cobre flexivel anti-chama 450/750V / de 50 a 70mm2</t>
  </si>
  <si>
    <t>19.75</t>
  </si>
  <si>
    <t>Cabo de cobre flexível anti-chama 450/750V / de 95 a 150mm2</t>
  </si>
  <si>
    <t>19.76</t>
  </si>
  <si>
    <t>Cabo de cobre flexível anti-chama 450/750V / de 185 a 240mm2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</si>
  <si>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</si>
  <si>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</si>
  <si>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</si>
  <si>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</si>
  <si>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</si>
  <si>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</si>
  <si>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</si>
  <si>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</si>
  <si>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</si>
  <si>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</si>
  <si>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</si>
  <si>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</si>
  <si>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</si>
  <si>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</si>
  <si>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</si>
  <si>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</si>
  <si>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</si>
  <si>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</si>
  <si>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</si>
  <si>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</si>
  <si>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</si>
  <si>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</si>
  <si>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</si>
  <si>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</si>
  <si>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</si>
  <si>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</si>
  <si>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</si>
  <si>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</si>
  <si>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</si>
  <si>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</si>
  <si>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</si>
  <si>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</si>
  <si>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</si>
  <si>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</si>
  <si>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</si>
  <si>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</si>
  <si>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</si>
  <si>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</si>
  <si>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</si>
  <si>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</si>
  <si>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</si>
  <si>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</si>
  <si>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</si>
  <si>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</si>
  <si>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</si>
  <si>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</si>
  <si>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>19.100</t>
  </si>
  <si>
    <t xml:space="preserve">Caixa quebra vidro de emergência </t>
  </si>
  <si>
    <t>19.101</t>
  </si>
  <si>
    <t>Botão Emulador (botão de saida)</t>
  </si>
  <si>
    <t>19.102</t>
  </si>
  <si>
    <t>Suporte para fixação da fechadura</t>
  </si>
  <si>
    <t>19.103</t>
  </si>
  <si>
    <t>Fonte de alimentação com carregador de bateria e placa ATM para Fechadura Eletromagnética força de tração 150kgf</t>
  </si>
  <si>
    <t>19.104</t>
  </si>
  <si>
    <t>Fechadura Eletromagnética força de tração 150kgf</t>
  </si>
  <si>
    <t>19.105</t>
  </si>
  <si>
    <t>Fechadura Elétrica com fonte de alimentação</t>
  </si>
  <si>
    <t>19.106</t>
  </si>
  <si>
    <t>Instalação/Susbtituição de cabo coaxial</t>
  </si>
  <si>
    <t>19.107</t>
  </si>
  <si>
    <t>No-Break e/ou banco de baterias - substuição/relocalização/instalação</t>
  </si>
  <si>
    <t>19.108</t>
  </si>
  <si>
    <t>Aterramento / SPDA - revisão geral</t>
  </si>
  <si>
    <t>19.109</t>
  </si>
  <si>
    <t>Aterramento / SPDA - Haste de aterramento em cobre 3/4"x3m com cabo e conector</t>
  </si>
  <si>
    <t>19.110</t>
  </si>
  <si>
    <t>Encaixotamento e retirada de equipamentos diversos - Desocupação de Imóvel</t>
  </si>
  <si>
    <t>19.111</t>
  </si>
  <si>
    <t>Manutenção em Bomba de água de 1/4 cv a 5cv</t>
  </si>
  <si>
    <t>19.112</t>
  </si>
  <si>
    <t>Bomba de água de 1/4 cv</t>
  </si>
  <si>
    <t>19.113</t>
  </si>
  <si>
    <t>Bomba de água de 1/2 cv</t>
  </si>
  <si>
    <t>19.114</t>
  </si>
  <si>
    <t>Bomba de água de 1 cv</t>
  </si>
  <si>
    <t>19.115</t>
  </si>
  <si>
    <t>Quadro de Telefonia (DG) - Manutenção</t>
  </si>
  <si>
    <t>19.116</t>
  </si>
  <si>
    <t>Cabo Telefone CCI 50x10</t>
  </si>
  <si>
    <t>19.117</t>
  </si>
  <si>
    <t>Cabo Telefone CCI 50x20</t>
  </si>
  <si>
    <t>19.118</t>
  </si>
  <si>
    <t>Cabo Telefone CCI 50x30</t>
  </si>
  <si>
    <t>19.119</t>
  </si>
  <si>
    <t>Acompanhamento de implantação de equipamentos</t>
  </si>
  <si>
    <t>19.120</t>
  </si>
  <si>
    <t>Laudo de medição de nível de iluminamento</t>
  </si>
  <si>
    <t>19.121</t>
  </si>
  <si>
    <t>Laudo de medição de resistência de aterramento</t>
  </si>
  <si>
    <t>19.122</t>
  </si>
  <si>
    <t>Remoção de Infraestrutura elétrica e Lógica - Desocupação de Imóvel</t>
  </si>
  <si>
    <t>19.123</t>
  </si>
  <si>
    <t>Remoção de Luminária - Desocupação de Imóvel</t>
  </si>
  <si>
    <t>19.124</t>
  </si>
  <si>
    <t>Relé Fotoelétrico</t>
  </si>
  <si>
    <t>19.125</t>
  </si>
  <si>
    <t>Luminária circular de embutir com foco orientável</t>
  </si>
  <si>
    <t>19.126</t>
  </si>
  <si>
    <t>Adesivo para Fechadura Eletromagnética força de tração 150kgf</t>
  </si>
  <si>
    <t>19.127</t>
  </si>
  <si>
    <t>Bateria 12 V - 7 Ah</t>
  </si>
  <si>
    <t>19.128</t>
  </si>
  <si>
    <t>BATERIA 12V até 70AH</t>
  </si>
  <si>
    <t>19.129</t>
  </si>
  <si>
    <t>Ponto lógico - manutenção - troca de cabo UTP</t>
  </si>
  <si>
    <t>19.130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</si>
  <si>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</si>
  <si>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</si>
  <si>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</si>
  <si>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</si>
  <si>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</si>
  <si>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</si>
  <si>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</si>
  <si>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</si>
  <si>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</si>
  <si>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</si>
  <si>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</si>
  <si>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</si>
  <si>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</si>
  <si>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</si>
  <si>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</si>
  <si>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</si>
  <si>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</si>
  <si>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</si>
  <si>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</si>
  <si>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</si>
  <si>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</si>
  <si>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</si>
  <si>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</si>
  <si>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</si>
  <si>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</si>
  <si>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</si>
  <si>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</si>
  <si>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</si>
  <si>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</si>
  <si>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</si>
  <si>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</si>
  <si>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</si>
  <si>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</si>
  <si>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</si>
  <si>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</si>
  <si>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</si>
  <si>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</si>
  <si>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</si>
  <si>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</si>
  <si>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</si>
  <si>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</si>
  <si>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</si>
  <si>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</si>
  <si>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</si>
  <si>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</si>
  <si>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</si>
  <si>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</si>
  <si>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</si>
  <si>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</si>
  <si>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</si>
  <si>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</si>
  <si>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</si>
  <si>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</si>
  <si>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</si>
  <si>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</si>
  <si>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</si>
  <si>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</si>
  <si>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</si>
  <si>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</si>
  <si>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</si>
  <si>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</si>
  <si>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</si>
  <si>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</si>
  <si>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</si>
  <si>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</si>
  <si>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</si>
  <si>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</si>
  <si>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</si>
  <si>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</si>
  <si>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</si>
  <si>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</si>
  <si>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</si>
  <si>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</si>
  <si>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</si>
  <si>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</si>
  <si>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</si>
  <si>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</si>
  <si>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</si>
  <si>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</si>
  <si>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</si>
  <si>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</si>
  <si>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</si>
  <si>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</si>
  <si>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</si>
  <si>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</si>
  <si>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</si>
  <si>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</si>
  <si>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</si>
  <si>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</si>
  <si>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</si>
  <si>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</si>
  <si>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</si>
  <si>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</si>
  <si>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</si>
  <si>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</si>
  <si>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</si>
  <si>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</si>
  <si>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</si>
  <si>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</si>
  <si>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</si>
  <si>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</si>
  <si>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</si>
  <si>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</si>
  <si>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</si>
  <si>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</si>
  <si>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</si>
  <si>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</si>
  <si>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</si>
  <si>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</si>
  <si>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</si>
  <si>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</si>
  <si>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</si>
  <si>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</si>
  <si>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</si>
  <si>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</si>
  <si>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</si>
  <si>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</si>
  <si>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</si>
  <si>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</si>
  <si>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</si>
  <si>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</si>
  <si>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</si>
  <si>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</si>
  <si>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</si>
  <si>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</si>
  <si>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</si>
  <si>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</si>
  <si>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</si>
  <si>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</si>
  <si>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</si>
  <si>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</si>
  <si>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</si>
  <si>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</si>
  <si>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</si>
  <si>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</si>
  <si>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</si>
  <si>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</si>
  <si>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</si>
  <si>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</si>
  <si>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</si>
  <si>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</si>
  <si>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</si>
  <si>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</si>
  <si>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</si>
  <si>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</si>
  <si>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</si>
  <si>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</si>
  <si>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</si>
  <si>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</si>
  <si>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</si>
  <si>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</si>
  <si>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</si>
  <si>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</si>
  <si>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</si>
  <si>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</si>
  <si>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</si>
  <si>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</si>
  <si>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</si>
  <si>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</si>
  <si>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</si>
  <si>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</si>
  <si>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</si>
  <si>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</si>
  <si>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</si>
  <si>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</si>
  <si>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</si>
  <si>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</si>
  <si>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</si>
  <si>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</si>
  <si>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</si>
  <si>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</si>
  <si>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</si>
  <si>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</si>
  <si>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</si>
  <si>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</si>
  <si>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</si>
  <si>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</si>
  <si>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</si>
  <si>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</si>
  <si>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M</t>
  </si>
  <si>
    <t>29.3</t>
  </si>
  <si>
    <t>Sinalização visual e tátil no acesso - PLACA 30x18 cm</t>
  </si>
  <si>
    <t>29.4</t>
  </si>
  <si>
    <t xml:space="preserve">Borda de piso fotoluminescente - autoadesivo (referência: Fita Antiderrapante Fosforescente Neon Safety-Walk 3M) - largura: 50mm </t>
  </si>
  <si>
    <t>29.5</t>
  </si>
  <si>
    <t>Alarme de emergência sem fio para sanitário de PPNE (botoeira/alarme sonoro e visual)</t>
  </si>
  <si>
    <t>CJ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</si>
  <si>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</si>
  <si>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</si>
  <si>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</si>
  <si>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</si>
  <si>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</si>
  <si>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</si>
  <si>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</si>
  <si>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</si>
  <si>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</si>
  <si>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</si>
  <si>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</si>
  <si>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</si>
  <si>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</si>
  <si>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</si>
  <si>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</si>
  <si>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</si>
  <si>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M²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</si>
  <si>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</si>
  <si>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</si>
  <si>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</si>
  <si>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</si>
  <si>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</si>
  <si>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</si>
  <si>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</si>
  <si>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</si>
  <si>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</si>
  <si>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</si>
  <si>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</si>
  <si>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</si>
  <si>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</si>
  <si>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</si>
  <si>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</si>
  <si>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</si>
  <si>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</si>
  <si>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</si>
  <si>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</si>
  <si>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</si>
  <si>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</si>
  <si>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</si>
  <si>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</si>
  <si>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</si>
  <si>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</si>
  <si>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</si>
  <si>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</si>
  <si>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</si>
  <si>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</si>
  <si>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</si>
  <si>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</si>
  <si>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</si>
  <si>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</si>
  <si>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</si>
  <si>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</si>
  <si>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</si>
  <si>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</si>
  <si>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</si>
  <si>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</si>
  <si>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</si>
  <si>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</si>
  <si>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</si>
  <si>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</si>
  <si>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</si>
  <si>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</si>
  <si>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</si>
  <si>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</si>
  <si>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</si>
  <si>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</si>
  <si>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</si>
  <si>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</si>
  <si>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</si>
  <si>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</si>
  <si>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</si>
  <si>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</si>
  <si>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</si>
  <si>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</si>
  <si>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</si>
  <si>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</si>
  <si>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</si>
  <si>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</si>
  <si>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</si>
  <si>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</si>
  <si>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</si>
  <si>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</si>
  <si>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</si>
  <si>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</si>
  <si>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</si>
  <si>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</si>
  <si>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</si>
  <si>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</si>
  <si>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</si>
  <si>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</si>
  <si>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</si>
  <si>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h</t>
  </si>
  <si>
    <t>29.51</t>
  </si>
  <si>
    <t>Manutenção Preventiva de Elementos de Sinalização LED - Padrão BB</t>
  </si>
  <si>
    <t>LIMPEZA E VERIFICAÇÃO FINAL</t>
  </si>
  <si>
    <t>TOTAL DO ORÇAMENTO COM BDI INCLUSO:</t>
  </si>
  <si>
    <t>O interessado deverá preencher os campos em amarelo de forma a obter o valor do BDI.</t>
  </si>
  <si>
    <t>O BDI pode ser alterado pela interessada. A alteração do BDI afeta o valor final da proposta. O valor do BDI deverá ser igual ao da proposta a ser apresentada.</t>
  </si>
  <si>
    <t>COMPOSIÇÃO ESTIMADA DO BDI  (DESONERADO)</t>
  </si>
  <si>
    <t>ÍNDICES BDI - Serviços, subcontratações e acionamentos de Serviços de Engenharia.</t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</si>
  <si>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</si>
  <si>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</si>
  <si>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</si>
  <si>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</si>
  <si>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</si>
  <si>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</si>
  <si>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</si>
  <si>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</si>
  <si>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</si>
  <si>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</si>
  <si>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</si>
  <si>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</si>
  <si>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</si>
  <si>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</si>
  <si>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</si>
  <si>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</si>
  <si>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MAFFENG ENGENHARIA E MANUTENCAO EIRELI</t>
  </si>
  <si>
    <t>33.624.704/0001-94</t>
  </si>
  <si>
    <t>04</t>
  </si>
  <si>
    <t>PREFIXO</t>
  </si>
  <si>
    <t>DEPENDÊNCIAS</t>
  </si>
  <si>
    <t xml:space="preserve">DISTÂNCIA EM RELAÇÃO A CIDADE BASE - IDA E VOLTA (KM) </t>
  </si>
  <si>
    <t>CIDADE</t>
  </si>
  <si>
    <t>EMPRESA POUSO ALEGRE</t>
  </si>
  <si>
    <t>POUSO ALEGRE</t>
  </si>
  <si>
    <t>EMPRESA POCOS CALDAS</t>
  </si>
  <si>
    <t>POCOS DE CALDAS</t>
  </si>
  <si>
    <t>TRES CORACOES</t>
  </si>
  <si>
    <t>VARGINHA</t>
  </si>
  <si>
    <t>GUAXUPE</t>
  </si>
  <si>
    <t>ALFENAS</t>
  </si>
  <si>
    <t>UNIFAL</t>
  </si>
  <si>
    <t>OURO FINO</t>
  </si>
  <si>
    <t>FORUM WENCESLAU BRAZ</t>
  </si>
  <si>
    <t>ITAJUBA</t>
  </si>
  <si>
    <t>EFEI - ESC.FED.ENGEN</t>
  </si>
  <si>
    <t>FORUM POCOS DE CALDA</t>
  </si>
  <si>
    <t>MACHADO</t>
  </si>
  <si>
    <t>TRES PONTAS</t>
  </si>
  <si>
    <t>ITANHANDU</t>
  </si>
  <si>
    <t>MUZAMBINHO</t>
  </si>
  <si>
    <t>ANDRADAS</t>
  </si>
  <si>
    <t>STA.RITA DO SAPUCAI</t>
  </si>
  <si>
    <t>SANTA RITA DO SAPUCAI</t>
  </si>
  <si>
    <t>INATEL</t>
  </si>
  <si>
    <t>S.GONCALO DO SAPUCAI</t>
  </si>
  <si>
    <t>SAO GONCALO DO SAPUCAI</t>
  </si>
  <si>
    <t>SAO LOURENCO</t>
  </si>
  <si>
    <t>AREADO</t>
  </si>
  <si>
    <t>BORDA DA MATA</t>
  </si>
  <si>
    <t>BOTELHOS</t>
  </si>
  <si>
    <t>BUENO BRANDAO</t>
  </si>
  <si>
    <t>CABO VERDE</t>
  </si>
  <si>
    <t>CACHOEIRA DE MINAS</t>
  </si>
  <si>
    <t>CALDAS</t>
  </si>
  <si>
    <t>CAMANDUCAIA</t>
  </si>
  <si>
    <t>CAMBUI</t>
  </si>
  <si>
    <t>CAMPANHA</t>
  </si>
  <si>
    <t>CAMPESTRE</t>
  </si>
  <si>
    <t>CONCEICAO RIO VERDE</t>
  </si>
  <si>
    <t>CONCEICAO DO RIO VERDE</t>
  </si>
  <si>
    <t>SILVIANOPOLIS</t>
  </si>
  <si>
    <t>CRISTINA</t>
  </si>
  <si>
    <t>ELOI MENDES</t>
  </si>
  <si>
    <t>ESTIVA</t>
  </si>
  <si>
    <t>EXTREMA</t>
  </si>
  <si>
    <t>JACUTINGA-MG</t>
  </si>
  <si>
    <t>JACUTINGA</t>
  </si>
  <si>
    <t>LAMBARI</t>
  </si>
  <si>
    <t>MARIA DA FE</t>
  </si>
  <si>
    <t>MONTE BELO</t>
  </si>
  <si>
    <t>NOVA RESENDE</t>
  </si>
  <si>
    <t>PARAISOPOLIS</t>
  </si>
  <si>
    <t>PASSA QUATRO</t>
  </si>
  <si>
    <t>PEDRALVA</t>
  </si>
  <si>
    <t>POCO FUNDO</t>
  </si>
  <si>
    <t>SANTA RITA DE CALDAS</t>
  </si>
  <si>
    <t>MONTE SIAO</t>
  </si>
  <si>
    <t>ITAMONTE</t>
  </si>
  <si>
    <t>MONSENHOR PAULO</t>
  </si>
  <si>
    <t>SAO SEBASTIAO DA BELA VISTA</t>
  </si>
  <si>
    <t>OLIMPIO NORONHA</t>
  </si>
  <si>
    <t>JURUAIA</t>
  </si>
  <si>
    <t>SAO PEDRO DA UNIAO</t>
  </si>
  <si>
    <t>DIVISA NOVA</t>
  </si>
  <si>
    <t>IPUIUNA</t>
  </si>
  <si>
    <t>GONCALVES</t>
  </si>
  <si>
    <t>HELIODORA</t>
  </si>
  <si>
    <t>INCONFIDENTES</t>
  </si>
  <si>
    <t>CARMO DA CACHOEIRA</t>
  </si>
  <si>
    <t>BOM REPOUSO</t>
  </si>
  <si>
    <t>RAT - RELATÓRIO DE ATENDIMENTO</t>
  </si>
  <si>
    <t>Conformidade do atendimento no local dos serviços</t>
  </si>
  <si>
    <t>Número da solicitação</t>
  </si>
  <si>
    <t>Data/hora Abertura</t>
  </si>
  <si>
    <t>Contrato de Manutenção</t>
  </si>
  <si>
    <t>Contratada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</si>
  <si>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</si>
  <si>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</si>
  <si>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</si>
  <si>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</si>
  <si>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</si>
  <si>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</si>
  <si>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</si>
  <si>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</si>
  <si>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</si>
  <si>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Informações de Contato</t>
  </si>
  <si>
    <t>Matrícula / Nome - Funcionário Solicitante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</si>
  <si>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</si>
  <si>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</si>
  <si>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</si>
  <si>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</si>
  <si>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</si>
  <si>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</si>
  <si>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</si>
  <si>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</si>
  <si>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</si>
  <si>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</si>
  <si>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t>Data / Hora Conclusão</t>
  </si>
  <si>
    <t>Valor de Materiais + Mão de Obra</t>
  </si>
  <si>
    <t>Valor Total</t>
  </si>
  <si>
    <t>+</t>
  </si>
  <si>
    <t>Observações</t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</si>
  <si>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</si>
  <si>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</si>
  <si>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</si>
  <si>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</si>
  <si>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</si>
  <si>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</si>
  <si>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</si>
  <si>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</si>
  <si>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</si>
  <si>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</si>
  <si>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</si>
  <si>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</si>
  <si>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</si>
  <si>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</si>
  <si>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</si>
  <si>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</si>
  <si>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Parecer do Responsável Técnico / Contratada</t>
  </si>
  <si>
    <t>ENGENHEIRO</t>
  </si>
  <si>
    <t>CARIMBO - NÚMERO / VISTO DO CREA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</si>
  <si>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</si>
  <si>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>EXECUÇÃO DOS SERVIÇOS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</si>
  <si>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</si>
  <si>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</si>
  <si>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</si>
  <si>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</si>
  <si>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</si>
  <si>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</si>
  <si>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</si>
  <si>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</si>
  <si>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</si>
  <si>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</si>
  <si>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</si>
  <si>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</si>
  <si>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</si>
  <si>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</si>
  <si>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</si>
  <si>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___________________________________________________</t>
  </si>
  <si>
    <t>TÉCNICO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</si>
  <si>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</si>
  <si>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</si>
  <si>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</si>
  <si>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</si>
  <si>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</si>
  <si>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</si>
  <si>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O RAT deverá ser emitido em 3 vias sendo, a 1º para a dependência beneficiada, a 2º para a empresa contratada e a 3º CESUP Suprimentos</t>
  </si>
  <si>
    <t>Endereço - Cidade</t>
  </si>
  <si>
    <t>Sr. ADMINISTRADOR PREDIAL, antes de assinar o RAT (Relatório de Atendimento), deve-se observar que:</t>
  </si>
  <si>
    <t>2024.7421.2057</t>
  </si>
  <si>
    <t>BAIRRO FOCH</t>
  </si>
  <si>
    <t xml:space="preserve">PRAÇA PEDRO SANCHES </t>
  </si>
  <si>
    <t xml:space="preserve">Relação das Dependências do Rot - Varginha </t>
  </si>
  <si>
    <t>Preventiva</t>
  </si>
  <si>
    <t>Normal</t>
  </si>
  <si>
    <t>Não</t>
  </si>
  <si>
    <t>Responsável</t>
  </si>
  <si>
    <t>F2268209 - SISTEMA</t>
  </si>
  <si>
    <t>Levantamento Preventivo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</si>
</sst>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#,##0.0000"/>
    <numFmt numFmtId="167" formatCode="0000"/>
    <numFmt numFmtId="168" formatCode="&quot;R$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8"/>
      <name val="Calibri"/>
      <family val="2"/>
      <scheme val="minor"/>
    </font>
    <font>
      <sz val="26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9">
    <xf numFmtId="0" fontId="0" fillId="0" borderId="0" xfId="0"/>
    <xf numFmtId="49" fontId="5" fillId="4" borderId="2" xfId="1" applyNumberFormat="1" applyFont="1" applyFill="1" applyBorder="1" applyAlignment="1" applyProtection="1">
      <alignment horizontal="left" vertical="center"/>
    </xf>
    <xf numFmtId="49" fontId="4" fillId="6" borderId="10" xfId="0" applyNumberFormat="1" applyFont="1" applyFill="1" applyBorder="1" applyAlignment="1">
      <alignment horizontal="left" vertical="center"/>
    </xf>
    <xf numFmtId="2" fontId="4" fillId="6" borderId="10" xfId="0" applyNumberFormat="1" applyFont="1" applyFill="1" applyBorder="1" applyAlignment="1">
      <alignment horizontal="left" vertical="center"/>
    </xf>
    <xf numFmtId="2" fontId="4" fillId="6" borderId="12" xfId="0" applyNumberFormat="1" applyFont="1" applyFill="1" applyBorder="1" applyAlignment="1">
      <alignment horizontal="center" vertical="center"/>
    </xf>
    <xf numFmtId="4" fontId="4" fillId="6" borderId="12" xfId="1" applyNumberFormat="1" applyFont="1" applyFill="1" applyBorder="1" applyAlignment="1" applyProtection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left" vertical="center" wrapText="1"/>
    </xf>
    <xf numFmtId="1" fontId="2" fillId="7" borderId="15" xfId="0" applyNumberFormat="1" applyFont="1" applyFill="1" applyBorder="1" applyAlignment="1">
      <alignment horizontal="center" vertical="center" wrapText="1"/>
    </xf>
    <xf numFmtId="2" fontId="2" fillId="7" borderId="15" xfId="0" applyNumberFormat="1" applyFont="1" applyFill="1" applyBorder="1" applyAlignment="1">
      <alignment horizontal="center" vertical="center" wrapText="1"/>
    </xf>
    <xf numFmtId="3" fontId="3" fillId="8" borderId="18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justify" vertical="center" wrapText="1"/>
    </xf>
    <xf numFmtId="1" fontId="3" fillId="2" borderId="18" xfId="0" applyNumberFormat="1" applyFont="1" applyFill="1" applyBorder="1" applyAlignment="1">
      <alignment horizontal="center" vertical="center" wrapText="1"/>
    </xf>
    <xf numFmtId="4" fontId="3" fillId="0" borderId="18" xfId="1" applyNumberFormat="1" applyFont="1" applyFill="1" applyBorder="1" applyAlignment="1" applyProtection="1">
      <alignment horizontal="center" vertical="center"/>
    </xf>
    <xf numFmtId="4" fontId="3" fillId="8" borderId="19" xfId="1" applyNumberFormat="1" applyFont="1" applyFill="1" applyBorder="1" applyAlignment="1" applyProtection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left" vertical="center" wrapText="1"/>
    </xf>
    <xf numFmtId="49" fontId="3" fillId="8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justify" vertical="center" wrapText="1"/>
    </xf>
    <xf numFmtId="0" fontId="2" fillId="7" borderId="18" xfId="3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 wrapText="1"/>
    </xf>
    <xf numFmtId="49" fontId="3" fillId="8" borderId="18" xfId="3" applyNumberFormat="1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/>
    </xf>
    <xf numFmtId="4" fontId="2" fillId="7" borderId="15" xfId="1" applyNumberFormat="1" applyFont="1" applyFill="1" applyBorder="1" applyAlignment="1" applyProtection="1">
      <alignment horizontal="center" vertical="center"/>
    </xf>
    <xf numFmtId="4" fontId="2" fillId="7" borderId="16" xfId="1" applyNumberFormat="1" applyFont="1" applyFill="1" applyBorder="1" applyAlignment="1" applyProtection="1">
      <alignment horizontal="center" vertical="center"/>
    </xf>
    <xf numFmtId="49" fontId="5" fillId="9" borderId="18" xfId="3" applyNumberFormat="1" applyFont="1" applyFill="1" applyBorder="1" applyAlignment="1">
      <alignment horizontal="left" vertical="center"/>
    </xf>
    <xf numFmtId="2" fontId="5" fillId="9" borderId="18" xfId="3" applyNumberFormat="1" applyFont="1" applyFill="1" applyBorder="1" applyAlignment="1">
      <alignment horizontal="left" vertical="center" wrapText="1"/>
    </xf>
    <xf numFmtId="1" fontId="5" fillId="9" borderId="18" xfId="3" applyNumberFormat="1" applyFont="1" applyFill="1" applyBorder="1" applyAlignment="1">
      <alignment horizontal="center" vertical="center" wrapText="1"/>
    </xf>
    <xf numFmtId="2" fontId="8" fillId="9" borderId="18" xfId="3" applyNumberFormat="1" applyFont="1" applyFill="1" applyBorder="1" applyAlignment="1">
      <alignment horizontal="center" vertical="center" wrapText="1"/>
    </xf>
    <xf numFmtId="4" fontId="5" fillId="9" borderId="18" xfId="4" applyNumberFormat="1" applyFont="1" applyFill="1" applyBorder="1" applyAlignment="1" applyProtection="1">
      <alignment horizontal="center" vertical="center"/>
    </xf>
    <xf numFmtId="4" fontId="9" fillId="9" borderId="18" xfId="4" applyNumberFormat="1" applyFont="1" applyFill="1" applyBorder="1" applyAlignment="1" applyProtection="1">
      <alignment horizontal="center" vertical="center"/>
    </xf>
    <xf numFmtId="49" fontId="5" fillId="3" borderId="0" xfId="1" applyNumberFormat="1" applyFont="1" applyFill="1" applyBorder="1" applyAlignment="1" applyProtection="1">
      <alignment horizontal="left" vertical="center"/>
    </xf>
    <xf numFmtId="49" fontId="5" fillId="10" borderId="7" xfId="1" applyNumberFormat="1" applyFont="1" applyFill="1" applyBorder="1" applyAlignment="1" applyProtection="1">
      <alignment horizontal="left" vertical="center"/>
      <protection locked="0"/>
    </xf>
    <xf numFmtId="49" fontId="5" fillId="3" borderId="7" xfId="1" applyNumberFormat="1" applyFont="1" applyFill="1" applyBorder="1" applyAlignment="1" applyProtection="1">
      <alignment horizontal="left" vertical="center"/>
    </xf>
    <xf numFmtId="49" fontId="3" fillId="2" borderId="0" xfId="1" applyNumberFormat="1" applyFont="1" applyFill="1" applyBorder="1" applyAlignment="1" applyProtection="1">
      <alignment horizontal="left" vertical="center"/>
    </xf>
    <xf numFmtId="10" fontId="6" fillId="5" borderId="0" xfId="2" applyNumberFormat="1" applyFont="1" applyFill="1" applyBorder="1" applyAlignment="1" applyProtection="1">
      <alignment horizontal="left" vertical="center" wrapText="1"/>
    </xf>
    <xf numFmtId="164" fontId="3" fillId="5" borderId="0" xfId="1" applyNumberFormat="1" applyFont="1" applyFill="1" applyBorder="1" applyAlignment="1" applyProtection="1">
      <alignment horizontal="right" vertical="center" wrapText="1"/>
    </xf>
    <xf numFmtId="4" fontId="3" fillId="5" borderId="0" xfId="1" applyNumberFormat="1" applyFont="1" applyFill="1" applyBorder="1" applyAlignment="1" applyProtection="1">
      <alignment horizontal="center" vertical="center" wrapText="1"/>
    </xf>
    <xf numFmtId="4" fontId="3" fillId="5" borderId="0" xfId="1" applyNumberFormat="1" applyFont="1" applyFill="1" applyBorder="1" applyAlignment="1" applyProtection="1">
      <alignment horizontal="right" vertical="center"/>
    </xf>
    <xf numFmtId="1" fontId="4" fillId="6" borderId="11" xfId="0" applyNumberFormat="1" applyFont="1" applyFill="1" applyBorder="1" applyAlignment="1">
      <alignment horizontal="center" vertical="center"/>
    </xf>
    <xf numFmtId="4" fontId="4" fillId="6" borderId="13" xfId="1" applyNumberFormat="1" applyFont="1" applyFill="1" applyBorder="1" applyAlignment="1" applyProtection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2" fillId="7" borderId="18" xfId="1" applyNumberFormat="1" applyFont="1" applyFill="1" applyBorder="1" applyAlignment="1" applyProtection="1">
      <alignment horizontal="center" vertical="center"/>
    </xf>
    <xf numFmtId="4" fontId="2" fillId="7" borderId="19" xfId="1" applyNumberFormat="1" applyFont="1" applyFill="1" applyBorder="1" applyAlignment="1" applyProtection="1">
      <alignment horizontal="center" vertical="center"/>
    </xf>
    <xf numFmtId="4" fontId="3" fillId="0" borderId="18" xfId="0" applyNumberFormat="1" applyFont="1" applyBorder="1" applyAlignment="1">
      <alignment horizontal="left" vertical="center" wrapText="1"/>
    </xf>
    <xf numFmtId="2" fontId="4" fillId="6" borderId="1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" fontId="4" fillId="3" borderId="7" xfId="1" applyNumberFormat="1" applyFont="1" applyFill="1" applyBorder="1" applyAlignment="1" applyProtection="1">
      <alignment horizontal="right" vertical="center"/>
    </xf>
    <xf numFmtId="10" fontId="4" fillId="3" borderId="8" xfId="2" applyNumberFormat="1" applyFont="1" applyFill="1" applyBorder="1" applyAlignment="1" applyProtection="1">
      <alignment horizontal="center" vertical="center"/>
    </xf>
    <xf numFmtId="4" fontId="10" fillId="0" borderId="0" xfId="0" applyNumberFormat="1" applyFont="1" applyAlignment="1">
      <alignment vertical="center" wrapText="1"/>
    </xf>
    <xf numFmtId="2" fontId="5" fillId="3" borderId="0" xfId="1" applyNumberFormat="1" applyFont="1" applyFill="1" applyBorder="1" applyAlignment="1" applyProtection="1">
      <alignment vertical="center"/>
    </xf>
    <xf numFmtId="2" fontId="5" fillId="3" borderId="5" xfId="1" applyNumberFormat="1" applyFont="1" applyFill="1" applyBorder="1" applyAlignment="1" applyProtection="1">
      <alignment vertical="center"/>
    </xf>
    <xf numFmtId="2" fontId="5" fillId="3" borderId="0" xfId="1" applyNumberFormat="1" applyFont="1" applyFill="1" applyBorder="1" applyAlignment="1" applyProtection="1">
      <alignment horizontal="righ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4" fontId="2" fillId="0" borderId="0" xfId="1" applyNumberFormat="1" applyFont="1" applyFill="1" applyBorder="1" applyAlignment="1" applyProtection="1">
      <alignment horizontal="center" vertical="center"/>
      <protection locked="0"/>
    </xf>
    <xf numFmtId="4" fontId="3" fillId="0" borderId="0" xfId="1" applyNumberFormat="1" applyFont="1" applyFill="1" applyBorder="1" applyAlignment="1" applyProtection="1">
      <alignment horizontal="center" vertical="center"/>
      <protection locked="0"/>
    </xf>
    <xf numFmtId="2" fontId="8" fillId="0" borderId="0" xfId="3" applyNumberFormat="1" applyFont="1" applyAlignment="1">
      <alignment horizontal="center" vertical="center" wrapText="1"/>
    </xf>
    <xf numFmtId="4" fontId="3" fillId="7" borderId="1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49" fontId="3" fillId="3" borderId="7" xfId="1" applyNumberFormat="1" applyFont="1" applyFill="1" applyBorder="1" applyAlignment="1" applyProtection="1">
      <alignment horizontal="right" vertical="center"/>
    </xf>
    <xf numFmtId="49" fontId="5" fillId="10" borderId="0" xfId="1" applyNumberFormat="1" applyFont="1" applyFill="1" applyBorder="1" applyAlignment="1" applyProtection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10" fontId="0" fillId="10" borderId="16" xfId="0" applyNumberFormat="1" applyFill="1" applyBorder="1" applyAlignment="1">
      <alignment horizontal="center" vertical="center"/>
    </xf>
    <xf numFmtId="0" fontId="0" fillId="2" borderId="17" xfId="0" applyFill="1" applyBorder="1"/>
    <xf numFmtId="10" fontId="0" fillId="10" borderId="19" xfId="0" applyNumberFormat="1" applyFill="1" applyBorder="1" applyAlignment="1">
      <alignment horizontal="center" vertical="center"/>
    </xf>
    <xf numFmtId="0" fontId="0" fillId="2" borderId="20" xfId="0" applyFill="1" applyBorder="1"/>
    <xf numFmtId="10" fontId="3" fillId="10" borderId="21" xfId="0" applyNumberFormat="1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10" fontId="10" fillId="12" borderId="13" xfId="5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8" xfId="0" applyBorder="1"/>
    <xf numFmtId="0" fontId="0" fillId="7" borderId="18" xfId="0" applyFill="1" applyBorder="1"/>
    <xf numFmtId="1" fontId="3" fillId="7" borderId="18" xfId="0" applyNumberFormat="1" applyFont="1" applyFill="1" applyBorder="1" applyAlignment="1">
      <alignment horizontal="center" vertical="center" wrapText="1"/>
    </xf>
    <xf numFmtId="0" fontId="0" fillId="7" borderId="15" xfId="0" applyFill="1" applyBorder="1"/>
    <xf numFmtId="166" fontId="3" fillId="0" borderId="18" xfId="1" applyNumberFormat="1" applyFont="1" applyFill="1" applyBorder="1" applyAlignment="1" applyProtection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10" fontId="13" fillId="13" borderId="18" xfId="2" applyNumberFormat="1" applyFont="1" applyFill="1" applyBorder="1" applyAlignment="1" applyProtection="1">
      <alignment horizontal="center" vertical="center"/>
    </xf>
    <xf numFmtId="0" fontId="13" fillId="12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/>
    </xf>
    <xf numFmtId="1" fontId="4" fillId="3" borderId="7" xfId="1" applyNumberFormat="1" applyFont="1" applyFill="1" applyBorder="1" applyAlignment="1" applyProtection="1">
      <alignment horizontal="center" vertical="center" wrapText="1"/>
    </xf>
    <xf numFmtId="10" fontId="10" fillId="10" borderId="18" xfId="2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4" fontId="4" fillId="6" borderId="23" xfId="1" applyNumberFormat="1" applyFont="1" applyFill="1" applyBorder="1" applyAlignment="1" applyProtection="1">
      <alignment horizontal="center" vertical="center" wrapText="1"/>
    </xf>
    <xf numFmtId="9" fontId="0" fillId="0" borderId="18" xfId="2" applyFont="1" applyBorder="1" applyProtection="1"/>
    <xf numFmtId="10" fontId="0" fillId="0" borderId="18" xfId="2" applyNumberFormat="1" applyFont="1" applyBorder="1" applyProtection="1"/>
    <xf numFmtId="0" fontId="10" fillId="0" borderId="0" xfId="0" applyFont="1"/>
    <xf numFmtId="9" fontId="0" fillId="0" borderId="0" xfId="2" applyFont="1" applyProtection="1"/>
    <xf numFmtId="10" fontId="0" fillId="0" borderId="0" xfId="0" applyNumberFormat="1"/>
    <xf numFmtId="10" fontId="13" fillId="14" borderId="18" xfId="0" applyNumberFormat="1" applyFont="1" applyFill="1" applyBorder="1" applyAlignment="1">
      <alignment horizontal="center" vertical="center" wrapText="1"/>
    </xf>
    <xf numFmtId="43" fontId="0" fillId="0" borderId="18" xfId="1" applyFont="1" applyFill="1" applyBorder="1" applyProtection="1"/>
    <xf numFmtId="0" fontId="18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11" fillId="0" borderId="18" xfId="0" applyNumberFormat="1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>
      <alignment horizontal="center" vertical="center"/>
    </xf>
    <xf numFmtId="168" fontId="22" fillId="0" borderId="18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29" xfId="0" applyFont="1" applyBorder="1" applyAlignment="1">
      <alignment vertical="center"/>
    </xf>
    <xf numFmtId="0" fontId="10" fillId="12" borderId="35" xfId="0" applyFont="1" applyFill="1" applyBorder="1" applyAlignment="1">
      <alignment horizontal="center" vertical="center"/>
    </xf>
    <xf numFmtId="0" fontId="10" fillId="12" borderId="26" xfId="0" applyFont="1" applyFill="1" applyBorder="1" applyAlignment="1">
      <alignment horizontal="center" vertical="center"/>
    </xf>
    <xf numFmtId="1" fontId="17" fillId="0" borderId="33" xfId="0" applyNumberFormat="1" applyFont="1" applyBorder="1" applyAlignment="1">
      <alignment horizontal="center" vertical="center" shrinkToFit="1"/>
    </xf>
    <xf numFmtId="167" fontId="17" fillId="0" borderId="33" xfId="0" applyNumberFormat="1" applyFont="1" applyBorder="1" applyAlignment="1">
      <alignment horizontal="center" vertical="center" shrinkToFit="1"/>
    </xf>
    <xf numFmtId="0" fontId="18" fillId="0" borderId="34" xfId="0" applyFont="1" applyBorder="1" applyAlignment="1">
      <alignment horizontal="center" vertical="center"/>
    </xf>
    <xf numFmtId="0" fontId="0" fillId="15" borderId="32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15" borderId="30" xfId="0" applyFill="1" applyBorder="1" applyAlignment="1">
      <alignment horizontal="center" vertical="center"/>
    </xf>
    <xf numFmtId="0" fontId="10" fillId="0" borderId="26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12" borderId="17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3" fontId="11" fillId="0" borderId="17" xfId="0" applyNumberFormat="1" applyFont="1" applyBorder="1" applyAlignment="1" applyProtection="1">
      <alignment horizontal="center" vertical="center"/>
      <protection locked="0"/>
    </xf>
    <xf numFmtId="2" fontId="11" fillId="0" borderId="19" xfId="0" applyNumberFormat="1" applyFont="1" applyBorder="1" applyAlignment="1">
      <alignment horizontal="center" vertical="center"/>
    </xf>
    <xf numFmtId="0" fontId="10" fillId="0" borderId="3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vertical="center"/>
    </xf>
    <xf numFmtId="0" fontId="10" fillId="0" borderId="41" xfId="0" applyFont="1" applyBorder="1" applyAlignment="1">
      <alignment horizontal="center"/>
    </xf>
    <xf numFmtId="0" fontId="10" fillId="12" borderId="43" xfId="0" applyFont="1" applyFill="1" applyBorder="1" applyAlignment="1">
      <alignment horizontal="center" vertical="center"/>
    </xf>
    <xf numFmtId="0" fontId="10" fillId="12" borderId="39" xfId="0" applyFont="1" applyFill="1" applyBorder="1" applyAlignment="1">
      <alignment horizontal="center"/>
    </xf>
    <xf numFmtId="0" fontId="11" fillId="0" borderId="17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left"/>
    </xf>
    <xf numFmtId="0" fontId="11" fillId="0" borderId="17" xfId="0" applyFont="1" applyBorder="1" applyAlignment="1">
      <alignment horizontal="center" vertical="center"/>
    </xf>
    <xf numFmtId="0" fontId="10" fillId="0" borderId="30" xfId="0" applyFont="1" applyBorder="1"/>
    <xf numFmtId="0" fontId="10" fillId="0" borderId="25" xfId="0" applyFont="1" applyBorder="1"/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 applyProtection="1">
      <alignment horizontal="center" vertical="center"/>
      <protection locked="0"/>
    </xf>
    <xf numFmtId="0" fontId="22" fillId="0" borderId="24" xfId="0" applyFont="1" applyBorder="1" applyAlignment="1" applyProtection="1">
      <alignment horizontal="center" vertical="center"/>
      <protection locked="0"/>
    </xf>
    <xf numFmtId="14" fontId="11" fillId="0" borderId="18" xfId="0" applyNumberFormat="1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12" borderId="17" xfId="0" applyFont="1" applyFill="1" applyBorder="1" applyAlignment="1">
      <alignment horizontal="left" vertical="center"/>
    </xf>
    <xf numFmtId="0" fontId="11" fillId="12" borderId="18" xfId="0" applyFont="1" applyFill="1" applyBorder="1" applyAlignment="1">
      <alignment horizontal="left" vertical="center"/>
    </xf>
    <xf numFmtId="0" fontId="11" fillId="12" borderId="19" xfId="0" applyFont="1" applyFill="1" applyBorder="1" applyAlignment="1">
      <alignment horizontal="left" vertical="center"/>
    </xf>
    <xf numFmtId="0" fontId="11" fillId="12" borderId="39" xfId="0" applyFont="1" applyFill="1" applyBorder="1" applyAlignment="1">
      <alignment horizontal="left"/>
    </xf>
    <xf numFmtId="0" fontId="11" fillId="12" borderId="27" xfId="0" applyFont="1" applyFill="1" applyBorder="1" applyAlignment="1">
      <alignment horizontal="left"/>
    </xf>
    <xf numFmtId="0" fontId="11" fillId="12" borderId="33" xfId="0" applyFont="1" applyFill="1" applyBorder="1" applyAlignment="1">
      <alignment horizontal="left" vertical="center"/>
    </xf>
    <xf numFmtId="0" fontId="11" fillId="12" borderId="34" xfId="0" applyFont="1" applyFill="1" applyBorder="1" applyAlignment="1">
      <alignment horizontal="left" vertical="center"/>
    </xf>
    <xf numFmtId="0" fontId="11" fillId="12" borderId="25" xfId="0" applyFont="1" applyFill="1" applyBorder="1" applyAlignment="1">
      <alignment horizontal="left" vertical="center"/>
    </xf>
    <xf numFmtId="0" fontId="11" fillId="12" borderId="26" xfId="0" applyFont="1" applyFill="1" applyBorder="1" applyAlignment="1">
      <alignment horizontal="left" vertical="center"/>
    </xf>
    <xf numFmtId="0" fontId="11" fillId="12" borderId="27" xfId="0" applyFont="1" applyFill="1" applyBorder="1" applyAlignment="1">
      <alignment horizontal="left" vertical="center"/>
    </xf>
    <xf numFmtId="0" fontId="11" fillId="12" borderId="25" xfId="0" applyFont="1" applyFill="1" applyBorder="1" applyAlignment="1">
      <alignment horizontal="left"/>
    </xf>
    <xf numFmtId="0" fontId="11" fillId="12" borderId="26" xfId="0" applyFont="1" applyFill="1" applyBorder="1" applyAlignment="1">
      <alignment horizontal="left"/>
    </xf>
    <xf numFmtId="0" fontId="11" fillId="12" borderId="40" xfId="0" applyFont="1" applyFill="1" applyBorder="1" applyAlignment="1">
      <alignment horizontal="left"/>
    </xf>
    <xf numFmtId="0" fontId="11" fillId="12" borderId="41" xfId="0" applyFont="1" applyFill="1" applyBorder="1" applyAlignment="1">
      <alignment horizontal="left"/>
    </xf>
    <xf numFmtId="0" fontId="11" fillId="12" borderId="32" xfId="0" applyFont="1" applyFill="1" applyBorder="1" applyAlignment="1">
      <alignment horizontal="left"/>
    </xf>
    <xf numFmtId="0" fontId="11" fillId="12" borderId="30" xfId="0" applyFont="1" applyFill="1" applyBorder="1" applyAlignment="1">
      <alignment horizontal="left" vertical="center"/>
    </xf>
    <xf numFmtId="0" fontId="11" fillId="12" borderId="31" xfId="0" applyFont="1" applyFill="1" applyBorder="1" applyAlignment="1">
      <alignment horizontal="left" vertical="center"/>
    </xf>
    <xf numFmtId="0" fontId="11" fillId="12" borderId="32" xfId="0" applyFont="1" applyFill="1" applyBorder="1" applyAlignment="1">
      <alignment horizontal="left" vertical="center"/>
    </xf>
    <xf numFmtId="0" fontId="11" fillId="12" borderId="30" xfId="0" applyFont="1" applyFill="1" applyBorder="1" applyAlignment="1">
      <alignment horizontal="left"/>
    </xf>
    <xf numFmtId="0" fontId="11" fillId="12" borderId="31" xfId="0" applyFont="1" applyFill="1" applyBorder="1" applyAlignment="1">
      <alignment horizontal="left"/>
    </xf>
    <xf numFmtId="0" fontId="11" fillId="12" borderId="42" xfId="0" applyFont="1" applyFill="1" applyBorder="1" applyAlignment="1">
      <alignment horizontal="left"/>
    </xf>
    <xf numFmtId="0" fontId="11" fillId="0" borderId="14" xfId="0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center" vertical="center"/>
      <protection locked="0"/>
    </xf>
    <xf numFmtId="0" fontId="11" fillId="0" borderId="43" xfId="0" applyFont="1" applyBorder="1" applyAlignment="1" applyProtection="1">
      <alignment horizontal="left" vertical="center"/>
      <protection locked="0"/>
    </xf>
    <xf numFmtId="0" fontId="11" fillId="0" borderId="35" xfId="0" applyFont="1" applyBorder="1" applyAlignment="1" applyProtection="1">
      <alignment horizontal="left" vertical="center"/>
      <protection locked="0"/>
    </xf>
    <xf numFmtId="0" fontId="11" fillId="0" borderId="33" xfId="0" applyFont="1" applyBorder="1" applyAlignment="1" applyProtection="1">
      <alignment horizontal="left" vertical="center"/>
      <protection locked="0"/>
    </xf>
    <xf numFmtId="0" fontId="11" fillId="0" borderId="34" xfId="0" applyFont="1" applyBorder="1" applyAlignment="1" applyProtection="1">
      <alignment horizontal="left" vertical="center"/>
      <protection locked="0"/>
    </xf>
    <xf numFmtId="0" fontId="11" fillId="0" borderId="44" xfId="0" applyFont="1" applyBorder="1" applyAlignment="1" applyProtection="1">
      <alignment horizontal="left" vertical="center"/>
      <protection locked="0"/>
    </xf>
    <xf numFmtId="0" fontId="11" fillId="0" borderId="16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left" vertical="center"/>
    </xf>
    <xf numFmtId="0" fontId="10" fillId="12" borderId="18" xfId="0" applyFont="1" applyFill="1" applyBorder="1" applyAlignment="1">
      <alignment horizontal="left" vertical="center"/>
    </xf>
    <xf numFmtId="0" fontId="10" fillId="12" borderId="19" xfId="0" applyFont="1" applyFill="1" applyBorder="1" applyAlignment="1">
      <alignment horizontal="left" vertical="center"/>
    </xf>
    <xf numFmtId="0" fontId="9" fillId="12" borderId="43" xfId="0" applyFont="1" applyFill="1" applyBorder="1" applyAlignment="1">
      <alignment horizontal="center" vertical="center"/>
    </xf>
    <xf numFmtId="0" fontId="9" fillId="12" borderId="35" xfId="0" applyFont="1" applyFill="1" applyBorder="1" applyAlignment="1">
      <alignment horizontal="center" vertical="center"/>
    </xf>
    <xf numFmtId="0" fontId="9" fillId="12" borderId="44" xfId="0" applyFont="1" applyFill="1" applyBorder="1" applyAlignment="1">
      <alignment horizontal="center" vertical="center"/>
    </xf>
    <xf numFmtId="0" fontId="10" fillId="12" borderId="43" xfId="0" applyFont="1" applyFill="1" applyBorder="1" applyAlignment="1">
      <alignment horizontal="center" vertical="center"/>
    </xf>
    <xf numFmtId="0" fontId="10" fillId="12" borderId="35" xfId="0" applyFont="1" applyFill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0" fontId="10" fillId="12" borderId="34" xfId="0" applyFont="1" applyFill="1" applyBorder="1" applyAlignment="1">
      <alignment horizontal="center" vertical="center" wrapText="1"/>
    </xf>
    <xf numFmtId="0" fontId="10" fillId="12" borderId="35" xfId="0" applyFont="1" applyFill="1" applyBorder="1" applyAlignment="1">
      <alignment horizontal="center" vertical="center" wrapText="1"/>
    </xf>
    <xf numFmtId="0" fontId="10" fillId="12" borderId="33" xfId="0" applyFont="1" applyFill="1" applyBorder="1" applyAlignment="1">
      <alignment horizontal="center" vertical="center" wrapText="1"/>
    </xf>
    <xf numFmtId="0" fontId="10" fillId="12" borderId="44" xfId="0" applyFont="1" applyFill="1" applyBorder="1" applyAlignment="1">
      <alignment horizontal="center" vertical="center" wrapText="1"/>
    </xf>
    <xf numFmtId="0" fontId="20" fillId="0" borderId="43" xfId="0" applyFont="1" applyBorder="1" applyAlignment="1">
      <alignment horizontal="justify" vertical="center" wrapText="1"/>
    </xf>
    <xf numFmtId="0" fontId="20" fillId="0" borderId="35" xfId="0" applyFont="1" applyBorder="1" applyAlignment="1">
      <alignment horizontal="justify" vertical="center" wrapText="1"/>
    </xf>
    <xf numFmtId="0" fontId="20" fillId="0" borderId="44" xfId="0" applyFont="1" applyBorder="1" applyAlignment="1">
      <alignment horizontal="justify" vertical="center" wrapText="1"/>
    </xf>
    <xf numFmtId="0" fontId="9" fillId="12" borderId="17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68" fontId="22" fillId="0" borderId="18" xfId="0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10" fillId="12" borderId="17" xfId="0" applyFont="1" applyFill="1" applyBorder="1" applyAlignment="1">
      <alignment horizontal="left"/>
    </xf>
    <xf numFmtId="0" fontId="10" fillId="12" borderId="18" xfId="0" applyFont="1" applyFill="1" applyBorder="1" applyAlignment="1">
      <alignment horizontal="left"/>
    </xf>
    <xf numFmtId="0" fontId="10" fillId="12" borderId="19" xfId="0" applyFont="1" applyFill="1" applyBorder="1" applyAlignment="1">
      <alignment horizontal="left"/>
    </xf>
    <xf numFmtId="0" fontId="10" fillId="0" borderId="39" xfId="0" applyFont="1" applyBorder="1" applyAlignment="1" applyProtection="1">
      <alignment horizontal="left" vertical="center"/>
      <protection locked="0"/>
    </xf>
    <xf numFmtId="0" fontId="10" fillId="0" borderId="26" xfId="0" applyFont="1" applyBorder="1" applyAlignment="1" applyProtection="1">
      <alignment horizontal="left" vertical="center"/>
      <protection locked="0"/>
    </xf>
    <xf numFmtId="0" fontId="10" fillId="0" borderId="40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10" fillId="0" borderId="41" xfId="0" applyFont="1" applyBorder="1" applyAlignment="1" applyProtection="1">
      <alignment horizontal="left" vertical="center"/>
      <protection locked="0"/>
    </xf>
    <xf numFmtId="0" fontId="10" fillId="0" borderId="31" xfId="0" applyFont="1" applyBorder="1" applyAlignment="1" applyProtection="1">
      <alignment horizontal="left" vertical="center"/>
      <protection locked="0"/>
    </xf>
    <xf numFmtId="0" fontId="10" fillId="0" borderId="42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43" xfId="0" applyFont="1" applyBorder="1" applyAlignment="1" applyProtection="1">
      <alignment horizontal="left" vertical="center"/>
      <protection locked="0"/>
    </xf>
    <xf numFmtId="0" fontId="10" fillId="0" borderId="35" xfId="0" applyFont="1" applyBorder="1" applyAlignment="1" applyProtection="1">
      <alignment horizontal="left" vertical="center"/>
      <protection locked="0"/>
    </xf>
    <xf numFmtId="0" fontId="10" fillId="0" borderId="33" xfId="0" applyFont="1" applyBorder="1" applyAlignment="1" applyProtection="1">
      <alignment horizontal="left" vertic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19" xfId="0" applyFont="1" applyBorder="1" applyAlignment="1" applyProtection="1">
      <alignment horizontal="center"/>
      <protection locked="0"/>
    </xf>
    <xf numFmtId="0" fontId="10" fillId="0" borderId="27" xfId="0" applyFont="1" applyBorder="1" applyAlignment="1" applyProtection="1">
      <alignment horizontal="left" vertical="center"/>
      <protection locked="0"/>
    </xf>
    <xf numFmtId="14" fontId="10" fillId="0" borderId="25" xfId="0" applyNumberFormat="1" applyFont="1" applyBorder="1" applyAlignment="1" applyProtection="1">
      <alignment horizontal="center" vertical="center"/>
      <protection locked="0"/>
    </xf>
    <xf numFmtId="14" fontId="10" fillId="0" borderId="27" xfId="0" applyNumberFormat="1" applyFont="1" applyBorder="1" applyAlignment="1" applyProtection="1">
      <alignment horizontal="center" vertical="center"/>
      <protection locked="0"/>
    </xf>
    <xf numFmtId="14" fontId="10" fillId="0" borderId="30" xfId="0" applyNumberFormat="1" applyFont="1" applyBorder="1" applyAlignment="1" applyProtection="1">
      <alignment horizontal="center" vertical="center"/>
      <protection locked="0"/>
    </xf>
    <xf numFmtId="14" fontId="10" fillId="0" borderId="32" xfId="0" applyNumberFormat="1" applyFont="1" applyBorder="1" applyAlignment="1" applyProtection="1">
      <alignment horizontal="center" vertical="center"/>
      <protection locked="0"/>
    </xf>
    <xf numFmtId="14" fontId="10" fillId="0" borderId="26" xfId="0" applyNumberFormat="1" applyFont="1" applyBorder="1" applyAlignment="1" applyProtection="1">
      <alignment horizontal="center" vertical="center"/>
      <protection locked="0"/>
    </xf>
    <xf numFmtId="14" fontId="10" fillId="0" borderId="31" xfId="0" applyNumberFormat="1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39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49" fontId="11" fillId="0" borderId="18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12" borderId="17" xfId="0" applyFont="1" applyFill="1" applyBorder="1" applyAlignment="1">
      <alignment horizontal="left"/>
    </xf>
    <xf numFmtId="0" fontId="11" fillId="12" borderId="18" xfId="0" applyFont="1" applyFill="1" applyBorder="1" applyAlignment="1">
      <alignment horizontal="left"/>
    </xf>
    <xf numFmtId="0" fontId="11" fillId="12" borderId="19" xfId="0" applyFont="1" applyFill="1" applyBorder="1" applyAlignment="1">
      <alignment horizontal="left"/>
    </xf>
    <xf numFmtId="0" fontId="11" fillId="0" borderId="17" xfId="0" applyFont="1" applyBorder="1" applyAlignment="1">
      <alignment horizontal="center" vertical="center"/>
    </xf>
    <xf numFmtId="0" fontId="9" fillId="12" borderId="17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10" fillId="0" borderId="17" xfId="0" applyFont="1" applyBorder="1" applyAlignment="1" applyProtection="1">
      <alignment horizontal="center"/>
      <protection locked="0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20" fillId="0" borderId="17" xfId="0" applyFont="1" applyBorder="1" applyAlignment="1">
      <alignment horizontal="justify"/>
    </xf>
    <xf numFmtId="0" fontId="20" fillId="0" borderId="18" xfId="0" applyFont="1" applyBorder="1" applyAlignment="1">
      <alignment horizontal="justify"/>
    </xf>
    <xf numFmtId="0" fontId="20" fillId="0" borderId="19" xfId="0" applyFont="1" applyBorder="1" applyAlignment="1">
      <alignment horizontal="justify"/>
    </xf>
    <xf numFmtId="0" fontId="10" fillId="12" borderId="18" xfId="0" applyFont="1" applyFill="1" applyBorder="1" applyAlignment="1">
      <alignment horizontal="center" vertical="center" wrapText="1"/>
    </xf>
    <xf numFmtId="0" fontId="10" fillId="12" borderId="19" xfId="0" applyFont="1" applyFill="1" applyBorder="1" applyAlignment="1">
      <alignment horizontal="center" vertical="center" wrapText="1"/>
    </xf>
    <xf numFmtId="0" fontId="10" fillId="16" borderId="17" xfId="0" applyFont="1" applyFill="1" applyBorder="1" applyAlignment="1">
      <alignment horizontal="left"/>
    </xf>
    <xf numFmtId="0" fontId="10" fillId="16" borderId="18" xfId="0" applyFont="1" applyFill="1" applyBorder="1" applyAlignment="1">
      <alignment horizontal="left"/>
    </xf>
    <xf numFmtId="0" fontId="10" fillId="16" borderId="19" xfId="0" applyFont="1" applyFill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10" fillId="0" borderId="39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20" fillId="0" borderId="20" xfId="0" applyFont="1" applyBorder="1" applyAlignment="1">
      <alignment horizontal="justify"/>
    </xf>
    <xf numFmtId="0" fontId="20" fillId="0" borderId="24" xfId="0" applyFont="1" applyBorder="1" applyAlignment="1">
      <alignment horizontal="justify"/>
    </xf>
    <xf numFmtId="0" fontId="20" fillId="0" borderId="21" xfId="0" applyFont="1" applyBorder="1" applyAlignment="1">
      <alignment horizontal="justify"/>
    </xf>
    <xf numFmtId="0" fontId="10" fillId="0" borderId="5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12" borderId="14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4" fontId="4" fillId="12" borderId="18" xfId="0" applyNumberFormat="1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4" fontId="4" fillId="10" borderId="18" xfId="0" applyNumberFormat="1" applyFont="1" applyFill="1" applyBorder="1" applyAlignment="1">
      <alignment horizontal="center" vertical="center" wrapText="1"/>
    </xf>
    <xf numFmtId="1" fontId="5" fillId="4" borderId="2" xfId="1" applyNumberFormat="1" applyFont="1" applyFill="1" applyBorder="1" applyAlignment="1" applyProtection="1">
      <alignment horizontal="center" vertical="center"/>
    </xf>
    <xf numFmtId="1" fontId="5" fillId="4" borderId="3" xfId="1" applyNumberFormat="1" applyFont="1" applyFill="1" applyBorder="1" applyAlignment="1" applyProtection="1">
      <alignment horizontal="center" vertical="center"/>
    </xf>
    <xf numFmtId="4" fontId="3" fillId="10" borderId="7" xfId="1" applyNumberFormat="1" applyFont="1" applyFill="1" applyBorder="1" applyAlignment="1" applyProtection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6" fillId="1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top" wrapText="1"/>
    </xf>
    <xf numFmtId="0" fontId="0" fillId="2" borderId="3" xfId="0" applyFill="1" applyBorder="1" applyAlignment="1">
      <alignment horizontal="justify" vertical="top" wrapText="1"/>
    </xf>
    <xf numFmtId="0" fontId="0" fillId="3" borderId="1" xfId="0" applyFill="1" applyBorder="1" applyAlignment="1">
      <alignment horizontal="justify" vertical="top" wrapText="1"/>
    </xf>
    <xf numFmtId="0" fontId="0" fillId="3" borderId="3" xfId="0" applyFill="1" applyBorder="1" applyAlignment="1">
      <alignment horizontal="justify" vertical="top" wrapText="1"/>
    </xf>
    <xf numFmtId="0" fontId="0" fillId="3" borderId="6" xfId="0" applyFill="1" applyBorder="1" applyAlignment="1">
      <alignment horizontal="justify" vertical="top" wrapText="1"/>
    </xf>
    <xf numFmtId="0" fontId="0" fillId="3" borderId="8" xfId="0" applyFill="1" applyBorder="1" applyAlignment="1">
      <alignment horizontal="justify" vertical="top" wrapText="1"/>
    </xf>
    <xf numFmtId="0" fontId="6" fillId="10" borderId="18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Porcentagem" xfId="2" builtinId="5"/>
    <cellStyle name="Porcentagem 2 3" xfId="5" xr:uid="{00000000-0005-0000-0000-000003000000}"/>
    <cellStyle name="Vírgula" xfId="1" builtinId="3"/>
    <cellStyle name="Vírgula 2 2" xfId="4" xr:uid="{00000000-0005-0000-0000-000005000000}"/>
  </cellStyles>
  <dxfs count="12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1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354330</xdr:colOff>
      <xdr:row>43</xdr:row>
      <xdr:rowOff>12519</xdr:rowOff>
    </xdr:from>
    <xdr:to>
      <xdr:col>16</xdr:col>
      <xdr:colOff>1736974</xdr:colOff>
      <xdr:row>48</xdr:row>
      <xdr:rowOff>84731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10A44D1-E872-1922-3824-4AFC3966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009" y="15660733"/>
          <a:ext cx="3137965" cy="1392105"/>
        </a:xfrm>
        <a:prstGeom prst="rect">
          <a:avLst/>
        </a:prstGeom>
      </xdr:spPr>
    </xdr:pic>
    <xdr:clientData/>
  </xdr:twoCellAnchor>
  <xdr:twoCellAnchor editAs="oneCell">
    <xdr:from>
      <xdr:col>1</xdr:col>
      <xdr:colOff>175751</xdr:colOff>
      <xdr:row>37</xdr:row>
      <xdr:rowOff>130628</xdr:rowOff>
    </xdr:from>
    <xdr:to>
      <xdr:col>6</xdr:col>
      <xdr:colOff>168728</xdr:colOff>
      <xdr:row>47</xdr:row>
      <xdr:rowOff>206828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8CAA507-2137-579B-6D46-646CAE0A4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37" y="14042571"/>
          <a:ext cx="3955377" cy="2786743"/>
        </a:xfrm>
        <a:prstGeom prst="rect">
          <a:avLst/>
        </a:prstGeom>
      </xdr:spPr>
    </xdr:pic>
    <xdr:clientData/>
  </xdr:twoCellAnchor>
  <xdr:twoCellAnchor editAs="oneCell">
    <xdr:from>
      <xdr:col>10</xdr:col>
      <xdr:colOff>581025</xdr:colOff>
      <xdr:row>37</xdr:row>
      <xdr:rowOff>139881</xdr:rowOff>
    </xdr:from>
    <xdr:to>
      <xdr:col>17</xdr:col>
      <xdr:colOff>212179</xdr:colOff>
      <xdr:row>45</xdr:row>
      <xdr:rowOff>67305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87397DC-09B3-C024-CE91-E92306343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6632" y="14032774"/>
          <a:ext cx="3128190" cy="20365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35</xdr:row>
      <xdr:rowOff>85725</xdr:rowOff>
    </xdr:from>
    <xdr:to>
      <xdr:col>6</xdr:col>
      <xdr:colOff>790575</xdr:colOff>
      <xdr:row>44</xdr:row>
      <xdr:rowOff>175130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90050E7-9DD1-4505-BDD8-C8557909B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9648825"/>
          <a:ext cx="3114675" cy="2194430"/>
        </a:xfrm>
        <a:prstGeom prst="rect">
          <a:avLst/>
        </a:prstGeom>
      </xdr:spPr>
    </xdr:pic>
    <xdr:clientData/>
  </xdr:twoCellAnchor>
  <xdr:twoCellAnchor editAs="oneCell">
    <xdr:from>
      <xdr:col>9</xdr:col>
      <xdr:colOff>590549</xdr:colOff>
      <xdr:row>41</xdr:row>
      <xdr:rowOff>142875</xdr:rowOff>
    </xdr:from>
    <xdr:to>
      <xdr:col>16</xdr:col>
      <xdr:colOff>354509</xdr:colOff>
      <xdr:row>47</xdr:row>
      <xdr:rowOff>18930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3ED4A9-6869-4A04-A69B-4B09DABF3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0999" y="10991850"/>
          <a:ext cx="2249985" cy="961905"/>
        </a:xfrm>
        <a:prstGeom prst="rect">
          <a:avLst/>
        </a:prstGeom>
      </xdr:spPr>
    </xdr:pic>
    <xdr:clientData/>
  </xdr:twoCellAnchor>
  <xdr:twoCellAnchor editAs="oneCell">
    <xdr:from>
      <xdr:col>6</xdr:col>
      <xdr:colOff>876299</xdr:colOff>
      <xdr:row>39</xdr:row>
      <xdr:rowOff>45720</xdr:rowOff>
    </xdr:from>
    <xdr:to>
      <xdr:col>9</xdr:col>
      <xdr:colOff>297404</xdr:colOff>
      <xdr:row>49</xdr:row>
      <xdr:rowOff>79762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4B5BC45-5CF3-43F7-9AB7-26304F2FB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49" y="10532745"/>
          <a:ext cx="2773905" cy="179616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6DAAB-AB9E-49E0-8B0E-B0669BFDC3A5}" name="Tabela1" displayName="Tabela1" ref="A4:D71" totalsRowShown="0" headerRowDxfId="11" headerRowBorderDxfId="10" tableBorderDxfId="9" totalsRowBorderDxfId="8">
  <autoFilter ref="A4:D71" xr:uid="{9306DAAB-AB9E-49E0-8B0E-B0669BFDC3A5}"/>
  <tableColumns count="4">
    <tableColumn id="1" xr3:uid="{A74BC6ED-8222-4A73-8CA3-3E8584688D78}" name="PREFIXO" dataDxfId="7"/>
    <tableColumn id="2" xr3:uid="{6B788315-65B0-493A-8BC1-607B1163347C}" name="DEPENDÊNCIAS" dataDxfId="6"/>
    <tableColumn id="3" xr3:uid="{994A155C-E842-429D-8CF4-C80A9F93E6F3}" name="DISTÂNCIA EM RELAÇÃO A CIDADE BASE - IDA E VOLTA (KM) " dataDxfId="5"/>
    <tableColumn id="4" xr3:uid="{0DC762A2-62B6-4DD8-9D1B-0C99171241CB}" name="CIDADE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97E04-DD58-46CC-AED6-7AF0749DC5DC}">
  <sheetPr codeName="Planilha5">
    <pageSetUpPr fitToPage="1"/>
  </sheetPr>
  <dimension ref="B1:AA53"/>
  <sheetViews>
    <sheetView showGridLines="0" topLeftCell="A27" zoomScale="70" zoomScaleNormal="70" zoomScaleSheetLayoutView="100" workbookViewId="0">
      <selection activeCell="T14" sqref="T14"/>
    </sheetView>
  </sheetViews>
  <sheetFormatPr defaultColWidth="9.109375" defaultRowHeight="14.4" x14ac:dyDescent="0.3"/>
  <cols>
    <col min="1" max="1" width="9.109375" style="90" customWidth="1"/>
    <col min="2" max="2" width="15.33203125" style="100" customWidth="1"/>
    <col min="3" max="3" width="15.33203125" style="90" customWidth="1"/>
    <col min="4" max="4" width="9.109375" style="90"/>
    <col min="5" max="5" width="11.44140625" style="90" customWidth="1"/>
    <col min="6" max="6" width="6.44140625" style="90" customWidth="1"/>
    <col min="7" max="7" width="20.44140625" style="90" customWidth="1"/>
    <col min="8" max="8" width="6.6640625" style="90" customWidth="1"/>
    <col min="9" max="9" width="19.6640625" style="90" customWidth="1"/>
    <col min="10" max="10" width="9.109375" style="100"/>
    <col min="11" max="11" width="9.109375" style="90"/>
    <col min="12" max="12" width="7.33203125" style="90" customWidth="1"/>
    <col min="13" max="13" width="10.109375" style="100" hidden="1" customWidth="1"/>
    <col min="14" max="14" width="10.6640625" style="100" hidden="1" customWidth="1"/>
    <col min="15" max="15" width="11.88671875" style="100" hidden="1" customWidth="1"/>
    <col min="16" max="16" width="11" style="100" hidden="1" customWidth="1"/>
    <col min="17" max="17" width="34.44140625" style="100" customWidth="1"/>
    <col min="18" max="16384" width="9.109375" style="90"/>
  </cols>
  <sheetData>
    <row r="1" spans="2:17" ht="39.75" customHeight="1" thickBot="1" x14ac:dyDescent="0.35"/>
    <row r="2" spans="2:17" ht="36.75" customHeight="1" x14ac:dyDescent="0.3">
      <c r="B2" s="142" t="s">
        <v>1131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4"/>
    </row>
    <row r="3" spans="2:17" ht="27.75" customHeight="1" x14ac:dyDescent="0.3">
      <c r="B3" s="145" t="s">
        <v>1183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7"/>
    </row>
    <row r="4" spans="2:17" ht="18" x14ac:dyDescent="0.3">
      <c r="B4" s="148" t="s">
        <v>1133</v>
      </c>
      <c r="C4" s="149"/>
      <c r="D4" s="149" t="s">
        <v>1134</v>
      </c>
      <c r="E4" s="149"/>
      <c r="F4" s="149"/>
      <c r="G4" s="149" t="s">
        <v>1135</v>
      </c>
      <c r="H4" s="149"/>
      <c r="I4" s="149"/>
      <c r="J4" s="149" t="s">
        <v>1136</v>
      </c>
      <c r="K4" s="149"/>
      <c r="L4" s="149"/>
      <c r="M4" s="149"/>
      <c r="N4" s="149"/>
      <c r="O4" s="149"/>
      <c r="P4" s="149"/>
      <c r="Q4" s="150"/>
    </row>
    <row r="5" spans="2:17" ht="24.75" customHeight="1" x14ac:dyDescent="0.3">
      <c r="B5" s="135"/>
      <c r="C5" s="136"/>
      <c r="D5" s="137"/>
      <c r="E5" s="138"/>
      <c r="F5" s="138"/>
      <c r="G5" s="139" t="s">
        <v>1210</v>
      </c>
      <c r="H5" s="139"/>
      <c r="I5" s="139"/>
      <c r="J5" s="140" t="s">
        <v>1137</v>
      </c>
      <c r="K5" s="140"/>
      <c r="L5" s="140"/>
      <c r="M5" s="140"/>
      <c r="N5" s="140"/>
      <c r="O5" s="140"/>
      <c r="P5" s="140"/>
      <c r="Q5" s="141"/>
    </row>
    <row r="6" spans="2:17" ht="18" x14ac:dyDescent="0.35">
      <c r="B6" s="151" t="s">
        <v>1138</v>
      </c>
      <c r="C6" s="152"/>
      <c r="D6" s="153" t="s">
        <v>1139</v>
      </c>
      <c r="E6" s="149"/>
      <c r="F6" s="154"/>
      <c r="G6" s="155" t="s">
        <v>1140</v>
      </c>
      <c r="H6" s="156"/>
      <c r="I6" s="157"/>
      <c r="J6" s="158" t="s">
        <v>1141</v>
      </c>
      <c r="K6" s="159"/>
      <c r="L6" s="159"/>
      <c r="M6" s="159"/>
      <c r="N6" s="159"/>
      <c r="O6" s="159"/>
      <c r="P6" s="159"/>
      <c r="Q6" s="160"/>
    </row>
    <row r="7" spans="2:17" ht="18" x14ac:dyDescent="0.35">
      <c r="B7" s="161" t="s">
        <v>1142</v>
      </c>
      <c r="C7" s="162"/>
      <c r="D7" s="153"/>
      <c r="E7" s="149"/>
      <c r="F7" s="154"/>
      <c r="G7" s="163" t="s">
        <v>1143</v>
      </c>
      <c r="H7" s="164"/>
      <c r="I7" s="165"/>
      <c r="J7" s="166" t="s">
        <v>1144</v>
      </c>
      <c r="K7" s="167"/>
      <c r="L7" s="167"/>
      <c r="M7" s="167"/>
      <c r="N7" s="167"/>
      <c r="O7" s="167"/>
      <c r="P7" s="167"/>
      <c r="Q7" s="168"/>
    </row>
    <row r="8" spans="2:17" ht="24.75" customHeight="1" x14ac:dyDescent="0.3">
      <c r="B8" s="169" t="s">
        <v>1216</v>
      </c>
      <c r="C8" s="170"/>
      <c r="D8" s="137"/>
      <c r="E8" s="138"/>
      <c r="F8" s="138"/>
      <c r="G8" s="170" t="s">
        <v>1214</v>
      </c>
      <c r="H8" s="170"/>
      <c r="I8" s="170"/>
      <c r="J8" s="170" t="s">
        <v>1215</v>
      </c>
      <c r="K8" s="170"/>
      <c r="L8" s="170"/>
      <c r="M8" s="170"/>
      <c r="N8" s="170"/>
      <c r="O8" s="170"/>
      <c r="P8" s="170"/>
      <c r="Q8" s="176"/>
    </row>
    <row r="9" spans="2:17" ht="18" x14ac:dyDescent="0.3">
      <c r="B9" s="148" t="s">
        <v>1145</v>
      </c>
      <c r="C9" s="149"/>
      <c r="D9" s="149"/>
      <c r="E9" s="149"/>
      <c r="F9" s="149"/>
      <c r="G9" s="149" t="s">
        <v>1208</v>
      </c>
      <c r="H9" s="149"/>
      <c r="I9" s="149"/>
      <c r="J9" s="149"/>
      <c r="K9" s="149"/>
      <c r="L9" s="149"/>
      <c r="M9" s="149"/>
      <c r="N9" s="149"/>
      <c r="O9" s="149"/>
      <c r="P9" s="149"/>
      <c r="Q9" s="150"/>
    </row>
    <row r="10" spans="2:17" s="54" customFormat="1" ht="24" customHeight="1" x14ac:dyDescent="0.3">
      <c r="B10" s="124"/>
      <c r="C10" s="177" t="e">
        <f>UPPER(VLOOKUP(B10,Prefixos!$A$1:$D$71,2,0))</f>
        <v>#N/A</v>
      </c>
      <c r="D10" s="177"/>
      <c r="E10" s="177"/>
      <c r="F10" s="177"/>
      <c r="G10" s="177" t="e">
        <f>UPPER(VLOOKUP(B10,Prefixos!$A$1:$D$71,4,0))</f>
        <v>#N/A</v>
      </c>
      <c r="H10" s="177"/>
      <c r="I10" s="177"/>
      <c r="J10" s="177"/>
      <c r="K10" s="177"/>
      <c r="L10" s="177"/>
      <c r="M10" s="177"/>
      <c r="N10" s="177"/>
      <c r="O10" s="177"/>
      <c r="P10" s="177"/>
      <c r="Q10" s="178"/>
    </row>
    <row r="11" spans="2:17" ht="18" x14ac:dyDescent="0.3">
      <c r="B11" s="148" t="s">
        <v>1146</v>
      </c>
      <c r="C11" s="149"/>
      <c r="D11" s="149"/>
      <c r="E11" s="149"/>
      <c r="F11" s="149"/>
      <c r="G11" s="149" t="s">
        <v>1147</v>
      </c>
      <c r="H11" s="149"/>
      <c r="I11" s="149"/>
      <c r="J11" s="149"/>
      <c r="K11" s="149"/>
      <c r="L11" s="149"/>
      <c r="M11" s="149"/>
      <c r="N11" s="149"/>
      <c r="O11" s="149"/>
      <c r="P11" s="149"/>
      <c r="Q11" s="150"/>
    </row>
    <row r="12" spans="2:17" ht="27.75" customHeight="1" x14ac:dyDescent="0.3">
      <c r="B12" s="171" t="s">
        <v>1217</v>
      </c>
      <c r="C12" s="172"/>
      <c r="D12" s="172"/>
      <c r="E12" s="172"/>
      <c r="F12" s="173"/>
      <c r="G12" s="174" t="s">
        <v>1218</v>
      </c>
      <c r="H12" s="172"/>
      <c r="I12" s="172"/>
      <c r="J12" s="172"/>
      <c r="K12" s="172"/>
      <c r="L12" s="172"/>
      <c r="M12" s="172"/>
      <c r="N12" s="172"/>
      <c r="O12" s="172"/>
      <c r="P12" s="172"/>
      <c r="Q12" s="175"/>
    </row>
    <row r="13" spans="2:17" ht="23.25" customHeight="1" x14ac:dyDescent="0.3">
      <c r="B13" s="179" t="s">
        <v>1184</v>
      </c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1"/>
    </row>
    <row r="14" spans="2:17" ht="18.75" customHeight="1" x14ac:dyDescent="0.3">
      <c r="B14" s="182" t="s">
        <v>1185</v>
      </c>
      <c r="C14" s="183"/>
      <c r="D14" s="183"/>
      <c r="E14" s="183"/>
      <c r="F14" s="183"/>
      <c r="G14" s="183"/>
      <c r="H14" s="183"/>
      <c r="I14" s="183"/>
      <c r="J14" s="183"/>
      <c r="K14" s="183" t="s">
        <v>1186</v>
      </c>
      <c r="L14" s="183"/>
      <c r="M14" s="183"/>
      <c r="N14" s="183"/>
      <c r="O14" s="183"/>
      <c r="P14" s="183"/>
      <c r="Q14" s="184"/>
    </row>
    <row r="15" spans="2:17" ht="37.5" customHeight="1" x14ac:dyDescent="0.3">
      <c r="B15" s="202" t="s">
        <v>1219</v>
      </c>
      <c r="C15" s="203"/>
      <c r="D15" s="203"/>
      <c r="E15" s="203"/>
      <c r="F15" s="203"/>
      <c r="G15" s="203"/>
      <c r="H15" s="203"/>
      <c r="I15" s="203"/>
      <c r="J15" s="203"/>
      <c r="K15" s="203">
        <v>4</v>
      </c>
      <c r="L15" s="203"/>
      <c r="M15" s="203"/>
      <c r="N15" s="203"/>
      <c r="O15" s="203"/>
      <c r="P15" s="203"/>
      <c r="Q15" s="204"/>
    </row>
    <row r="16" spans="2:17" ht="45" customHeight="1" x14ac:dyDescent="0.3">
      <c r="B16" s="195" t="s">
        <v>1187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7"/>
    </row>
    <row r="17" spans="2:17" ht="21" customHeight="1" x14ac:dyDescent="0.3">
      <c r="B17" s="198" t="s">
        <v>1188</v>
      </c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200"/>
    </row>
    <row r="18" spans="2:17" ht="21" customHeight="1" x14ac:dyDescent="0.3">
      <c r="B18" s="113" t="s">
        <v>12</v>
      </c>
      <c r="C18" s="201" t="s">
        <v>1189</v>
      </c>
      <c r="D18" s="201"/>
      <c r="E18" s="201"/>
      <c r="F18" s="201"/>
      <c r="G18" s="201"/>
      <c r="H18" s="201"/>
      <c r="I18" s="79" t="s">
        <v>1190</v>
      </c>
      <c r="J18" s="79" t="s">
        <v>1191</v>
      </c>
      <c r="K18" s="201" t="s">
        <v>1192</v>
      </c>
      <c r="L18" s="201"/>
      <c r="M18" s="79" t="s">
        <v>1193</v>
      </c>
      <c r="N18" s="79" t="s">
        <v>1194</v>
      </c>
      <c r="O18" s="79" t="s">
        <v>1195</v>
      </c>
      <c r="P18" s="79" t="s">
        <v>1196</v>
      </c>
      <c r="Q18" s="114" t="s">
        <v>1197</v>
      </c>
    </row>
    <row r="19" spans="2:17" s="54" customFormat="1" ht="38.25" customHeight="1" x14ac:dyDescent="0.3">
      <c r="B19" s="115"/>
      <c r="C19" s="134" t="e">
        <f>VLOOKUP(B19,'Valores Unitários'!$A$7:$J$516,2,0)</f>
        <v>#N/A</v>
      </c>
      <c r="D19" s="134"/>
      <c r="E19" s="134"/>
      <c r="F19" s="134"/>
      <c r="G19" s="134"/>
      <c r="H19" s="134"/>
      <c r="I19" s="97"/>
      <c r="J19" s="98" t="e">
        <f>VLOOKUP(B19,'Valores Unitários'!$A$7:$J$516,4,0)</f>
        <v>#N/A</v>
      </c>
      <c r="K19" s="132" t="str">
        <f>IFERROR(UPPER((VLOOKUP(B19,'Valores Unitários'!$A$7:$J$516,7,0))),"")</f>
        <v/>
      </c>
      <c r="L19" s="133"/>
      <c r="M19" s="98" t="e">
        <f>VLOOKUP(B19,'Valores Unitários'!$A$7:$J$516,5,0)</f>
        <v>#N/A</v>
      </c>
      <c r="N19" s="98" t="e">
        <f>VLOOKUP(B19,'Valores Unitários'!$A$7:$J$516,6,0)</f>
        <v>#N/A</v>
      </c>
      <c r="O19" s="98" t="e">
        <f>M19*I19</f>
        <v>#N/A</v>
      </c>
      <c r="P19" s="98" t="e">
        <f>N19*I19</f>
        <v>#N/A</v>
      </c>
      <c r="Q19" s="116" t="e">
        <f t="shared" ref="Q19:Q28" si="0">K19*I19</f>
        <v>#VALUE!</v>
      </c>
    </row>
    <row r="20" spans="2:17" s="54" customFormat="1" ht="38.25" customHeight="1" x14ac:dyDescent="0.3">
      <c r="B20" s="115"/>
      <c r="C20" s="134" t="e">
        <f>VLOOKUP(B20,'Valores Unitários'!$A$7:$J$516,2,0)</f>
        <v>#N/A</v>
      </c>
      <c r="D20" s="134"/>
      <c r="E20" s="134"/>
      <c r="F20" s="134"/>
      <c r="G20" s="134"/>
      <c r="H20" s="134"/>
      <c r="I20" s="97"/>
      <c r="J20" s="98" t="e">
        <f>VLOOKUP(B20,'Valores Unitários'!$A$7:$J$516,4,0)</f>
        <v>#N/A</v>
      </c>
      <c r="K20" s="132" t="str">
        <f>IFERROR(UPPER((VLOOKUP(B20,'Valores Unitários'!$A$7:$J$516,7,0))),"")</f>
        <v/>
      </c>
      <c r="L20" s="133"/>
      <c r="M20" s="98" t="e">
        <f>VLOOKUP(B20,'Valores Unitários'!$A$7:$J$516,5,0)</f>
        <v>#N/A</v>
      </c>
      <c r="N20" s="98" t="e">
        <f>VLOOKUP(B20,'Valores Unitários'!$A$7:$J$516,6,0)</f>
        <v>#N/A</v>
      </c>
      <c r="O20" s="98" t="e">
        <f t="shared" ref="O20:O21" si="1">M20*I20</f>
        <v>#N/A</v>
      </c>
      <c r="P20" s="98" t="e">
        <f t="shared" ref="P20:P21" si="2">N20*I20</f>
        <v>#N/A</v>
      </c>
      <c r="Q20" s="116" t="e">
        <f t="shared" ref="Q20:Q25" si="3">K20*I20</f>
        <v>#VALUE!</v>
      </c>
    </row>
    <row r="21" spans="2:17" s="54" customFormat="1" ht="38.25" customHeight="1" x14ac:dyDescent="0.3">
      <c r="B21" s="115"/>
      <c r="C21" s="134" t="e">
        <f>VLOOKUP(B21,'Valores Unitários'!$A$7:$J$516,2,0)</f>
        <v>#N/A</v>
      </c>
      <c r="D21" s="134"/>
      <c r="E21" s="134"/>
      <c r="F21" s="134"/>
      <c r="G21" s="134"/>
      <c r="H21" s="134"/>
      <c r="I21" s="97"/>
      <c r="J21" s="98" t="e">
        <f>VLOOKUP(B21,'Valores Unitários'!$A$7:$J$516,4,0)</f>
        <v>#N/A</v>
      </c>
      <c r="K21" s="132" t="str">
        <f>IFERROR(UPPER((VLOOKUP(B21,'Valores Unitários'!$A$7:$J$516,7,0))),"")</f>
        <v/>
      </c>
      <c r="L21" s="133"/>
      <c r="M21" s="98" t="e">
        <f>VLOOKUP(B21,'Valores Unitários'!$A$7:$J$516,5,0)</f>
        <v>#N/A</v>
      </c>
      <c r="N21" s="98" t="e">
        <f>VLOOKUP(B21,'Valores Unitários'!$A$7:$J$516,6,0)</f>
        <v>#N/A</v>
      </c>
      <c r="O21" s="98" t="e">
        <f t="shared" si="1"/>
        <v>#N/A</v>
      </c>
      <c r="P21" s="98" t="e">
        <f t="shared" si="2"/>
        <v>#N/A</v>
      </c>
      <c r="Q21" s="116" t="e">
        <f t="shared" si="3"/>
        <v>#VALUE!</v>
      </c>
    </row>
    <row r="22" spans="2:17" s="54" customFormat="1" ht="38.25" customHeight="1" x14ac:dyDescent="0.3">
      <c r="B22" s="115"/>
      <c r="C22" s="134" t="e">
        <f>VLOOKUP(B22,'Valores Unitários'!$A$7:$J$516,2,0)</f>
        <v>#N/A</v>
      </c>
      <c r="D22" s="134"/>
      <c r="E22" s="134"/>
      <c r="F22" s="134"/>
      <c r="G22" s="134"/>
      <c r="H22" s="134"/>
      <c r="I22" s="97"/>
      <c r="J22" s="98" t="e">
        <f>VLOOKUP(B22,'Valores Unitários'!$A$7:$J$516,4,0)</f>
        <v>#N/A</v>
      </c>
      <c r="K22" s="132" t="str">
        <f>IFERROR(UPPER((VLOOKUP(B22,'Valores Unitários'!$A$7:$J$516,7,0))),"")</f>
        <v/>
      </c>
      <c r="L22" s="133"/>
      <c r="M22" s="98" t="e">
        <f>VLOOKUP(B22,'Valores Unitários'!$A$7:$J$516,5,0)</f>
        <v>#N/A</v>
      </c>
      <c r="N22" s="98" t="e">
        <f>VLOOKUP(B22,'Valores Unitários'!$A$7:$J$516,6,0)</f>
        <v>#N/A</v>
      </c>
      <c r="O22" s="98" t="e">
        <f>M22*I22</f>
        <v>#N/A</v>
      </c>
      <c r="P22" s="98" t="e">
        <f>N22*I22</f>
        <v>#N/A</v>
      </c>
      <c r="Q22" s="116" t="e">
        <f t="shared" si="3"/>
        <v>#VALUE!</v>
      </c>
    </row>
    <row r="23" spans="2:17" s="54" customFormat="1" ht="38.25" customHeight="1" x14ac:dyDescent="0.3">
      <c r="B23" s="115"/>
      <c r="C23" s="134" t="e">
        <f>VLOOKUP(B23,'Valores Unitários'!$A$7:$J$516,2,0)</f>
        <v>#N/A</v>
      </c>
      <c r="D23" s="134"/>
      <c r="E23" s="134"/>
      <c r="F23" s="134"/>
      <c r="G23" s="134"/>
      <c r="H23" s="134"/>
      <c r="I23" s="97"/>
      <c r="J23" s="98" t="e">
        <f>VLOOKUP(B23,'Valores Unitários'!$A$7:$J$516,4,0)</f>
        <v>#N/A</v>
      </c>
      <c r="K23" s="132" t="str">
        <f>IFERROR(UPPER((VLOOKUP(B23,'Valores Unitários'!$A$7:$J$516,7,0))),"")</f>
        <v/>
      </c>
      <c r="L23" s="133"/>
      <c r="M23" s="98" t="e">
        <f>VLOOKUP(B23,'Valores Unitários'!$A$7:$J$516,5,0)</f>
        <v>#N/A</v>
      </c>
      <c r="N23" s="98" t="e">
        <f>VLOOKUP(B23,'Valores Unitários'!$A$7:$J$516,6,0)</f>
        <v>#N/A</v>
      </c>
      <c r="O23" s="98" t="e">
        <f t="shared" ref="O23:O24" si="4">M23*I23</f>
        <v>#N/A</v>
      </c>
      <c r="P23" s="98" t="e">
        <f t="shared" ref="P23:P24" si="5">N23*I23</f>
        <v>#N/A</v>
      </c>
      <c r="Q23" s="116" t="e">
        <f t="shared" si="3"/>
        <v>#VALUE!</v>
      </c>
    </row>
    <row r="24" spans="2:17" s="54" customFormat="1" ht="38.25" customHeight="1" x14ac:dyDescent="0.3">
      <c r="B24" s="115"/>
      <c r="C24" s="129" t="e">
        <f>VLOOKUP(B24,'Valores Unitários'!$A$7:$J$516,2,0)</f>
        <v>#N/A</v>
      </c>
      <c r="D24" s="130"/>
      <c r="E24" s="130"/>
      <c r="F24" s="130"/>
      <c r="G24" s="130"/>
      <c r="H24" s="131"/>
      <c r="I24" s="97"/>
      <c r="J24" s="98" t="e">
        <f>VLOOKUP(B24,'Valores Unitários'!$A$7:$J$516,4,0)</f>
        <v>#N/A</v>
      </c>
      <c r="K24" s="132" t="str">
        <f>IFERROR(UPPER((VLOOKUP(B24,'Valores Unitários'!$A$7:$J$516,7,0))),"")</f>
        <v/>
      </c>
      <c r="L24" s="133"/>
      <c r="M24" s="98" t="e">
        <f>VLOOKUP(B24,'Valores Unitários'!$A$7:$J$516,5,0)</f>
        <v>#N/A</v>
      </c>
      <c r="N24" s="98" t="e">
        <f>VLOOKUP(B24,'Valores Unitários'!$A$7:$J$516,6,0)</f>
        <v>#N/A</v>
      </c>
      <c r="O24" s="98" t="e">
        <f t="shared" si="4"/>
        <v>#N/A</v>
      </c>
      <c r="P24" s="98" t="e">
        <f t="shared" si="5"/>
        <v>#N/A</v>
      </c>
      <c r="Q24" s="116" t="e">
        <f t="shared" si="3"/>
        <v>#VALUE!</v>
      </c>
    </row>
    <row r="25" spans="2:17" s="54" customFormat="1" ht="38.25" customHeight="1" x14ac:dyDescent="0.3">
      <c r="B25" s="115"/>
      <c r="C25" s="129" t="e">
        <f>VLOOKUP(B25,'Valores Unitários'!$A$7:$J$516,2,0)</f>
        <v>#N/A</v>
      </c>
      <c r="D25" s="130"/>
      <c r="E25" s="130"/>
      <c r="F25" s="130"/>
      <c r="G25" s="130"/>
      <c r="H25" s="131"/>
      <c r="I25" s="97"/>
      <c r="J25" s="98" t="e">
        <f>VLOOKUP(B25,'Valores Unitários'!$A$7:$J$516,4,0)</f>
        <v>#N/A</v>
      </c>
      <c r="K25" s="132" t="str">
        <f>IFERROR(UPPER((VLOOKUP(B25,'Valores Unitários'!$A$7:$J$516,7,0))),"")</f>
        <v/>
      </c>
      <c r="L25" s="133"/>
      <c r="M25" s="98" t="e">
        <f>VLOOKUP(B25,'Valores Unitários'!$A$7:$J$516,5,0)</f>
        <v>#N/A</v>
      </c>
      <c r="N25" s="98" t="e">
        <f>VLOOKUP(B25,'Valores Unitários'!$A$7:$J$516,6,0)</f>
        <v>#N/A</v>
      </c>
      <c r="O25" s="98" t="e">
        <f>M25*I25</f>
        <v>#N/A</v>
      </c>
      <c r="P25" s="98" t="e">
        <f>N25*I25</f>
        <v>#N/A</v>
      </c>
      <c r="Q25" s="116" t="e">
        <f t="shared" si="3"/>
        <v>#VALUE!</v>
      </c>
    </row>
    <row r="26" spans="2:17" s="54" customFormat="1" ht="38.25" customHeight="1" x14ac:dyDescent="0.3">
      <c r="B26" s="115"/>
      <c r="C26" s="129" t="e">
        <f>VLOOKUP(B26,'Valores Unitários'!$A$7:$J$516,2,0)</f>
        <v>#N/A</v>
      </c>
      <c r="D26" s="130"/>
      <c r="E26" s="130"/>
      <c r="F26" s="130"/>
      <c r="G26" s="130"/>
      <c r="H26" s="131"/>
      <c r="I26" s="97"/>
      <c r="J26" s="98" t="e">
        <f>VLOOKUP(B26,'Valores Unitários'!$A$7:$J$516,4,0)</f>
        <v>#N/A</v>
      </c>
      <c r="K26" s="132" t="str">
        <f>IFERROR(UPPER((VLOOKUP(B26,'Valores Unitários'!$A$7:$J$516,7,0))),"")</f>
        <v/>
      </c>
      <c r="L26" s="133"/>
      <c r="M26" s="98" t="e">
        <f>VLOOKUP(B26,'Valores Unitários'!$A$7:$J$516,5,0)</f>
        <v>#N/A</v>
      </c>
      <c r="N26" s="98" t="e">
        <f>VLOOKUP(B26,'Valores Unitários'!$A$7:$J$516,6,0)</f>
        <v>#N/A</v>
      </c>
      <c r="O26" s="98" t="e">
        <f t="shared" ref="O26:O27" si="6">M26*I26</f>
        <v>#N/A</v>
      </c>
      <c r="P26" s="98" t="e">
        <f t="shared" ref="P26:P27" si="7">N26*I26</f>
        <v>#N/A</v>
      </c>
      <c r="Q26" s="116" t="e">
        <f t="shared" si="0"/>
        <v>#VALUE!</v>
      </c>
    </row>
    <row r="27" spans="2:17" s="54" customFormat="1" ht="38.25" customHeight="1" x14ac:dyDescent="0.3">
      <c r="B27" s="115"/>
      <c r="C27" s="129" t="e">
        <f>VLOOKUP(B27,'Valores Unitários'!$A$7:$J$516,2,0)</f>
        <v>#N/A</v>
      </c>
      <c r="D27" s="130"/>
      <c r="E27" s="130"/>
      <c r="F27" s="130"/>
      <c r="G27" s="130"/>
      <c r="H27" s="131"/>
      <c r="I27" s="97"/>
      <c r="J27" s="98" t="e">
        <f>VLOOKUP(B27,'Valores Unitários'!$A$7:$J$516,4,0)</f>
        <v>#N/A</v>
      </c>
      <c r="K27" s="132" t="str">
        <f>IFERROR(UPPER((VLOOKUP(B27,'Valores Unitários'!$A$7:$J$516,7,0))),"")</f>
        <v/>
      </c>
      <c r="L27" s="133"/>
      <c r="M27" s="98" t="e">
        <f>VLOOKUP(B27,'Valores Unitários'!$A$7:$J$516,5,0)</f>
        <v>#N/A</v>
      </c>
      <c r="N27" s="98" t="e">
        <f>VLOOKUP(B27,'Valores Unitários'!$A$7:$J$516,6,0)</f>
        <v>#N/A</v>
      </c>
      <c r="O27" s="98" t="e">
        <f t="shared" si="6"/>
        <v>#N/A</v>
      </c>
      <c r="P27" s="98" t="e">
        <f t="shared" si="7"/>
        <v>#N/A</v>
      </c>
      <c r="Q27" s="116" t="e">
        <f t="shared" si="0"/>
        <v>#VALUE!</v>
      </c>
    </row>
    <row r="28" spans="2:17" s="54" customFormat="1" ht="38.25" customHeight="1" x14ac:dyDescent="0.3">
      <c r="B28" s="115"/>
      <c r="C28" s="129" t="e">
        <f>VLOOKUP(B28,'Valores Unitários'!$A$7:$J$516,2,0)</f>
        <v>#N/A</v>
      </c>
      <c r="D28" s="130"/>
      <c r="E28" s="130"/>
      <c r="F28" s="130"/>
      <c r="G28" s="130"/>
      <c r="H28" s="131"/>
      <c r="I28" s="97"/>
      <c r="J28" s="98" t="e">
        <f>VLOOKUP(B28,'Valores Unitários'!$A$7:$J$516,4,0)</f>
        <v>#N/A</v>
      </c>
      <c r="K28" s="132" t="str">
        <f>IFERROR(UPPER((VLOOKUP(B28,'Valores Unitários'!$A$7:$J$516,7,0))),"")</f>
        <v/>
      </c>
      <c r="L28" s="133"/>
      <c r="M28" s="98" t="e">
        <f>VLOOKUP(B28,'Valores Unitários'!$A$7:$J$516,5,0)</f>
        <v>#N/A</v>
      </c>
      <c r="N28" s="98" t="e">
        <f>VLOOKUP(B28,'Valores Unitários'!$A$7:$J$516,6,0)</f>
        <v>#N/A</v>
      </c>
      <c r="O28" s="98" t="e">
        <f>M28*I28</f>
        <v>#N/A</v>
      </c>
      <c r="P28" s="98" t="e">
        <f>N28*I28</f>
        <v>#N/A</v>
      </c>
      <c r="Q28" s="116" t="e">
        <f t="shared" si="0"/>
        <v>#VALUE!</v>
      </c>
    </row>
    <row r="29" spans="2:17" s="54" customFormat="1" ht="38.25" customHeight="1" x14ac:dyDescent="0.3">
      <c r="B29" s="115"/>
      <c r="C29" s="129" t="e">
        <f>VLOOKUP(B29,'Valores Unitários'!$A$7:$J$516,2,0)</f>
        <v>#N/A</v>
      </c>
      <c r="D29" s="130"/>
      <c r="E29" s="130"/>
      <c r="F29" s="130"/>
      <c r="G29" s="130"/>
      <c r="H29" s="131"/>
      <c r="I29" s="97"/>
      <c r="J29" s="98" t="e">
        <f>VLOOKUP(B29,'Valores Unitários'!$A$7:$J$516,4,0)</f>
        <v>#N/A</v>
      </c>
      <c r="K29" s="132" t="str">
        <f>IFERROR(UPPER((VLOOKUP(B29,'Valores Unitários'!$A$7:$J$516,7,0))),"")</f>
        <v/>
      </c>
      <c r="L29" s="133"/>
      <c r="M29" s="98" t="e">
        <f>VLOOKUP(B29,'Valores Unitários'!$A$7:$J$516,5,0)</f>
        <v>#N/A</v>
      </c>
      <c r="N29" s="98" t="e">
        <f>VLOOKUP(B29,'Valores Unitários'!$A$7:$J$516,6,0)</f>
        <v>#N/A</v>
      </c>
      <c r="O29" s="98" t="e">
        <f t="shared" ref="O29:O30" si="8">M29*I29</f>
        <v>#N/A</v>
      </c>
      <c r="P29" s="98" t="e">
        <f t="shared" ref="P29:P30" si="9">N29*I29</f>
        <v>#N/A</v>
      </c>
      <c r="Q29" s="116" t="e">
        <f t="shared" ref="Q29" si="10">K29*I29</f>
        <v>#VALUE!</v>
      </c>
    </row>
    <row r="30" spans="2:17" s="54" customFormat="1" ht="38.25" customHeight="1" x14ac:dyDescent="0.3">
      <c r="B30" s="115"/>
      <c r="C30" s="129" t="e">
        <f>VLOOKUP(B30,'Valores Unitários'!$A$7:$J$516,2,0)</f>
        <v>#N/A</v>
      </c>
      <c r="D30" s="130"/>
      <c r="E30" s="130"/>
      <c r="F30" s="130"/>
      <c r="G30" s="130"/>
      <c r="H30" s="131"/>
      <c r="I30" s="97"/>
      <c r="J30" s="98" t="e">
        <f>VLOOKUP(B30,'Valores Unitários'!$A$7:$J$516,4,0)</f>
        <v>#N/A</v>
      </c>
      <c r="K30" s="132" t="str">
        <f>IFERROR(UPPER((VLOOKUP(B30,'Valores Unitários'!$A$7:$J$516,7,0))),"")</f>
        <v/>
      </c>
      <c r="L30" s="133"/>
      <c r="M30" s="98" t="e">
        <f>VLOOKUP(B30,'Valores Unitários'!$A$7:$J$516,5,0)</f>
        <v>#N/A</v>
      </c>
      <c r="N30" s="98" t="e">
        <f>VLOOKUP(B30,'Valores Unitários'!$A$7:$J$516,6,0)</f>
        <v>#N/A</v>
      </c>
      <c r="O30" s="98" t="e">
        <f t="shared" si="8"/>
        <v>#N/A</v>
      </c>
      <c r="P30" s="98" t="e">
        <f t="shared" si="9"/>
        <v>#N/A</v>
      </c>
      <c r="Q30" s="116" t="e">
        <f t="shared" ref="Q30:Q31" si="11">K30*I30</f>
        <v>#VALUE!</v>
      </c>
    </row>
    <row r="31" spans="2:17" s="54" customFormat="1" ht="38.25" customHeight="1" x14ac:dyDescent="0.3">
      <c r="B31" s="115"/>
      <c r="C31" s="129" t="e">
        <f>VLOOKUP(B31,'Valores Unitários'!$A$7:$J$516,2,0)</f>
        <v>#N/A</v>
      </c>
      <c r="D31" s="130"/>
      <c r="E31" s="130"/>
      <c r="F31" s="130"/>
      <c r="G31" s="130"/>
      <c r="H31" s="131"/>
      <c r="I31" s="97"/>
      <c r="J31" s="98" t="e">
        <f>VLOOKUP(B31,'Valores Unitários'!$A$7:$J$516,4,0)</f>
        <v>#N/A</v>
      </c>
      <c r="K31" s="132" t="str">
        <f>IFERROR(UPPER((VLOOKUP(B31,'Valores Unitários'!$A$7:$J$516,7,0))),"")</f>
        <v/>
      </c>
      <c r="L31" s="133"/>
      <c r="M31" s="98" t="e">
        <f>VLOOKUP(B31,'Valores Unitários'!$A$7:$J$516,5,0)</f>
        <v>#N/A</v>
      </c>
      <c r="N31" s="98" t="e">
        <f>VLOOKUP(B31,'Valores Unitários'!$A$7:$J$516,6,0)</f>
        <v>#N/A</v>
      </c>
      <c r="O31" s="98" t="e">
        <f>M31*I31</f>
        <v>#N/A</v>
      </c>
      <c r="P31" s="98" t="e">
        <f>N31*I31</f>
        <v>#N/A</v>
      </c>
      <c r="Q31" s="116" t="e">
        <f t="shared" si="11"/>
        <v>#VALUE!</v>
      </c>
    </row>
    <row r="32" spans="2:17" s="54" customFormat="1" ht="38.25" customHeight="1" x14ac:dyDescent="0.3">
      <c r="B32" s="115"/>
      <c r="C32" s="129" t="e">
        <f>VLOOKUP(B32,'Valores Unitários'!$A$7:$J$516,2,0)</f>
        <v>#N/A</v>
      </c>
      <c r="D32" s="130"/>
      <c r="E32" s="130"/>
      <c r="F32" s="130"/>
      <c r="G32" s="130"/>
      <c r="H32" s="131"/>
      <c r="I32" s="97"/>
      <c r="J32" s="98" t="e">
        <f>VLOOKUP(B32,'Valores Unitários'!$A$7:$J$516,4,0)</f>
        <v>#N/A</v>
      </c>
      <c r="K32" s="132" t="str">
        <f>IFERROR(UPPER((VLOOKUP(B32,'Valores Unitários'!$A$7:$J$516,7,0))),"")</f>
        <v/>
      </c>
      <c r="L32" s="133"/>
      <c r="M32" s="98" t="e">
        <f>VLOOKUP(B32,'Valores Unitários'!$A$7:$J$516,5,0)</f>
        <v>#N/A</v>
      </c>
      <c r="N32" s="98" t="e">
        <f>VLOOKUP(B32,'Valores Unitários'!$A$7:$J$516,6,0)</f>
        <v>#N/A</v>
      </c>
      <c r="O32" s="98" t="e">
        <f t="shared" ref="O32" si="12">M32*I32</f>
        <v>#N/A</v>
      </c>
      <c r="P32" s="98" t="e">
        <f t="shared" ref="P32" si="13">N32*I32</f>
        <v>#N/A</v>
      </c>
      <c r="Q32" s="116" t="e">
        <f t="shared" ref="Q32" si="14">K32*I32</f>
        <v>#VALUE!</v>
      </c>
    </row>
    <row r="33" spans="2:27" ht="25.5" customHeight="1" x14ac:dyDescent="0.3">
      <c r="B33" s="185" t="s">
        <v>1198</v>
      </c>
      <c r="C33" s="186"/>
      <c r="D33" s="186"/>
      <c r="E33" s="186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7"/>
    </row>
    <row r="34" spans="2:27" ht="21" customHeight="1" x14ac:dyDescent="0.3">
      <c r="B34" s="188" t="s">
        <v>1158</v>
      </c>
      <c r="C34" s="189"/>
      <c r="D34" s="189"/>
      <c r="E34" s="189"/>
      <c r="F34" s="190"/>
      <c r="G34" s="191" t="s">
        <v>1159</v>
      </c>
      <c r="H34" s="192"/>
      <c r="I34" s="193"/>
      <c r="J34" s="191" t="s">
        <v>1160</v>
      </c>
      <c r="K34" s="192"/>
      <c r="L34" s="192"/>
      <c r="M34" s="192"/>
      <c r="N34" s="192"/>
      <c r="O34" s="192"/>
      <c r="P34" s="192"/>
      <c r="Q34" s="194"/>
    </row>
    <row r="35" spans="2:27" s="54" customFormat="1" ht="26.25" customHeight="1" x14ac:dyDescent="0.3">
      <c r="B35" s="205">
        <f>F49</f>
        <v>0</v>
      </c>
      <c r="C35" s="206"/>
      <c r="D35" s="206"/>
      <c r="E35" s="206"/>
      <c r="F35" s="206"/>
      <c r="G35" s="99" t="e">
        <f>SUM(O19:O32)</f>
        <v>#N/A</v>
      </c>
      <c r="H35" s="99" t="s">
        <v>1161</v>
      </c>
      <c r="I35" s="99" t="e">
        <f>SUM(P19:P32)</f>
        <v>#N/A</v>
      </c>
      <c r="J35" s="207" t="e">
        <f>I35+G35</f>
        <v>#N/A</v>
      </c>
      <c r="K35" s="208"/>
      <c r="L35" s="208"/>
      <c r="M35" s="208"/>
      <c r="N35" s="208"/>
      <c r="O35" s="208"/>
      <c r="P35" s="208"/>
      <c r="Q35" s="209"/>
    </row>
    <row r="36" spans="2:27" x14ac:dyDescent="0.3">
      <c r="B36" s="210" t="s">
        <v>1162</v>
      </c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2"/>
    </row>
    <row r="37" spans="2:27" ht="19.5" customHeight="1" x14ac:dyDescent="0.3">
      <c r="B37" s="213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5"/>
    </row>
    <row r="38" spans="2:27" ht="19.5" customHeight="1" x14ac:dyDescent="0.3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8"/>
    </row>
    <row r="39" spans="2:27" ht="19.5" customHeight="1" x14ac:dyDescent="0.3">
      <c r="B39" s="219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1"/>
    </row>
    <row r="40" spans="2:27" ht="20.25" customHeight="1" x14ac:dyDescent="0.3">
      <c r="B40" s="117"/>
      <c r="C40" s="110"/>
      <c r="D40" s="110"/>
      <c r="E40" s="110"/>
      <c r="F40" s="128"/>
      <c r="Q40" s="118"/>
      <c r="S40" s="54"/>
      <c r="T40" s="54"/>
      <c r="U40" s="54"/>
      <c r="V40" s="54"/>
      <c r="W40" s="54"/>
      <c r="X40" s="54"/>
      <c r="Y40" s="54"/>
      <c r="Z40" s="54"/>
      <c r="AA40" s="101"/>
    </row>
    <row r="41" spans="2:27" ht="35.25" customHeight="1" x14ac:dyDescent="0.3">
      <c r="B41" s="222" t="s">
        <v>1199</v>
      </c>
      <c r="C41" s="223"/>
      <c r="D41" s="223"/>
      <c r="E41" s="223"/>
      <c r="F41" s="223"/>
      <c r="H41" s="223" t="s">
        <v>1176</v>
      </c>
      <c r="I41" s="223"/>
      <c r="J41" s="223"/>
      <c r="K41" s="223"/>
      <c r="L41" s="223"/>
      <c r="M41" s="223"/>
      <c r="N41" s="223"/>
      <c r="O41" s="223"/>
      <c r="P41" s="223"/>
      <c r="Q41" s="118"/>
    </row>
    <row r="42" spans="2:27" ht="22.5" customHeight="1" x14ac:dyDescent="0.3">
      <c r="B42" s="222"/>
      <c r="C42" s="223"/>
      <c r="D42" s="223"/>
      <c r="E42" s="223"/>
      <c r="F42" s="223"/>
      <c r="H42" s="223"/>
      <c r="I42" s="223"/>
      <c r="J42" s="223"/>
      <c r="K42" s="223"/>
      <c r="L42" s="223"/>
      <c r="M42" s="223"/>
      <c r="N42" s="223"/>
      <c r="O42" s="223"/>
      <c r="P42" s="223"/>
      <c r="Q42" s="119"/>
    </row>
    <row r="43" spans="2:27" ht="24" customHeight="1" x14ac:dyDescent="0.3">
      <c r="B43" s="224" t="s">
        <v>1177</v>
      </c>
      <c r="C43" s="225"/>
      <c r="D43" s="225"/>
      <c r="E43" s="225"/>
      <c r="F43" s="225"/>
      <c r="G43" s="54"/>
      <c r="H43" s="225" t="s">
        <v>1178</v>
      </c>
      <c r="I43" s="225"/>
      <c r="J43" s="225"/>
      <c r="K43" s="225"/>
      <c r="L43" s="225"/>
      <c r="M43" s="225"/>
      <c r="N43" s="225"/>
      <c r="O43" s="225"/>
      <c r="P43" s="226"/>
      <c r="Q43" s="120"/>
    </row>
    <row r="44" spans="2:27" x14ac:dyDescent="0.3">
      <c r="B44" s="121"/>
      <c r="C44" s="111"/>
      <c r="D44" s="111"/>
      <c r="E44" s="111"/>
      <c r="F44" s="112"/>
      <c r="G44" s="127"/>
      <c r="Q44" s="118"/>
    </row>
    <row r="45" spans="2:27" x14ac:dyDescent="0.3">
      <c r="B45" s="210" t="s">
        <v>1200</v>
      </c>
      <c r="C45" s="211"/>
      <c r="D45" s="211"/>
      <c r="E45" s="211"/>
      <c r="F45" s="211"/>
      <c r="G45" s="211"/>
      <c r="H45" s="211"/>
      <c r="I45" s="211"/>
      <c r="J45" s="183" t="s">
        <v>1180</v>
      </c>
      <c r="K45" s="183"/>
      <c r="L45" s="183"/>
      <c r="M45" s="183"/>
      <c r="N45" s="183"/>
      <c r="O45" s="183"/>
      <c r="P45" s="183"/>
      <c r="Q45" s="184"/>
    </row>
    <row r="46" spans="2:27" ht="30.75" customHeight="1" x14ac:dyDescent="0.3">
      <c r="B46" s="227"/>
      <c r="C46" s="228"/>
      <c r="D46" s="228"/>
      <c r="E46" s="228"/>
      <c r="F46" s="228"/>
      <c r="G46" s="228"/>
      <c r="H46" s="228"/>
      <c r="I46" s="229"/>
      <c r="J46" s="230" t="s">
        <v>1201</v>
      </c>
      <c r="K46" s="230"/>
      <c r="L46" s="230"/>
      <c r="M46" s="230"/>
      <c r="N46" s="230"/>
      <c r="O46" s="230"/>
      <c r="P46" s="230"/>
      <c r="Q46" s="231"/>
    </row>
    <row r="47" spans="2:27" x14ac:dyDescent="0.3">
      <c r="B47" s="210" t="s">
        <v>1202</v>
      </c>
      <c r="C47" s="211"/>
      <c r="D47" s="211"/>
      <c r="E47" s="211"/>
      <c r="F47" s="211"/>
      <c r="G47" s="211"/>
      <c r="H47" s="211"/>
      <c r="I47" s="211"/>
      <c r="J47" s="230"/>
      <c r="K47" s="230"/>
      <c r="L47" s="230"/>
      <c r="M47" s="230"/>
      <c r="N47" s="230"/>
      <c r="O47" s="230"/>
      <c r="P47" s="230"/>
      <c r="Q47" s="231"/>
    </row>
    <row r="48" spans="2:27" ht="31.5" customHeight="1" x14ac:dyDescent="0.3">
      <c r="B48" s="227"/>
      <c r="C48" s="214"/>
      <c r="D48" s="214"/>
      <c r="E48" s="228"/>
      <c r="F48" s="214"/>
      <c r="G48" s="214"/>
      <c r="H48" s="214"/>
      <c r="I48" s="232"/>
      <c r="J48" s="230"/>
      <c r="K48" s="230"/>
      <c r="L48" s="230"/>
      <c r="M48" s="230"/>
      <c r="N48" s="230"/>
      <c r="O48" s="230"/>
      <c r="P48" s="230"/>
      <c r="Q48" s="231"/>
    </row>
    <row r="49" spans="2:17" ht="15.75" customHeight="1" x14ac:dyDescent="0.3">
      <c r="B49" s="122" t="s">
        <v>1203</v>
      </c>
      <c r="C49" s="233"/>
      <c r="D49" s="234"/>
      <c r="E49" s="102" t="s">
        <v>1203</v>
      </c>
      <c r="F49" s="233"/>
      <c r="G49" s="237"/>
      <c r="H49" s="237"/>
      <c r="I49" s="234"/>
      <c r="J49" s="239" t="s">
        <v>1204</v>
      </c>
      <c r="K49" s="240"/>
      <c r="L49" s="240"/>
      <c r="M49" s="240"/>
      <c r="N49" s="240"/>
      <c r="O49" s="240"/>
      <c r="P49" s="240"/>
      <c r="Q49" s="241"/>
    </row>
    <row r="50" spans="2:17" ht="15.75" customHeight="1" x14ac:dyDescent="0.3">
      <c r="B50" s="123" t="s">
        <v>1205</v>
      </c>
      <c r="C50" s="235"/>
      <c r="D50" s="236"/>
      <c r="E50" s="103" t="s">
        <v>1206</v>
      </c>
      <c r="F50" s="235"/>
      <c r="G50" s="238"/>
      <c r="H50" s="238"/>
      <c r="I50" s="236"/>
      <c r="J50" s="242" t="s">
        <v>1181</v>
      </c>
      <c r="K50" s="243"/>
      <c r="L50" s="243"/>
      <c r="M50" s="243"/>
      <c r="N50" s="243"/>
      <c r="O50" s="243"/>
      <c r="P50" s="243"/>
      <c r="Q50" s="244"/>
    </row>
    <row r="51" spans="2:17" ht="12.75" customHeight="1" x14ac:dyDescent="0.3">
      <c r="B51" s="245" t="s">
        <v>1207</v>
      </c>
      <c r="C51" s="225"/>
      <c r="D51" s="225"/>
      <c r="E51" s="246"/>
      <c r="F51" s="225"/>
      <c r="G51" s="225"/>
      <c r="H51" s="225"/>
      <c r="I51" s="225"/>
      <c r="J51" s="246"/>
      <c r="K51" s="246"/>
      <c r="L51" s="246"/>
      <c r="M51" s="246"/>
      <c r="N51" s="246"/>
      <c r="O51" s="246"/>
      <c r="P51" s="246"/>
      <c r="Q51" s="247"/>
    </row>
    <row r="52" spans="2:17" ht="12.75" customHeight="1" thickBot="1" x14ac:dyDescent="0.35">
      <c r="B52" s="248"/>
      <c r="C52" s="249"/>
      <c r="D52" s="249"/>
      <c r="E52" s="249"/>
      <c r="F52" s="249"/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250"/>
    </row>
    <row r="53" spans="2:17" ht="46.5" customHeight="1" x14ac:dyDescent="0.3">
      <c r="B53" s="223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</row>
  </sheetData>
  <mergeCells count="90">
    <mergeCell ref="K29:L29"/>
    <mergeCell ref="C32:H32"/>
    <mergeCell ref="K32:L32"/>
    <mergeCell ref="C19:H19"/>
    <mergeCell ref="K19:L19"/>
    <mergeCell ref="C30:H30"/>
    <mergeCell ref="K30:L30"/>
    <mergeCell ref="C31:H31"/>
    <mergeCell ref="K31:L31"/>
    <mergeCell ref="C27:H27"/>
    <mergeCell ref="K27:L27"/>
    <mergeCell ref="C28:H28"/>
    <mergeCell ref="K28:L28"/>
    <mergeCell ref="C20:H20"/>
    <mergeCell ref="K20:L20"/>
    <mergeCell ref="C21:H21"/>
    <mergeCell ref="B53:Q53"/>
    <mergeCell ref="B43:F43"/>
    <mergeCell ref="H43:P43"/>
    <mergeCell ref="B45:I45"/>
    <mergeCell ref="J45:Q45"/>
    <mergeCell ref="B46:I46"/>
    <mergeCell ref="J46:Q48"/>
    <mergeCell ref="B47:I47"/>
    <mergeCell ref="B48:I48"/>
    <mergeCell ref="C49:D50"/>
    <mergeCell ref="F49:I50"/>
    <mergeCell ref="J49:Q49"/>
    <mergeCell ref="J50:Q50"/>
    <mergeCell ref="B51:Q52"/>
    <mergeCell ref="B35:F35"/>
    <mergeCell ref="J35:Q35"/>
    <mergeCell ref="B36:Q36"/>
    <mergeCell ref="B37:Q39"/>
    <mergeCell ref="B41:F42"/>
    <mergeCell ref="H41:P42"/>
    <mergeCell ref="B13:Q13"/>
    <mergeCell ref="B14:J14"/>
    <mergeCell ref="K14:Q14"/>
    <mergeCell ref="B33:Q33"/>
    <mergeCell ref="B34:F34"/>
    <mergeCell ref="G34:I34"/>
    <mergeCell ref="J34:Q34"/>
    <mergeCell ref="B16:Q16"/>
    <mergeCell ref="B17:Q17"/>
    <mergeCell ref="C18:H18"/>
    <mergeCell ref="K18:L18"/>
    <mergeCell ref="C29:H29"/>
    <mergeCell ref="B15:J15"/>
    <mergeCell ref="K15:Q15"/>
    <mergeCell ref="C26:H26"/>
    <mergeCell ref="K26:L26"/>
    <mergeCell ref="B8:C8"/>
    <mergeCell ref="D8:F8"/>
    <mergeCell ref="G8:I8"/>
    <mergeCell ref="B12:F12"/>
    <mergeCell ref="G12:Q12"/>
    <mergeCell ref="J8:Q8"/>
    <mergeCell ref="C10:F10"/>
    <mergeCell ref="G10:Q10"/>
    <mergeCell ref="B11:F11"/>
    <mergeCell ref="G11:Q11"/>
    <mergeCell ref="B9:F9"/>
    <mergeCell ref="G9:Q9"/>
    <mergeCell ref="B6:C6"/>
    <mergeCell ref="D6:F7"/>
    <mergeCell ref="G6:I6"/>
    <mergeCell ref="J6:Q6"/>
    <mergeCell ref="B7:C7"/>
    <mergeCell ref="G7:I7"/>
    <mergeCell ref="J7:Q7"/>
    <mergeCell ref="B5:C5"/>
    <mergeCell ref="D5:F5"/>
    <mergeCell ref="G5:I5"/>
    <mergeCell ref="J5:Q5"/>
    <mergeCell ref="B2:Q2"/>
    <mergeCell ref="B3:Q3"/>
    <mergeCell ref="B4:C4"/>
    <mergeCell ref="D4:F4"/>
    <mergeCell ref="G4:I4"/>
    <mergeCell ref="J4:Q4"/>
    <mergeCell ref="C24:H24"/>
    <mergeCell ref="K24:L24"/>
    <mergeCell ref="C25:H25"/>
    <mergeCell ref="K25:L25"/>
    <mergeCell ref="K21:L21"/>
    <mergeCell ref="C22:H22"/>
    <mergeCell ref="K22:L22"/>
    <mergeCell ref="C23:H23"/>
    <mergeCell ref="K23:L23"/>
  </mergeCells>
  <conditionalFormatting sqref="B19:B32">
    <cfRule type="duplicateValues" dxfId="3" priority="1"/>
  </conditionalFormatting>
  <pageMargins left="0.25" right="0.25" top="0.75" bottom="0.75" header="0.3" footer="0.3"/>
  <pageSetup paperSize="9"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99AA-720E-48DF-A7DE-93ACA1DA684B}">
  <sheetPr codeName="Planilha1">
    <pageSetUpPr fitToPage="1"/>
  </sheetPr>
  <dimension ref="B1:Q51"/>
  <sheetViews>
    <sheetView showGridLines="0" tabSelected="1" zoomScaleNormal="100" zoomScaleSheetLayoutView="100" workbookViewId="0">
      <selection activeCell="V39" sqref="V39"/>
    </sheetView>
  </sheetViews>
  <sheetFormatPr defaultColWidth="9.109375" defaultRowHeight="14.4" x14ac:dyDescent="0.3"/>
  <cols>
    <col min="1" max="2" width="9.109375" style="90"/>
    <col min="3" max="3" width="16.88671875" style="90" customWidth="1"/>
    <col min="4" max="5" width="9.33203125" style="90" customWidth="1"/>
    <col min="6" max="6" width="5.33203125" style="90" customWidth="1"/>
    <col min="7" max="7" width="21.109375" style="90" customWidth="1"/>
    <col min="8" max="8" width="7.44140625" style="90" customWidth="1"/>
    <col min="9" max="9" width="20.33203125" style="90" customWidth="1"/>
    <col min="10" max="12" width="12.109375" style="90" customWidth="1"/>
    <col min="13" max="16" width="0" style="90" hidden="1" customWidth="1"/>
    <col min="17" max="17" width="11.109375" style="90" customWidth="1"/>
    <col min="18" max="16384" width="9.109375" style="90"/>
  </cols>
  <sheetData>
    <row r="1" spans="2:17" ht="39" customHeight="1" thickBot="1" x14ac:dyDescent="0.35"/>
    <row r="2" spans="2:17" ht="29.25" customHeight="1" x14ac:dyDescent="0.3">
      <c r="B2" s="142" t="s">
        <v>1131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4"/>
    </row>
    <row r="3" spans="2:17" ht="29.25" customHeight="1" x14ac:dyDescent="0.3">
      <c r="B3" s="145" t="s">
        <v>1132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7"/>
    </row>
    <row r="4" spans="2:17" ht="18" x14ac:dyDescent="0.3">
      <c r="B4" s="148" t="s">
        <v>1133</v>
      </c>
      <c r="C4" s="149"/>
      <c r="D4" s="149" t="s">
        <v>1134</v>
      </c>
      <c r="E4" s="149"/>
      <c r="F4" s="149"/>
      <c r="G4" s="149" t="s">
        <v>1135</v>
      </c>
      <c r="H4" s="149"/>
      <c r="I4" s="149"/>
      <c r="J4" s="149" t="s">
        <v>1136</v>
      </c>
      <c r="K4" s="149"/>
      <c r="L4" s="149"/>
      <c r="M4" s="149"/>
      <c r="N4" s="149"/>
      <c r="O4" s="149"/>
      <c r="P4" s="149"/>
      <c r="Q4" s="150"/>
    </row>
    <row r="5" spans="2:17" ht="21.75" customHeight="1" x14ac:dyDescent="0.3">
      <c r="B5" s="251">
        <f>RAT!B5</f>
        <v>0</v>
      </c>
      <c r="C5" s="208"/>
      <c r="D5" s="252">
        <f>RAT!D5</f>
        <v>0</v>
      </c>
      <c r="E5" s="253"/>
      <c r="F5" s="253"/>
      <c r="G5" s="254" t="s">
        <v>1210</v>
      </c>
      <c r="H5" s="254"/>
      <c r="I5" s="254"/>
      <c r="J5" s="253" t="s">
        <v>1137</v>
      </c>
      <c r="K5" s="253"/>
      <c r="L5" s="253"/>
      <c r="M5" s="253"/>
      <c r="N5" s="253"/>
      <c r="O5" s="253"/>
      <c r="P5" s="253"/>
      <c r="Q5" s="255"/>
    </row>
    <row r="6" spans="2:17" ht="18" x14ac:dyDescent="0.35">
      <c r="B6" s="256" t="s">
        <v>1138</v>
      </c>
      <c r="C6" s="257"/>
      <c r="D6" s="149" t="s">
        <v>1139</v>
      </c>
      <c r="E6" s="149"/>
      <c r="F6" s="149"/>
      <c r="G6" s="149" t="s">
        <v>1140</v>
      </c>
      <c r="H6" s="149"/>
      <c r="I6" s="149"/>
      <c r="J6" s="257" t="s">
        <v>1141</v>
      </c>
      <c r="K6" s="257"/>
      <c r="L6" s="257"/>
      <c r="M6" s="257"/>
      <c r="N6" s="257"/>
      <c r="O6" s="257"/>
      <c r="P6" s="257"/>
      <c r="Q6" s="258"/>
    </row>
    <row r="7" spans="2:17" ht="18" x14ac:dyDescent="0.35">
      <c r="B7" s="256" t="s">
        <v>1142</v>
      </c>
      <c r="C7" s="257"/>
      <c r="D7" s="149"/>
      <c r="E7" s="149"/>
      <c r="F7" s="149"/>
      <c r="G7" s="149" t="s">
        <v>1143</v>
      </c>
      <c r="H7" s="149"/>
      <c r="I7" s="149"/>
      <c r="J7" s="257" t="s">
        <v>1144</v>
      </c>
      <c r="K7" s="257"/>
      <c r="L7" s="257"/>
      <c r="M7" s="257"/>
      <c r="N7" s="257"/>
      <c r="O7" s="257"/>
      <c r="P7" s="257"/>
      <c r="Q7" s="258"/>
    </row>
    <row r="8" spans="2:17" ht="22.5" customHeight="1" x14ac:dyDescent="0.3">
      <c r="B8" s="259" t="str">
        <f>RAT!B8</f>
        <v>Não</v>
      </c>
      <c r="C8" s="253"/>
      <c r="D8" s="252">
        <f>RAT!D8</f>
        <v>0</v>
      </c>
      <c r="E8" s="252"/>
      <c r="F8" s="252"/>
      <c r="G8" s="253" t="str">
        <f>RAT!G8</f>
        <v>Preventiva</v>
      </c>
      <c r="H8" s="253"/>
      <c r="I8" s="253"/>
      <c r="J8" s="253" t="str">
        <f>RAT!J8</f>
        <v>Normal</v>
      </c>
      <c r="K8" s="253"/>
      <c r="L8" s="253"/>
      <c r="M8" s="253"/>
      <c r="N8" s="253"/>
      <c r="O8" s="253"/>
      <c r="P8" s="253"/>
      <c r="Q8" s="255"/>
    </row>
    <row r="9" spans="2:17" ht="18" x14ac:dyDescent="0.3">
      <c r="B9" s="148" t="s">
        <v>1145</v>
      </c>
      <c r="C9" s="149"/>
      <c r="D9" s="149"/>
      <c r="E9" s="149"/>
      <c r="F9" s="149"/>
      <c r="G9" s="149" t="s">
        <v>1208</v>
      </c>
      <c r="H9" s="149"/>
      <c r="I9" s="149"/>
      <c r="J9" s="149"/>
      <c r="K9" s="149"/>
      <c r="L9" s="149"/>
      <c r="M9" s="149"/>
      <c r="N9" s="149"/>
      <c r="O9" s="149"/>
      <c r="P9" s="149"/>
      <c r="Q9" s="150"/>
    </row>
    <row r="10" spans="2:17" ht="24.75" customHeight="1" x14ac:dyDescent="0.3">
      <c r="B10" s="126">
        <f>RAT!B10</f>
        <v>0</v>
      </c>
      <c r="C10" s="177" t="e">
        <f>RAT!C10</f>
        <v>#N/A</v>
      </c>
      <c r="D10" s="177"/>
      <c r="E10" s="177"/>
      <c r="F10" s="177"/>
      <c r="G10" s="177" t="e">
        <f>RAT!G10</f>
        <v>#N/A</v>
      </c>
      <c r="H10" s="177"/>
      <c r="I10" s="177"/>
      <c r="J10" s="177"/>
      <c r="K10" s="177"/>
      <c r="L10" s="177"/>
      <c r="M10" s="177"/>
      <c r="N10" s="177"/>
      <c r="O10" s="177"/>
      <c r="P10" s="177"/>
      <c r="Q10" s="178"/>
    </row>
    <row r="11" spans="2:17" ht="18" x14ac:dyDescent="0.3">
      <c r="B11" s="148" t="s">
        <v>1146</v>
      </c>
      <c r="C11" s="149"/>
      <c r="D11" s="149"/>
      <c r="E11" s="149"/>
      <c r="F11" s="149"/>
      <c r="G11" s="149" t="s">
        <v>1147</v>
      </c>
      <c r="H11" s="149"/>
      <c r="I11" s="149"/>
      <c r="J11" s="149"/>
      <c r="K11" s="149"/>
      <c r="L11" s="149"/>
      <c r="M11" s="149"/>
      <c r="N11" s="149"/>
      <c r="O11" s="149"/>
      <c r="P11" s="149"/>
      <c r="Q11" s="150"/>
    </row>
    <row r="12" spans="2:17" s="125" customFormat="1" ht="29.25" customHeight="1" x14ac:dyDescent="0.3">
      <c r="B12" s="268" t="str">
        <f>RAT!B12</f>
        <v>Responsável</v>
      </c>
      <c r="C12" s="177"/>
      <c r="D12" s="177"/>
      <c r="E12" s="177"/>
      <c r="F12" s="177"/>
      <c r="G12" s="177" t="str">
        <f>RAT!G12</f>
        <v>F2268209 - SISTEMA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8"/>
    </row>
    <row r="13" spans="2:17" ht="38.25" customHeight="1" x14ac:dyDescent="0.3">
      <c r="B13" s="260" t="s">
        <v>1148</v>
      </c>
      <c r="C13" s="261"/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O13" s="261"/>
      <c r="P13" s="261"/>
      <c r="Q13" s="262"/>
    </row>
    <row r="14" spans="2:17" s="54" customFormat="1" ht="18.75" customHeight="1" x14ac:dyDescent="0.3">
      <c r="B14" s="182" t="s">
        <v>1149</v>
      </c>
      <c r="C14" s="183"/>
      <c r="D14" s="183" t="s">
        <v>1150</v>
      </c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4"/>
    </row>
    <row r="15" spans="2:17" ht="24.75" customHeight="1" x14ac:dyDescent="0.3">
      <c r="B15" s="263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1"/>
    </row>
    <row r="16" spans="2:17" s="54" customFormat="1" ht="18" customHeight="1" x14ac:dyDescent="0.3">
      <c r="B16" s="266" t="s">
        <v>1151</v>
      </c>
      <c r="C16" s="201"/>
      <c r="D16" s="201"/>
      <c r="E16" s="201"/>
      <c r="F16" s="201"/>
      <c r="G16" s="201"/>
      <c r="H16" s="201"/>
      <c r="I16" s="201"/>
      <c r="J16" s="201" t="s">
        <v>1152</v>
      </c>
      <c r="K16" s="201"/>
      <c r="L16" s="201" t="s">
        <v>1153</v>
      </c>
      <c r="M16" s="201"/>
      <c r="N16" s="201"/>
      <c r="O16" s="201"/>
      <c r="P16" s="201"/>
      <c r="Q16" s="267"/>
    </row>
    <row r="17" spans="2:17" s="54" customFormat="1" ht="21" customHeight="1" x14ac:dyDescent="0.3">
      <c r="B17" s="182" t="s">
        <v>1154</v>
      </c>
      <c r="C17" s="183"/>
      <c r="D17" s="183"/>
      <c r="E17" s="183"/>
      <c r="F17" s="183"/>
      <c r="G17" s="183"/>
      <c r="H17" s="183"/>
      <c r="I17" s="183"/>
      <c r="J17" s="264"/>
      <c r="K17" s="264"/>
      <c r="L17" s="264"/>
      <c r="M17" s="264"/>
      <c r="N17" s="264"/>
      <c r="O17" s="264"/>
      <c r="P17" s="264"/>
      <c r="Q17" s="265"/>
    </row>
    <row r="18" spans="2:17" s="54" customFormat="1" ht="21" customHeight="1" x14ac:dyDescent="0.3">
      <c r="B18" s="182" t="s">
        <v>1155</v>
      </c>
      <c r="C18" s="183"/>
      <c r="D18" s="183"/>
      <c r="E18" s="183"/>
      <c r="F18" s="183"/>
      <c r="G18" s="183"/>
      <c r="H18" s="183"/>
      <c r="I18" s="183"/>
      <c r="J18" s="264"/>
      <c r="K18" s="264"/>
      <c r="L18" s="264"/>
      <c r="M18" s="264"/>
      <c r="N18" s="264"/>
      <c r="O18" s="264"/>
      <c r="P18" s="264"/>
      <c r="Q18" s="265"/>
    </row>
    <row r="19" spans="2:17" s="54" customFormat="1" ht="21" customHeight="1" x14ac:dyDescent="0.3">
      <c r="B19" s="182" t="s">
        <v>1156</v>
      </c>
      <c r="C19" s="183"/>
      <c r="D19" s="183"/>
      <c r="E19" s="183"/>
      <c r="F19" s="183"/>
      <c r="G19" s="183"/>
      <c r="H19" s="183"/>
      <c r="I19" s="183"/>
      <c r="J19" s="264"/>
      <c r="K19" s="264"/>
      <c r="L19" s="264"/>
      <c r="M19" s="264"/>
      <c r="N19" s="264"/>
      <c r="O19" s="264"/>
      <c r="P19" s="264"/>
      <c r="Q19" s="265"/>
    </row>
    <row r="20" spans="2:17" ht="21.75" customHeight="1" x14ac:dyDescent="0.3">
      <c r="B20" s="198" t="s">
        <v>1157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200"/>
    </row>
    <row r="21" spans="2:17" ht="31.5" customHeight="1" x14ac:dyDescent="0.3">
      <c r="B21" s="266" t="s">
        <v>1158</v>
      </c>
      <c r="C21" s="201"/>
      <c r="D21" s="201"/>
      <c r="E21" s="201"/>
      <c r="F21" s="201"/>
      <c r="G21" s="272" t="s">
        <v>1159</v>
      </c>
      <c r="H21" s="272"/>
      <c r="I21" s="272"/>
      <c r="J21" s="272" t="s">
        <v>1160</v>
      </c>
      <c r="K21" s="272"/>
      <c r="L21" s="272"/>
      <c r="M21" s="272"/>
      <c r="N21" s="272"/>
      <c r="O21" s="272"/>
      <c r="P21" s="272"/>
      <c r="Q21" s="273"/>
    </row>
    <row r="22" spans="2:17" s="54" customFormat="1" ht="26.25" customHeight="1" x14ac:dyDescent="0.3">
      <c r="B22" s="205">
        <f>RAT!F49</f>
        <v>0</v>
      </c>
      <c r="C22" s="264"/>
      <c r="D22" s="264"/>
      <c r="E22" s="264"/>
      <c r="F22" s="264"/>
      <c r="G22" s="99" t="e">
        <f>RAT!G35</f>
        <v>#N/A</v>
      </c>
      <c r="H22" s="99" t="s">
        <v>1161</v>
      </c>
      <c r="I22" s="99" t="e">
        <f>RAT!I35</f>
        <v>#N/A</v>
      </c>
      <c r="J22" s="207" t="e">
        <f>RAT!J35</f>
        <v>#N/A</v>
      </c>
      <c r="K22" s="208"/>
      <c r="L22" s="208"/>
      <c r="M22" s="208"/>
      <c r="N22" s="208"/>
      <c r="O22" s="208"/>
      <c r="P22" s="208"/>
      <c r="Q22" s="209"/>
    </row>
    <row r="23" spans="2:17" x14ac:dyDescent="0.3">
      <c r="B23" s="274" t="s">
        <v>1162</v>
      </c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6"/>
    </row>
    <row r="24" spans="2:17" ht="40.5" customHeight="1" x14ac:dyDescent="0.3">
      <c r="B24" s="277"/>
      <c r="C24" s="278"/>
      <c r="D24" s="278"/>
      <c r="E24" s="278"/>
      <c r="F24" s="278"/>
      <c r="G24" s="278"/>
      <c r="H24" s="278"/>
      <c r="I24" s="278"/>
      <c r="J24" s="278"/>
      <c r="K24" s="278"/>
      <c r="L24" s="278"/>
      <c r="M24" s="278"/>
      <c r="N24" s="278"/>
      <c r="O24" s="278"/>
      <c r="P24" s="278"/>
      <c r="Q24" s="279"/>
    </row>
    <row r="25" spans="2:17" x14ac:dyDescent="0.3">
      <c r="B25" s="269" t="s">
        <v>1209</v>
      </c>
      <c r="C25" s="270"/>
      <c r="D25" s="270"/>
      <c r="E25" s="270"/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1"/>
    </row>
    <row r="26" spans="2:17" ht="15.75" customHeight="1" x14ac:dyDescent="0.3">
      <c r="B26" s="269" t="s">
        <v>1163</v>
      </c>
      <c r="C26" s="270"/>
      <c r="D26" s="270"/>
      <c r="E26" s="270"/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1"/>
    </row>
    <row r="27" spans="2:17" x14ac:dyDescent="0.3">
      <c r="B27" s="269" t="s">
        <v>1164</v>
      </c>
      <c r="C27" s="270"/>
      <c r="D27" s="270"/>
      <c r="E27" s="270"/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1"/>
    </row>
    <row r="28" spans="2:17" x14ac:dyDescent="0.3">
      <c r="B28" s="269" t="s">
        <v>1165</v>
      </c>
      <c r="C28" s="270"/>
      <c r="D28" s="270"/>
      <c r="E28" s="270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1"/>
    </row>
    <row r="29" spans="2:17" x14ac:dyDescent="0.3">
      <c r="B29" s="269" t="s">
        <v>1166</v>
      </c>
      <c r="C29" s="270"/>
      <c r="D29" s="270"/>
      <c r="E29" s="270"/>
      <c r="F29" s="270"/>
      <c r="G29" s="270"/>
      <c r="H29" s="270"/>
      <c r="I29" s="270"/>
      <c r="J29" s="270"/>
      <c r="K29" s="270"/>
      <c r="L29" s="270"/>
      <c r="M29" s="270"/>
      <c r="N29" s="270"/>
      <c r="O29" s="270"/>
      <c r="P29" s="270"/>
      <c r="Q29" s="271"/>
    </row>
    <row r="30" spans="2:17" x14ac:dyDescent="0.3">
      <c r="B30" s="269" t="s">
        <v>1167</v>
      </c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1"/>
    </row>
    <row r="31" spans="2:17" x14ac:dyDescent="0.3">
      <c r="B31" s="269" t="s">
        <v>1168</v>
      </c>
      <c r="C31" s="270"/>
      <c r="D31" s="270"/>
      <c r="E31" s="270"/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1"/>
    </row>
    <row r="32" spans="2:17" x14ac:dyDescent="0.3">
      <c r="B32" s="269" t="s">
        <v>1169</v>
      </c>
      <c r="C32" s="270"/>
      <c r="D32" s="270"/>
      <c r="E32" s="270"/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1"/>
    </row>
    <row r="33" spans="2:17" x14ac:dyDescent="0.3">
      <c r="B33" s="269" t="s">
        <v>1170</v>
      </c>
      <c r="C33" s="270"/>
      <c r="D33" s="270"/>
      <c r="E33" s="270"/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1"/>
    </row>
    <row r="34" spans="2:17" x14ac:dyDescent="0.3">
      <c r="B34" s="269" t="s">
        <v>1171</v>
      </c>
      <c r="C34" s="270"/>
      <c r="D34" s="270"/>
      <c r="E34" s="270"/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1"/>
    </row>
    <row r="35" spans="2:17" x14ac:dyDescent="0.3">
      <c r="B35" s="269" t="s">
        <v>1172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1"/>
    </row>
    <row r="36" spans="2:17" x14ac:dyDescent="0.3">
      <c r="B36" s="269" t="s">
        <v>1173</v>
      </c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271"/>
    </row>
    <row r="37" spans="2:17" x14ac:dyDescent="0.3">
      <c r="B37" s="283" t="s">
        <v>1174</v>
      </c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5"/>
    </row>
    <row r="38" spans="2:17" x14ac:dyDescent="0.3">
      <c r="B38" s="280"/>
      <c r="C38" s="281"/>
      <c r="D38" s="281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2"/>
    </row>
    <row r="39" spans="2:17" ht="45.75" customHeight="1" x14ac:dyDescent="0.3">
      <c r="B39" s="222"/>
      <c r="C39" s="223" t="s">
        <v>1175</v>
      </c>
      <c r="D39" s="223"/>
      <c r="E39" s="223"/>
      <c r="F39" s="223"/>
      <c r="G39" s="223"/>
      <c r="H39" s="223"/>
      <c r="I39" s="223" t="s">
        <v>1176</v>
      </c>
      <c r="J39" s="223"/>
      <c r="K39" s="223"/>
      <c r="L39" s="223"/>
      <c r="Q39" s="286"/>
    </row>
    <row r="40" spans="2:17" x14ac:dyDescent="0.3">
      <c r="B40" s="222"/>
      <c r="C40" s="225" t="s">
        <v>1177</v>
      </c>
      <c r="D40" s="225"/>
      <c r="E40" s="225"/>
      <c r="F40" s="225"/>
      <c r="G40" s="225"/>
      <c r="H40" s="223"/>
      <c r="I40" s="225" t="s">
        <v>1178</v>
      </c>
      <c r="J40" s="225"/>
      <c r="K40" s="225"/>
      <c r="L40" s="225"/>
      <c r="Q40" s="286"/>
    </row>
    <row r="41" spans="2:17" x14ac:dyDescent="0.3">
      <c r="B41" s="287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8"/>
      <c r="P41" s="288"/>
      <c r="Q41" s="289"/>
    </row>
    <row r="42" spans="2:17" x14ac:dyDescent="0.3">
      <c r="B42" s="290" t="s">
        <v>1179</v>
      </c>
      <c r="C42" s="291"/>
      <c r="D42" s="291"/>
      <c r="E42" s="291"/>
      <c r="F42" s="291"/>
      <c r="G42" s="291"/>
      <c r="H42" s="291"/>
      <c r="I42" s="291"/>
      <c r="J42" s="292" t="s">
        <v>1180</v>
      </c>
      <c r="K42" s="292"/>
      <c r="L42" s="292"/>
      <c r="M42" s="292"/>
      <c r="N42" s="292"/>
      <c r="O42" s="292"/>
      <c r="P42" s="292"/>
      <c r="Q42" s="293"/>
    </row>
    <row r="43" spans="2:17" x14ac:dyDescent="0.3">
      <c r="B43" s="245"/>
      <c r="C43" s="246"/>
      <c r="D43" s="246"/>
      <c r="E43" s="246"/>
      <c r="F43" s="246"/>
      <c r="G43" s="246"/>
      <c r="H43" s="246"/>
      <c r="I43" s="294"/>
      <c r="J43" s="298"/>
      <c r="K43" s="246"/>
      <c r="L43" s="246"/>
      <c r="M43" s="246"/>
      <c r="N43" s="246"/>
      <c r="O43" s="246"/>
      <c r="P43" s="246"/>
      <c r="Q43" s="247"/>
    </row>
    <row r="44" spans="2:17" x14ac:dyDescent="0.3">
      <c r="B44" s="224"/>
      <c r="C44" s="225"/>
      <c r="D44" s="225"/>
      <c r="E44" s="225"/>
      <c r="F44" s="225"/>
      <c r="G44" s="225"/>
      <c r="H44" s="225"/>
      <c r="I44" s="226"/>
      <c r="J44" s="299"/>
      <c r="K44" s="225"/>
      <c r="L44" s="225"/>
      <c r="M44" s="225"/>
      <c r="N44" s="225"/>
      <c r="O44" s="225"/>
      <c r="P44" s="225"/>
      <c r="Q44" s="300"/>
    </row>
    <row r="45" spans="2:17" x14ac:dyDescent="0.3">
      <c r="B45" s="224"/>
      <c r="C45" s="225"/>
      <c r="D45" s="225"/>
      <c r="E45" s="225"/>
      <c r="F45" s="225"/>
      <c r="G45" s="225"/>
      <c r="H45" s="225"/>
      <c r="I45" s="226"/>
      <c r="J45" s="299"/>
      <c r="K45" s="225"/>
      <c r="L45" s="225"/>
      <c r="M45" s="225"/>
      <c r="N45" s="225"/>
      <c r="O45" s="225"/>
      <c r="P45" s="225"/>
      <c r="Q45" s="300"/>
    </row>
    <row r="46" spans="2:17" x14ac:dyDescent="0.3">
      <c r="B46" s="224"/>
      <c r="C46" s="225"/>
      <c r="D46" s="225"/>
      <c r="E46" s="225"/>
      <c r="F46" s="225"/>
      <c r="G46" s="225"/>
      <c r="H46" s="225"/>
      <c r="I46" s="226"/>
      <c r="J46" s="299"/>
      <c r="K46" s="225"/>
      <c r="L46" s="225"/>
      <c r="M46" s="225"/>
      <c r="N46" s="225"/>
      <c r="O46" s="225"/>
      <c r="P46" s="225"/>
      <c r="Q46" s="300"/>
    </row>
    <row r="47" spans="2:17" x14ac:dyDescent="0.3">
      <c r="B47" s="224"/>
      <c r="C47" s="225"/>
      <c r="D47" s="225"/>
      <c r="E47" s="225"/>
      <c r="F47" s="225"/>
      <c r="G47" s="225"/>
      <c r="H47" s="225"/>
      <c r="I47" s="226"/>
      <c r="J47" s="301"/>
      <c r="K47" s="296"/>
      <c r="L47" s="296"/>
      <c r="M47" s="296"/>
      <c r="N47" s="296"/>
      <c r="O47" s="296"/>
      <c r="P47" s="296"/>
      <c r="Q47" s="302"/>
    </row>
    <row r="48" spans="2:17" x14ac:dyDescent="0.3">
      <c r="B48" s="295"/>
      <c r="C48" s="296"/>
      <c r="D48" s="296"/>
      <c r="E48" s="296"/>
      <c r="F48" s="296"/>
      <c r="G48" s="296"/>
      <c r="H48" s="296"/>
      <c r="I48" s="297"/>
      <c r="J48" s="243" t="s">
        <v>1181</v>
      </c>
      <c r="K48" s="243"/>
      <c r="L48" s="243"/>
      <c r="M48" s="243"/>
      <c r="N48" s="243"/>
      <c r="O48" s="243"/>
      <c r="P48" s="243"/>
      <c r="Q48" s="244"/>
    </row>
    <row r="49" spans="2:17" ht="11.25" customHeight="1" x14ac:dyDescent="0.3">
      <c r="B49" s="245" t="s">
        <v>1182</v>
      </c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7"/>
    </row>
    <row r="50" spans="2:17" ht="11.25" customHeight="1" thickBot="1" x14ac:dyDescent="0.35">
      <c r="B50" s="248"/>
      <c r="C50" s="249"/>
      <c r="D50" s="249"/>
      <c r="E50" s="249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50"/>
    </row>
    <row r="51" spans="2:17" ht="41.25" customHeight="1" x14ac:dyDescent="0.3"/>
  </sheetData>
  <mergeCells count="82">
    <mergeCell ref="B49:Q50"/>
    <mergeCell ref="B41:Q41"/>
    <mergeCell ref="B42:I42"/>
    <mergeCell ref="J42:Q42"/>
    <mergeCell ref="B43:I48"/>
    <mergeCell ref="J43:Q47"/>
    <mergeCell ref="J48:Q48"/>
    <mergeCell ref="B39:B40"/>
    <mergeCell ref="C39:G39"/>
    <mergeCell ref="H39:H40"/>
    <mergeCell ref="I39:L39"/>
    <mergeCell ref="Q39:Q40"/>
    <mergeCell ref="C40:G40"/>
    <mergeCell ref="I40:L40"/>
    <mergeCell ref="B38:Q38"/>
    <mergeCell ref="B27:Q27"/>
    <mergeCell ref="B28:Q28"/>
    <mergeCell ref="B29:Q29"/>
    <mergeCell ref="B30:Q30"/>
    <mergeCell ref="B31:Q31"/>
    <mergeCell ref="B32:Q32"/>
    <mergeCell ref="B33:Q33"/>
    <mergeCell ref="B34:Q34"/>
    <mergeCell ref="B35:Q35"/>
    <mergeCell ref="B36:Q36"/>
    <mergeCell ref="B37:Q37"/>
    <mergeCell ref="B26:Q26"/>
    <mergeCell ref="B19:I19"/>
    <mergeCell ref="J19:K19"/>
    <mergeCell ref="L19:Q19"/>
    <mergeCell ref="B20:Q20"/>
    <mergeCell ref="B21:F21"/>
    <mergeCell ref="G21:I21"/>
    <mergeCell ref="J21:Q21"/>
    <mergeCell ref="B22:F22"/>
    <mergeCell ref="J22:Q22"/>
    <mergeCell ref="B23:Q23"/>
    <mergeCell ref="B24:Q24"/>
    <mergeCell ref="B25:Q25"/>
    <mergeCell ref="B9:F9"/>
    <mergeCell ref="B17:I17"/>
    <mergeCell ref="J17:K17"/>
    <mergeCell ref="L17:Q17"/>
    <mergeCell ref="B18:I18"/>
    <mergeCell ref="J18:K18"/>
    <mergeCell ref="L18:Q18"/>
    <mergeCell ref="B16:I16"/>
    <mergeCell ref="J16:K16"/>
    <mergeCell ref="L16:Q16"/>
    <mergeCell ref="C10:F10"/>
    <mergeCell ref="G10:Q10"/>
    <mergeCell ref="B11:F11"/>
    <mergeCell ref="G11:Q11"/>
    <mergeCell ref="B12:F12"/>
    <mergeCell ref="G12:Q12"/>
    <mergeCell ref="B13:Q13"/>
    <mergeCell ref="B14:C14"/>
    <mergeCell ref="D14:Q14"/>
    <mergeCell ref="B15:C15"/>
    <mergeCell ref="D15:Q15"/>
    <mergeCell ref="G9:Q9"/>
    <mergeCell ref="B5:C5"/>
    <mergeCell ref="D5:F5"/>
    <mergeCell ref="G5:I5"/>
    <mergeCell ref="J5:Q5"/>
    <mergeCell ref="B6:C6"/>
    <mergeCell ref="D6:F7"/>
    <mergeCell ref="G6:I6"/>
    <mergeCell ref="J6:Q6"/>
    <mergeCell ref="B7:C7"/>
    <mergeCell ref="G7:I7"/>
    <mergeCell ref="J7:Q7"/>
    <mergeCell ref="B8:C8"/>
    <mergeCell ref="D8:F8"/>
    <mergeCell ref="G8:I8"/>
    <mergeCell ref="J8:Q8"/>
    <mergeCell ref="B2:Q2"/>
    <mergeCell ref="B3:Q3"/>
    <mergeCell ref="B4:C4"/>
    <mergeCell ref="D4:F4"/>
    <mergeCell ref="G4:I4"/>
    <mergeCell ref="J4:Q4"/>
  </mergeCells>
  <pageMargins left="0.25" right="0.25" top="0.75" bottom="0.75" header="0.3" footer="0.3"/>
  <pageSetup paperSize="9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pageSetUpPr fitToPage="1"/>
  </sheetPr>
  <dimension ref="A1:AM525"/>
  <sheetViews>
    <sheetView zoomScale="85" zoomScaleNormal="85" workbookViewId="0">
      <selection activeCell="C3" sqref="C3:J3"/>
    </sheetView>
  </sheetViews>
  <sheetFormatPr defaultColWidth="8.88671875" defaultRowHeight="14.4" x14ac:dyDescent="0.3"/>
  <cols>
    <col min="1" max="1" width="8.33203125" customWidth="1"/>
    <col min="2" max="2" width="90.44140625" customWidth="1"/>
    <col min="3" max="3" width="9.88671875" customWidth="1"/>
    <col min="4" max="4" width="9.6640625" bestFit="1" customWidth="1"/>
    <col min="5" max="5" width="14.44140625" customWidth="1"/>
    <col min="6" max="6" width="13.33203125" customWidth="1"/>
    <col min="7" max="7" width="16.44140625" customWidth="1"/>
    <col min="8" max="8" width="20.109375" customWidth="1"/>
    <col min="9" max="9" width="19.44140625" customWidth="1"/>
    <col min="10" max="10" width="28" bestFit="1" customWidth="1"/>
    <col min="11" max="11" width="5.109375" customWidth="1"/>
    <col min="12" max="12" width="5.109375" hidden="1" customWidth="1"/>
    <col min="13" max="13" width="53" hidden="1" customWidth="1"/>
    <col min="14" max="14" width="48.6640625" hidden="1" customWidth="1"/>
    <col min="15" max="15" width="9.88671875" hidden="1" customWidth="1"/>
    <col min="16" max="20" width="9.88671875" customWidth="1"/>
    <col min="21" max="21" width="9.88671875" hidden="1" customWidth="1"/>
    <col min="22" max="22" width="12.44140625" hidden="1" customWidth="1"/>
    <col min="23" max="23" width="8.109375" hidden="1" customWidth="1"/>
    <col min="24" max="24" width="18.88671875" hidden="1" customWidth="1"/>
    <col min="25" max="26" width="15.6640625" hidden="1" customWidth="1"/>
    <col min="27" max="29" width="9.109375" hidden="1" customWidth="1"/>
    <col min="30" max="30" width="15.44140625" hidden="1" customWidth="1"/>
    <col min="31" max="31" width="14.33203125" hidden="1" customWidth="1"/>
    <col min="32" max="32" width="15.44140625" hidden="1" customWidth="1"/>
    <col min="33" max="33" width="9.109375" hidden="1" customWidth="1"/>
    <col min="34" max="34" width="15.33203125" hidden="1" customWidth="1"/>
    <col min="35" max="35" width="18.6640625" hidden="1" customWidth="1"/>
    <col min="36" max="36" width="16.109375" hidden="1" customWidth="1"/>
    <col min="37" max="37" width="9.109375" hidden="1" customWidth="1"/>
    <col min="38" max="38" width="12.109375" customWidth="1"/>
  </cols>
  <sheetData>
    <row r="1" spans="1:39" ht="27" customHeight="1" x14ac:dyDescent="0.3">
      <c r="B1" s="83" t="s">
        <v>0</v>
      </c>
    </row>
    <row r="2" spans="1:39" ht="15" thickBot="1" x14ac:dyDescent="0.35"/>
    <row r="3" spans="1:39" ht="107.25" customHeight="1" x14ac:dyDescent="0.3">
      <c r="A3" s="1"/>
      <c r="B3" s="1"/>
      <c r="C3" s="307" t="s">
        <v>1</v>
      </c>
      <c r="D3" s="307"/>
      <c r="E3" s="307"/>
      <c r="F3" s="307"/>
      <c r="G3" s="307"/>
      <c r="H3" s="307"/>
      <c r="I3" s="307"/>
      <c r="J3" s="308"/>
      <c r="M3" s="306" t="s">
        <v>2</v>
      </c>
      <c r="N3" s="306"/>
      <c r="O3" s="49"/>
      <c r="P3" s="49"/>
      <c r="Q3" s="49"/>
      <c r="R3" s="49"/>
      <c r="S3" s="49"/>
      <c r="T3" s="49"/>
      <c r="U3" s="49"/>
      <c r="V3" s="49"/>
      <c r="W3" s="49"/>
    </row>
    <row r="4" spans="1:39" ht="24" customHeight="1" x14ac:dyDescent="0.3">
      <c r="A4" s="31"/>
      <c r="B4" s="31" t="s">
        <v>3</v>
      </c>
      <c r="C4" s="50"/>
      <c r="D4" s="50"/>
      <c r="E4" s="50"/>
      <c r="F4" s="50"/>
      <c r="G4" s="52" t="s">
        <v>4</v>
      </c>
      <c r="H4" s="61" t="s">
        <v>1058</v>
      </c>
      <c r="I4" s="50"/>
      <c r="J4" s="51"/>
      <c r="M4" s="79" t="s">
        <v>5</v>
      </c>
      <c r="N4" s="79" t="s">
        <v>6</v>
      </c>
      <c r="O4" s="46"/>
      <c r="P4" s="46"/>
      <c r="Q4" s="46"/>
      <c r="R4" s="46"/>
      <c r="S4" s="46"/>
      <c r="T4" s="46"/>
      <c r="U4" s="46"/>
      <c r="V4" s="46"/>
      <c r="W4" s="46"/>
    </row>
    <row r="5" spans="1:39" ht="38.25" customHeight="1" thickBot="1" x14ac:dyDescent="0.35">
      <c r="A5" s="33"/>
      <c r="B5" s="32" t="s">
        <v>1056</v>
      </c>
      <c r="C5" s="84" t="s">
        <v>7</v>
      </c>
      <c r="D5" s="309" t="s">
        <v>1057</v>
      </c>
      <c r="E5" s="309"/>
      <c r="F5" s="309"/>
      <c r="G5" s="309"/>
      <c r="H5" s="60"/>
      <c r="I5" s="47" t="s">
        <v>8</v>
      </c>
      <c r="J5" s="48">
        <f>N7</f>
        <v>0.31006343060435948</v>
      </c>
      <c r="M5" s="85">
        <v>0.36009999999999998</v>
      </c>
      <c r="N5" s="85">
        <v>0.36009999999999998</v>
      </c>
      <c r="V5" s="59" t="s">
        <v>9</v>
      </c>
      <c r="X5" s="59"/>
      <c r="AB5" s="59" t="s">
        <v>10</v>
      </c>
      <c r="AH5" s="90" t="s">
        <v>11</v>
      </c>
    </row>
    <row r="6" spans="1:39" ht="18.600000000000001" thickBot="1" x14ac:dyDescent="0.35">
      <c r="A6" s="34"/>
      <c r="B6" s="35"/>
      <c r="C6" s="36"/>
      <c r="D6" s="37"/>
      <c r="E6" s="37"/>
      <c r="F6" s="37"/>
      <c r="G6" s="37"/>
      <c r="H6" s="38"/>
      <c r="I6" s="38"/>
      <c r="J6" s="38"/>
      <c r="Y6" s="53"/>
      <c r="Z6" s="53"/>
    </row>
    <row r="7" spans="1:39" ht="58.2" thickBot="1" x14ac:dyDescent="0.35">
      <c r="A7" s="2" t="s">
        <v>12</v>
      </c>
      <c r="B7" s="3" t="s">
        <v>13</v>
      </c>
      <c r="C7" s="39" t="s">
        <v>14</v>
      </c>
      <c r="D7" s="4" t="s">
        <v>15</v>
      </c>
      <c r="E7" s="45" t="s">
        <v>16</v>
      </c>
      <c r="F7" s="45" t="s">
        <v>17</v>
      </c>
      <c r="G7" s="5" t="s">
        <v>18</v>
      </c>
      <c r="H7" s="5" t="s">
        <v>19</v>
      </c>
      <c r="I7" s="5" t="s">
        <v>20</v>
      </c>
      <c r="J7" s="40" t="s">
        <v>21</v>
      </c>
      <c r="M7" s="82" t="s">
        <v>22</v>
      </c>
      <c r="N7" s="81">
        <f>1-(J516/AF516)</f>
        <v>0.31006343060435948</v>
      </c>
      <c r="V7" s="4" t="s">
        <v>14</v>
      </c>
      <c r="W7" s="4" t="s">
        <v>15</v>
      </c>
      <c r="X7" s="5" t="s">
        <v>23</v>
      </c>
      <c r="Y7" s="5" t="s">
        <v>24</v>
      </c>
      <c r="Z7" s="5" t="s">
        <v>25</v>
      </c>
      <c r="AB7" s="4" t="s">
        <v>14</v>
      </c>
      <c r="AC7" s="4" t="s">
        <v>15</v>
      </c>
      <c r="AD7" s="5" t="s">
        <v>23</v>
      </c>
      <c r="AE7" s="5" t="s">
        <v>24</v>
      </c>
      <c r="AF7" s="5" t="s">
        <v>25</v>
      </c>
      <c r="AH7" s="87" t="s">
        <v>23</v>
      </c>
      <c r="AI7" s="87" t="s">
        <v>24</v>
      </c>
      <c r="AJ7" s="87" t="s">
        <v>25</v>
      </c>
    </row>
    <row r="8" spans="1:39" ht="23.25" customHeight="1" x14ac:dyDescent="0.3">
      <c r="A8" s="6">
        <v>1</v>
      </c>
      <c r="B8" s="7" t="s">
        <v>26</v>
      </c>
      <c r="C8" s="8"/>
      <c r="D8" s="9"/>
      <c r="E8" s="9"/>
      <c r="F8" s="9"/>
      <c r="G8" s="9"/>
      <c r="H8" s="24">
        <f t="shared" ref="H8:I8" si="0">SUM(H9:H15)</f>
        <v>534671.56000000017</v>
      </c>
      <c r="I8" s="24">
        <f t="shared" si="0"/>
        <v>324422.94000000006</v>
      </c>
      <c r="J8" s="24">
        <f>SUM(J9:J15)</f>
        <v>859094.50000000012</v>
      </c>
      <c r="M8" s="304" t="s">
        <v>27</v>
      </c>
      <c r="N8" s="304"/>
      <c r="V8" s="77"/>
      <c r="W8" s="75"/>
      <c r="X8" s="23"/>
      <c r="Y8" s="23"/>
      <c r="Z8" s="23"/>
      <c r="AB8" s="77"/>
      <c r="AC8" s="75"/>
      <c r="AD8" s="23"/>
      <c r="AE8" s="23"/>
      <c r="AF8" s="23"/>
      <c r="AH8" s="74"/>
      <c r="AI8" s="74"/>
      <c r="AJ8" s="74"/>
    </row>
    <row r="9" spans="1:39" ht="26.25" customHeight="1" x14ac:dyDescent="0.3">
      <c r="A9" s="10" t="s">
        <v>28</v>
      </c>
      <c r="B9" s="11" t="s">
        <v>29</v>
      </c>
      <c r="C9" s="12">
        <f t="shared" ref="C9:D15" si="1">V9</f>
        <v>1272</v>
      </c>
      <c r="D9" s="41" t="str">
        <f t="shared" si="1"/>
        <v xml:space="preserve">un </v>
      </c>
      <c r="E9" s="41">
        <v>0</v>
      </c>
      <c r="F9" s="41">
        <v>92.13</v>
      </c>
      <c r="G9" s="41">
        <f>F9+E9</f>
        <v>92.13</v>
      </c>
      <c r="H9" s="13">
        <f>C9*E9</f>
        <v>0</v>
      </c>
      <c r="I9" s="13">
        <f>C9*F9</f>
        <v>117189.36</v>
      </c>
      <c r="J9" s="14">
        <f>SUM(E9:F9)*C9</f>
        <v>117189.36</v>
      </c>
      <c r="M9" s="304"/>
      <c r="N9" s="304"/>
      <c r="V9" s="74">
        <v>1272</v>
      </c>
      <c r="W9" s="74" t="s">
        <v>30</v>
      </c>
      <c r="X9" s="78">
        <v>0</v>
      </c>
      <c r="Y9" s="78">
        <v>91.79</v>
      </c>
      <c r="Z9" s="13">
        <f t="shared" ref="Z9:Z15" si="2">SUM(X9:Y9)</f>
        <v>91.79</v>
      </c>
      <c r="AB9" s="74">
        <v>1272</v>
      </c>
      <c r="AC9" s="74" t="s">
        <v>30</v>
      </c>
      <c r="AD9" s="78">
        <v>0</v>
      </c>
      <c r="AE9" s="78">
        <v>118.24</v>
      </c>
      <c r="AF9" s="13">
        <f t="shared" ref="AF9:AF15" si="3">SUM(AD9:AE9)</f>
        <v>118.24</v>
      </c>
      <c r="AH9" s="89">
        <f t="shared" ref="AH9:AH76" si="4">IF(E9=0,0,(E9/AD9)-1)</f>
        <v>0</v>
      </c>
      <c r="AI9" s="89">
        <f>IF(F9=0,0,(F9/AE9)-1)</f>
        <v>-0.22082205683355882</v>
      </c>
      <c r="AJ9" s="89">
        <f>IF(G9=0,0,(G9/AF9)-1)</f>
        <v>-0.22082205683355882</v>
      </c>
      <c r="AM9" s="91"/>
    </row>
    <row r="10" spans="1:39" ht="21.75" customHeight="1" x14ac:dyDescent="0.3">
      <c r="A10" s="10" t="s">
        <v>31</v>
      </c>
      <c r="B10" s="11" t="s">
        <v>32</v>
      </c>
      <c r="C10" s="12">
        <f t="shared" ref="C10:C12" si="5">V10</f>
        <v>159470</v>
      </c>
      <c r="D10" s="41" t="str">
        <f t="shared" ref="D10:D12" si="6">W10</f>
        <v>km</v>
      </c>
      <c r="E10" s="41">
        <v>1.58</v>
      </c>
      <c r="F10" s="41">
        <v>0.83</v>
      </c>
      <c r="G10" s="41">
        <f t="shared" ref="G10:G12" si="7">F10+E10</f>
        <v>2.41</v>
      </c>
      <c r="H10" s="13">
        <f t="shared" ref="H10:H12" si="8">C10*E10</f>
        <v>251962.6</v>
      </c>
      <c r="I10" s="13">
        <f t="shared" ref="I10:I12" si="9">C10*F10</f>
        <v>132360.1</v>
      </c>
      <c r="J10" s="14">
        <f t="shared" ref="J10:J12" si="10">SUM(E10:F10)*C10</f>
        <v>384322.7</v>
      </c>
      <c r="M10" s="86"/>
      <c r="N10" s="86"/>
      <c r="V10" s="74">
        <v>159470</v>
      </c>
      <c r="W10" s="74" t="s">
        <v>33</v>
      </c>
      <c r="X10" s="78">
        <v>1.88</v>
      </c>
      <c r="Y10" s="78">
        <v>0.82</v>
      </c>
      <c r="Z10" s="13">
        <f t="shared" si="2"/>
        <v>2.6999999999999997</v>
      </c>
      <c r="AB10" s="74">
        <v>159470</v>
      </c>
      <c r="AC10" s="74" t="s">
        <v>33</v>
      </c>
      <c r="AD10" s="78">
        <v>2.42</v>
      </c>
      <c r="AE10" s="78">
        <v>1.06</v>
      </c>
      <c r="AF10" s="13">
        <f t="shared" si="3"/>
        <v>3.48</v>
      </c>
      <c r="AH10" s="89">
        <f t="shared" ref="AH10:AH12" si="11">IF(E10=0,0,(E10/AD10)-1)</f>
        <v>-0.34710743801652888</v>
      </c>
      <c r="AI10" s="89">
        <f t="shared" ref="AI10:AI12" si="12">IF(F10=0,0,(F10/AE10)-1)</f>
        <v>-0.21698113207547176</v>
      </c>
      <c r="AJ10" s="89">
        <f t="shared" ref="AJ10:AJ12" si="13">IF(G10=0,0,(G10/AF10)-1)</f>
        <v>-0.30747126436781602</v>
      </c>
    </row>
    <row r="11" spans="1:39" ht="21.75" customHeight="1" x14ac:dyDescent="0.3">
      <c r="A11" s="10" t="s">
        <v>34</v>
      </c>
      <c r="B11" s="11" t="s">
        <v>35</v>
      </c>
      <c r="C11" s="12">
        <f t="shared" si="5"/>
        <v>160</v>
      </c>
      <c r="D11" s="41" t="str">
        <f t="shared" si="6"/>
        <v xml:space="preserve">un </v>
      </c>
      <c r="E11" s="41">
        <v>61.47</v>
      </c>
      <c r="F11" s="41">
        <v>364.58</v>
      </c>
      <c r="G11" s="41">
        <f t="shared" si="7"/>
        <v>426.04999999999995</v>
      </c>
      <c r="H11" s="13">
        <f t="shared" si="8"/>
        <v>9835.2000000000007</v>
      </c>
      <c r="I11" s="13">
        <f t="shared" si="9"/>
        <v>58332.799999999996</v>
      </c>
      <c r="J11" s="14">
        <f t="shared" si="10"/>
        <v>68168</v>
      </c>
      <c r="M11" s="86"/>
      <c r="N11" s="86"/>
      <c r="V11" s="74">
        <v>160</v>
      </c>
      <c r="W11" s="74" t="s">
        <v>30</v>
      </c>
      <c r="X11" s="78">
        <v>88.78</v>
      </c>
      <c r="Y11" s="78">
        <v>377.3</v>
      </c>
      <c r="Z11" s="13">
        <f t="shared" si="2"/>
        <v>466.08000000000004</v>
      </c>
      <c r="AB11" s="74">
        <v>160</v>
      </c>
      <c r="AC11" s="74" t="s">
        <v>30</v>
      </c>
      <c r="AD11" s="78">
        <v>114.37</v>
      </c>
      <c r="AE11" s="78">
        <v>486.04</v>
      </c>
      <c r="AF11" s="13">
        <f t="shared" si="3"/>
        <v>600.41000000000008</v>
      </c>
      <c r="AH11" s="89">
        <f t="shared" si="11"/>
        <v>-0.46253388126256889</v>
      </c>
      <c r="AI11" s="89">
        <f t="shared" si="12"/>
        <v>-0.24989712780841089</v>
      </c>
      <c r="AJ11" s="89">
        <f t="shared" si="13"/>
        <v>-0.29040155893472808</v>
      </c>
    </row>
    <row r="12" spans="1:39" ht="21.75" customHeight="1" x14ac:dyDescent="0.3">
      <c r="A12" s="10" t="s">
        <v>36</v>
      </c>
      <c r="B12" s="11" t="s">
        <v>37</v>
      </c>
      <c r="C12" s="12">
        <f t="shared" si="5"/>
        <v>69</v>
      </c>
      <c r="D12" s="41" t="str">
        <f t="shared" si="6"/>
        <v xml:space="preserve">un </v>
      </c>
      <c r="E12" s="41">
        <v>0</v>
      </c>
      <c r="F12" s="41">
        <v>230.37</v>
      </c>
      <c r="G12" s="41">
        <f t="shared" si="7"/>
        <v>230.37</v>
      </c>
      <c r="H12" s="13">
        <f t="shared" si="8"/>
        <v>0</v>
      </c>
      <c r="I12" s="13">
        <f t="shared" si="9"/>
        <v>15895.53</v>
      </c>
      <c r="J12" s="14">
        <f t="shared" si="10"/>
        <v>15895.53</v>
      </c>
      <c r="M12" s="86"/>
      <c r="N12" s="86"/>
      <c r="V12" s="74">
        <v>69</v>
      </c>
      <c r="W12" s="74" t="s">
        <v>30</v>
      </c>
      <c r="X12" s="78">
        <v>0</v>
      </c>
      <c r="Y12" s="78">
        <v>274.56</v>
      </c>
      <c r="Z12" s="13">
        <f t="shared" ref="Z12" si="14">SUM(X12:Y12)</f>
        <v>274.56</v>
      </c>
      <c r="AB12" s="74">
        <v>69</v>
      </c>
      <c r="AC12" s="74" t="s">
        <v>30</v>
      </c>
      <c r="AD12" s="78">
        <v>0</v>
      </c>
      <c r="AE12" s="78">
        <v>353.69</v>
      </c>
      <c r="AF12" s="13">
        <f t="shared" ref="AF12" si="15">SUM(AD12:AE12)</f>
        <v>353.69</v>
      </c>
      <c r="AH12" s="89">
        <f t="shared" si="11"/>
        <v>0</v>
      </c>
      <c r="AI12" s="89">
        <f t="shared" si="12"/>
        <v>-0.34866691170233821</v>
      </c>
      <c r="AJ12" s="89">
        <f t="shared" si="13"/>
        <v>-0.34866691170233821</v>
      </c>
    </row>
    <row r="13" spans="1:39" ht="21.75" customHeight="1" x14ac:dyDescent="0.3">
      <c r="A13" s="10" t="s">
        <v>38</v>
      </c>
      <c r="B13" s="11" t="s">
        <v>39</v>
      </c>
      <c r="C13" s="12">
        <f t="shared" si="1"/>
        <v>160</v>
      </c>
      <c r="D13" s="41" t="str">
        <f t="shared" si="1"/>
        <v xml:space="preserve">un </v>
      </c>
      <c r="E13" s="41">
        <v>1705.44</v>
      </c>
      <c r="F13" s="41">
        <v>0</v>
      </c>
      <c r="G13" s="41">
        <f t="shared" ref="G13:G87" si="16">F13+E13</f>
        <v>1705.44</v>
      </c>
      <c r="H13" s="13">
        <f t="shared" ref="H13:H15" si="17">C13*E13</f>
        <v>272870.40000000002</v>
      </c>
      <c r="I13" s="13">
        <f t="shared" ref="I13:I15" si="18">C13*F13</f>
        <v>0</v>
      </c>
      <c r="J13" s="14">
        <f t="shared" ref="J13:J52" si="19">SUM(E13:F13)*C13</f>
        <v>272870.40000000002</v>
      </c>
      <c r="M13" s="86"/>
      <c r="N13" s="86"/>
      <c r="V13" s="74">
        <v>160</v>
      </c>
      <c r="W13" s="74" t="s">
        <v>30</v>
      </c>
      <c r="X13" s="78">
        <v>2145.2600000000002</v>
      </c>
      <c r="Y13" s="78">
        <v>0</v>
      </c>
      <c r="Z13" s="13">
        <f t="shared" si="2"/>
        <v>2145.2600000000002</v>
      </c>
      <c r="AB13" s="74">
        <v>160</v>
      </c>
      <c r="AC13" s="74" t="s">
        <v>30</v>
      </c>
      <c r="AD13" s="78">
        <v>2763.52</v>
      </c>
      <c r="AE13" s="78">
        <v>0</v>
      </c>
      <c r="AF13" s="13">
        <f t="shared" si="3"/>
        <v>2763.52</v>
      </c>
      <c r="AH13" s="89">
        <f t="shared" si="4"/>
        <v>-0.38287401574803148</v>
      </c>
      <c r="AI13" s="89">
        <f t="shared" ref="AI13:AI77" si="20">IF(F13=0,0,(F13/AE13)-1)</f>
        <v>0</v>
      </c>
      <c r="AJ13" s="89">
        <f t="shared" ref="AJ13:AJ77" si="21">IF(G13=0,0,(G13/AF13)-1)</f>
        <v>-0.38287401574803148</v>
      </c>
    </row>
    <row r="14" spans="1:39" ht="51.6" x14ac:dyDescent="0.3">
      <c r="A14" s="10" t="s">
        <v>40</v>
      </c>
      <c r="B14" s="11" t="s">
        <v>41</v>
      </c>
      <c r="C14" s="12">
        <f t="shared" si="1"/>
        <v>1</v>
      </c>
      <c r="D14" s="41" t="str">
        <f t="shared" si="1"/>
        <v>Km</v>
      </c>
      <c r="E14" s="41">
        <v>0.68</v>
      </c>
      <c r="F14" s="41">
        <v>1.65</v>
      </c>
      <c r="G14" s="41">
        <f t="shared" si="16"/>
        <v>2.33</v>
      </c>
      <c r="H14" s="13">
        <f t="shared" si="17"/>
        <v>0.68</v>
      </c>
      <c r="I14" s="13">
        <f t="shared" si="18"/>
        <v>1.65</v>
      </c>
      <c r="J14" s="14">
        <f t="shared" si="19"/>
        <v>2.33</v>
      </c>
      <c r="M14" s="82" t="s">
        <v>42</v>
      </c>
      <c r="N14" s="93">
        <f>IF(M5=0,0,ROUND(AH519,4))</f>
        <v>-0.34920000000000001</v>
      </c>
      <c r="V14" s="74">
        <v>1</v>
      </c>
      <c r="W14" s="74" t="s">
        <v>43</v>
      </c>
      <c r="X14" s="78">
        <v>0.78</v>
      </c>
      <c r="Y14" s="78">
        <v>1.67</v>
      </c>
      <c r="Z14" s="13">
        <f t="shared" si="2"/>
        <v>2.4500000000000002</v>
      </c>
      <c r="AB14" s="74">
        <v>1</v>
      </c>
      <c r="AC14" s="74" t="s">
        <v>43</v>
      </c>
      <c r="AD14" s="78">
        <v>1</v>
      </c>
      <c r="AE14" s="78">
        <v>2.15</v>
      </c>
      <c r="AF14" s="13">
        <f t="shared" si="3"/>
        <v>3.15</v>
      </c>
      <c r="AH14" s="89">
        <f t="shared" si="4"/>
        <v>-0.31999999999999995</v>
      </c>
      <c r="AI14" s="89">
        <f t="shared" si="20"/>
        <v>-0.23255813953488369</v>
      </c>
      <c r="AJ14" s="89">
        <f t="shared" si="21"/>
        <v>-0.26031746031746028</v>
      </c>
    </row>
    <row r="15" spans="1:39" ht="48.75" customHeight="1" x14ac:dyDescent="0.3">
      <c r="A15" s="10" t="s">
        <v>44</v>
      </c>
      <c r="B15" s="11" t="s">
        <v>45</v>
      </c>
      <c r="C15" s="12">
        <f t="shared" si="1"/>
        <v>1</v>
      </c>
      <c r="D15" s="41" t="str">
        <f t="shared" si="1"/>
        <v>UN</v>
      </c>
      <c r="E15" s="41">
        <v>2.68</v>
      </c>
      <c r="F15" s="41">
        <v>643.5</v>
      </c>
      <c r="G15" s="41">
        <f t="shared" si="16"/>
        <v>646.17999999999995</v>
      </c>
      <c r="H15" s="13">
        <f t="shared" si="17"/>
        <v>2.68</v>
      </c>
      <c r="I15" s="13">
        <f t="shared" si="18"/>
        <v>643.5</v>
      </c>
      <c r="J15" s="14">
        <f t="shared" si="19"/>
        <v>646.17999999999995</v>
      </c>
      <c r="M15" s="82" t="s">
        <v>46</v>
      </c>
      <c r="N15" s="93">
        <f>IF(N5=0,0,ROUND(AI519,4))</f>
        <v>-0.26300000000000001</v>
      </c>
      <c r="V15" s="74">
        <v>1</v>
      </c>
      <c r="W15" s="74" t="s">
        <v>47</v>
      </c>
      <c r="X15" s="78">
        <v>92.28</v>
      </c>
      <c r="Y15" s="78">
        <v>646.9</v>
      </c>
      <c r="Z15" s="13">
        <f t="shared" si="2"/>
        <v>739.18</v>
      </c>
      <c r="AB15" s="74">
        <v>1</v>
      </c>
      <c r="AC15" s="74" t="s">
        <v>47</v>
      </c>
      <c r="AD15" s="78">
        <v>118.88</v>
      </c>
      <c r="AE15" s="78">
        <v>833.34</v>
      </c>
      <c r="AF15" s="13">
        <f t="shared" si="3"/>
        <v>952.22</v>
      </c>
      <c r="AH15" s="89">
        <f t="shared" si="4"/>
        <v>-0.97745625841184391</v>
      </c>
      <c r="AI15" s="89">
        <f t="shared" si="20"/>
        <v>-0.22780617755057964</v>
      </c>
      <c r="AJ15" s="89">
        <f t="shared" si="21"/>
        <v>-0.32139631597740026</v>
      </c>
    </row>
    <row r="16" spans="1:39" ht="20.25" customHeight="1" x14ac:dyDescent="0.3">
      <c r="A16" s="15">
        <v>2</v>
      </c>
      <c r="B16" s="16" t="s">
        <v>48</v>
      </c>
      <c r="C16" s="76"/>
      <c r="D16" s="58"/>
      <c r="E16" s="58">
        <v>0</v>
      </c>
      <c r="F16" s="58">
        <v>0</v>
      </c>
      <c r="G16" s="58"/>
      <c r="H16" s="43">
        <f t="shared" ref="H16:I16" si="22">SUM(H17:H52)</f>
        <v>249041.51000000004</v>
      </c>
      <c r="I16" s="43">
        <f t="shared" si="22"/>
        <v>345856.34</v>
      </c>
      <c r="J16" s="43">
        <f>SUM(J17:J52)</f>
        <v>594897.84999999986</v>
      </c>
      <c r="M16" s="304" t="s">
        <v>49</v>
      </c>
      <c r="N16" s="304"/>
      <c r="V16" s="42"/>
      <c r="W16" s="42"/>
      <c r="X16" s="42"/>
      <c r="Y16" s="42"/>
      <c r="Z16" s="42"/>
      <c r="AB16" s="42"/>
      <c r="AC16" s="42"/>
      <c r="AD16" s="42"/>
      <c r="AE16" s="42"/>
      <c r="AF16" s="42"/>
      <c r="AH16" s="89">
        <f t="shared" si="4"/>
        <v>0</v>
      </c>
      <c r="AI16" s="89">
        <f t="shared" si="20"/>
        <v>0</v>
      </c>
      <c r="AJ16" s="89">
        <f t="shared" si="21"/>
        <v>0</v>
      </c>
    </row>
    <row r="17" spans="1:36" ht="15" customHeight="1" x14ac:dyDescent="0.3">
      <c r="A17" s="10" t="s">
        <v>50</v>
      </c>
      <c r="B17" s="11" t="s">
        <v>51</v>
      </c>
      <c r="C17" s="12">
        <f t="shared" ref="C17:C52" si="23">V17</f>
        <v>12</v>
      </c>
      <c r="D17" s="41" t="str">
        <f t="shared" ref="D17:D52" si="24">W17</f>
        <v>m³</v>
      </c>
      <c r="E17" s="41">
        <v>0</v>
      </c>
      <c r="F17" s="41">
        <v>252.25</v>
      </c>
      <c r="G17" s="41">
        <f t="shared" si="16"/>
        <v>252.25</v>
      </c>
      <c r="H17" s="13">
        <f t="shared" ref="H17:H52" si="25">C17*E17</f>
        <v>0</v>
      </c>
      <c r="I17" s="13">
        <f t="shared" ref="I17:I52" si="26">C17*F17</f>
        <v>3027</v>
      </c>
      <c r="J17" s="14">
        <f t="shared" si="19"/>
        <v>3027</v>
      </c>
      <c r="V17" s="74">
        <v>12</v>
      </c>
      <c r="W17" s="74" t="s">
        <v>52</v>
      </c>
      <c r="X17" s="13">
        <v>0</v>
      </c>
      <c r="Y17" s="13">
        <v>267.23</v>
      </c>
      <c r="Z17" s="13">
        <f t="shared" ref="Z17:Z52" si="27">SUM(X17:Y17)</f>
        <v>267.23</v>
      </c>
      <c r="AB17" s="74">
        <v>12</v>
      </c>
      <c r="AC17" s="74" t="s">
        <v>52</v>
      </c>
      <c r="AD17" s="13">
        <v>0</v>
      </c>
      <c r="AE17" s="13">
        <v>344.25</v>
      </c>
      <c r="AF17" s="13">
        <f t="shared" ref="AF17:AF39" si="28">SUM(AD17:AE17)</f>
        <v>344.25</v>
      </c>
      <c r="AH17" s="89">
        <f t="shared" si="4"/>
        <v>0</v>
      </c>
      <c r="AI17" s="89">
        <f t="shared" si="20"/>
        <v>-0.26724763979665944</v>
      </c>
      <c r="AJ17" s="89">
        <f t="shared" si="21"/>
        <v>-0.26724763979665944</v>
      </c>
    </row>
    <row r="18" spans="1:36" ht="15" customHeight="1" x14ac:dyDescent="0.3">
      <c r="A18" s="10" t="s">
        <v>53</v>
      </c>
      <c r="B18" s="11" t="s">
        <v>54</v>
      </c>
      <c r="C18" s="12">
        <f t="shared" si="23"/>
        <v>41</v>
      </c>
      <c r="D18" s="41" t="str">
        <f t="shared" si="24"/>
        <v>m³</v>
      </c>
      <c r="E18" s="41">
        <v>0</v>
      </c>
      <c r="F18" s="41">
        <v>58.21</v>
      </c>
      <c r="G18" s="41">
        <f t="shared" si="16"/>
        <v>58.21</v>
      </c>
      <c r="H18" s="13">
        <f t="shared" si="25"/>
        <v>0</v>
      </c>
      <c r="I18" s="13">
        <f t="shared" si="26"/>
        <v>2386.61</v>
      </c>
      <c r="J18" s="14">
        <f t="shared" si="19"/>
        <v>2386.61</v>
      </c>
      <c r="M18" s="303" t="s">
        <v>55</v>
      </c>
      <c r="N18" s="303"/>
      <c r="V18" s="74">
        <v>41</v>
      </c>
      <c r="W18" s="74" t="s">
        <v>52</v>
      </c>
      <c r="X18" s="13">
        <v>0</v>
      </c>
      <c r="Y18" s="13">
        <v>61.67</v>
      </c>
      <c r="Z18" s="13">
        <f t="shared" si="27"/>
        <v>61.67</v>
      </c>
      <c r="AB18" s="74">
        <v>41</v>
      </c>
      <c r="AC18" s="74" t="s">
        <v>52</v>
      </c>
      <c r="AD18" s="13">
        <v>0</v>
      </c>
      <c r="AE18" s="13">
        <v>79.44</v>
      </c>
      <c r="AF18" s="13">
        <f t="shared" si="28"/>
        <v>79.44</v>
      </c>
      <c r="AH18" s="89">
        <f t="shared" si="4"/>
        <v>0</v>
      </c>
      <c r="AI18" s="89">
        <f t="shared" si="20"/>
        <v>-0.26724572004028191</v>
      </c>
      <c r="AJ18" s="89">
        <f t="shared" si="21"/>
        <v>-0.26724572004028191</v>
      </c>
    </row>
    <row r="19" spans="1:36" ht="15" customHeight="1" x14ac:dyDescent="0.3">
      <c r="A19" s="10" t="s">
        <v>56</v>
      </c>
      <c r="B19" s="11" t="s">
        <v>57</v>
      </c>
      <c r="C19" s="12">
        <f t="shared" si="23"/>
        <v>204</v>
      </c>
      <c r="D19" s="41" t="str">
        <f t="shared" si="24"/>
        <v>m³</v>
      </c>
      <c r="E19" s="41">
        <v>0</v>
      </c>
      <c r="F19" s="41">
        <v>6.41</v>
      </c>
      <c r="G19" s="41">
        <f t="shared" si="16"/>
        <v>6.41</v>
      </c>
      <c r="H19" s="13">
        <f t="shared" si="25"/>
        <v>0</v>
      </c>
      <c r="I19" s="13">
        <f t="shared" si="26"/>
        <v>1307.6400000000001</v>
      </c>
      <c r="J19" s="14">
        <f t="shared" si="19"/>
        <v>1307.6400000000001</v>
      </c>
      <c r="M19" s="303"/>
      <c r="N19" s="303"/>
      <c r="V19" s="74">
        <v>204</v>
      </c>
      <c r="W19" s="74" t="s">
        <v>52</v>
      </c>
      <c r="X19" s="13">
        <v>0</v>
      </c>
      <c r="Y19" s="13">
        <v>6.89</v>
      </c>
      <c r="Z19" s="13">
        <f t="shared" si="27"/>
        <v>6.89</v>
      </c>
      <c r="AB19" s="74">
        <v>204</v>
      </c>
      <c r="AC19" s="74" t="s">
        <v>52</v>
      </c>
      <c r="AD19" s="13">
        <v>0</v>
      </c>
      <c r="AE19" s="13">
        <v>8.8800000000000008</v>
      </c>
      <c r="AF19" s="13">
        <f t="shared" si="28"/>
        <v>8.8800000000000008</v>
      </c>
      <c r="AH19" s="89">
        <f t="shared" si="4"/>
        <v>0</v>
      </c>
      <c r="AI19" s="89">
        <f t="shared" si="20"/>
        <v>-0.27815315315315325</v>
      </c>
      <c r="AJ19" s="89">
        <f t="shared" si="21"/>
        <v>-0.27815315315315325</v>
      </c>
    </row>
    <row r="20" spans="1:36" ht="30" customHeight="1" x14ac:dyDescent="0.3">
      <c r="A20" s="10" t="s">
        <v>58</v>
      </c>
      <c r="B20" s="11" t="s">
        <v>59</v>
      </c>
      <c r="C20" s="12">
        <f t="shared" si="23"/>
        <v>62</v>
      </c>
      <c r="D20" s="41" t="str">
        <f t="shared" si="24"/>
        <v>m²</v>
      </c>
      <c r="E20" s="41">
        <v>0</v>
      </c>
      <c r="F20" s="41">
        <v>27.16</v>
      </c>
      <c r="G20" s="41">
        <f t="shared" si="16"/>
        <v>27.16</v>
      </c>
      <c r="H20" s="13">
        <f t="shared" si="25"/>
        <v>0</v>
      </c>
      <c r="I20" s="13">
        <f t="shared" si="26"/>
        <v>1683.92</v>
      </c>
      <c r="J20" s="14">
        <f t="shared" si="19"/>
        <v>1683.92</v>
      </c>
      <c r="M20" s="303"/>
      <c r="N20" s="303"/>
      <c r="V20" s="74">
        <v>62</v>
      </c>
      <c r="W20" s="74" t="s">
        <v>60</v>
      </c>
      <c r="X20" s="13">
        <v>0</v>
      </c>
      <c r="Y20" s="13">
        <v>28.78</v>
      </c>
      <c r="Z20" s="13">
        <f t="shared" si="27"/>
        <v>28.78</v>
      </c>
      <c r="AB20" s="74">
        <v>62</v>
      </c>
      <c r="AC20" s="74" t="s">
        <v>60</v>
      </c>
      <c r="AD20" s="13">
        <v>0</v>
      </c>
      <c r="AE20" s="13">
        <v>37.07</v>
      </c>
      <c r="AF20" s="13">
        <f t="shared" si="28"/>
        <v>37.07</v>
      </c>
      <c r="AH20" s="89">
        <f t="shared" si="4"/>
        <v>0</v>
      </c>
      <c r="AI20" s="89">
        <f t="shared" si="20"/>
        <v>-0.26733207445373619</v>
      </c>
      <c r="AJ20" s="89">
        <f t="shared" si="21"/>
        <v>-0.26733207445373619</v>
      </c>
    </row>
    <row r="21" spans="1:36" ht="28.8" x14ac:dyDescent="0.3">
      <c r="A21" s="10" t="s">
        <v>61</v>
      </c>
      <c r="B21" s="11" t="s">
        <v>62</v>
      </c>
      <c r="C21" s="12">
        <f t="shared" si="23"/>
        <v>128</v>
      </c>
      <c r="D21" s="41" t="str">
        <f t="shared" si="24"/>
        <v>m²</v>
      </c>
      <c r="E21" s="41">
        <v>22.28</v>
      </c>
      <c r="F21" s="41">
        <v>13.58</v>
      </c>
      <c r="G21" s="41">
        <f t="shared" si="16"/>
        <v>35.86</v>
      </c>
      <c r="H21" s="13">
        <f t="shared" si="25"/>
        <v>2851.84</v>
      </c>
      <c r="I21" s="13">
        <f t="shared" si="26"/>
        <v>1738.24</v>
      </c>
      <c r="J21" s="14">
        <f t="shared" si="19"/>
        <v>4590.08</v>
      </c>
      <c r="V21" s="74">
        <v>128</v>
      </c>
      <c r="W21" s="74" t="s">
        <v>60</v>
      </c>
      <c r="X21" s="13">
        <v>26.35</v>
      </c>
      <c r="Y21" s="13">
        <v>14.39</v>
      </c>
      <c r="Z21" s="13">
        <f t="shared" si="27"/>
        <v>40.74</v>
      </c>
      <c r="AB21" s="74">
        <v>128</v>
      </c>
      <c r="AC21" s="74" t="s">
        <v>60</v>
      </c>
      <c r="AD21" s="13">
        <v>33.94</v>
      </c>
      <c r="AE21" s="13">
        <v>18.54</v>
      </c>
      <c r="AF21" s="13">
        <f t="shared" si="28"/>
        <v>52.48</v>
      </c>
      <c r="AH21" s="89">
        <f t="shared" si="4"/>
        <v>-0.34354743665291687</v>
      </c>
      <c r="AI21" s="89">
        <f t="shared" si="20"/>
        <v>-0.26752966558791802</v>
      </c>
      <c r="AJ21" s="89">
        <f t="shared" si="21"/>
        <v>-0.31669207317073167</v>
      </c>
    </row>
    <row r="22" spans="1:36" ht="15" customHeight="1" x14ac:dyDescent="0.3">
      <c r="A22" s="10" t="s">
        <v>63</v>
      </c>
      <c r="B22" s="11" t="s">
        <v>64</v>
      </c>
      <c r="C22" s="12">
        <f t="shared" si="23"/>
        <v>1</v>
      </c>
      <c r="D22" s="41" t="str">
        <f t="shared" si="24"/>
        <v>m²</v>
      </c>
      <c r="E22" s="41">
        <v>0</v>
      </c>
      <c r="F22" s="41">
        <v>13.58</v>
      </c>
      <c r="G22" s="41">
        <f t="shared" si="16"/>
        <v>13.58</v>
      </c>
      <c r="H22" s="13">
        <f t="shared" si="25"/>
        <v>0</v>
      </c>
      <c r="I22" s="13">
        <f t="shared" si="26"/>
        <v>13.58</v>
      </c>
      <c r="J22" s="14">
        <f t="shared" si="19"/>
        <v>13.58</v>
      </c>
      <c r="V22" s="74">
        <v>1</v>
      </c>
      <c r="W22" s="74" t="s">
        <v>60</v>
      </c>
      <c r="X22" s="13">
        <v>0</v>
      </c>
      <c r="Y22" s="13">
        <v>14.39</v>
      </c>
      <c r="Z22" s="13">
        <f t="shared" si="27"/>
        <v>14.39</v>
      </c>
      <c r="AB22" s="74">
        <v>1</v>
      </c>
      <c r="AC22" s="74" t="s">
        <v>60</v>
      </c>
      <c r="AD22" s="13">
        <v>0</v>
      </c>
      <c r="AE22" s="13">
        <v>18.54</v>
      </c>
      <c r="AF22" s="13">
        <f t="shared" si="28"/>
        <v>18.54</v>
      </c>
      <c r="AH22" s="89">
        <f t="shared" si="4"/>
        <v>0</v>
      </c>
      <c r="AI22" s="89">
        <f t="shared" si="20"/>
        <v>-0.26752966558791802</v>
      </c>
      <c r="AJ22" s="89">
        <f t="shared" si="21"/>
        <v>-0.26752966558791802</v>
      </c>
    </row>
    <row r="23" spans="1:36" ht="15" customHeight="1" x14ac:dyDescent="0.3">
      <c r="A23" s="10" t="s">
        <v>65</v>
      </c>
      <c r="B23" s="11" t="s">
        <v>66</v>
      </c>
      <c r="C23" s="12">
        <f t="shared" si="23"/>
        <v>1</v>
      </c>
      <c r="D23" s="41" t="str">
        <f t="shared" si="24"/>
        <v>m²</v>
      </c>
      <c r="E23" s="41">
        <v>0</v>
      </c>
      <c r="F23" s="41">
        <v>25.22</v>
      </c>
      <c r="G23" s="41">
        <f t="shared" si="16"/>
        <v>25.22</v>
      </c>
      <c r="H23" s="13">
        <f t="shared" si="25"/>
        <v>0</v>
      </c>
      <c r="I23" s="13">
        <f t="shared" si="26"/>
        <v>25.22</v>
      </c>
      <c r="J23" s="14">
        <f t="shared" si="19"/>
        <v>25.22</v>
      </c>
      <c r="V23" s="74">
        <v>1</v>
      </c>
      <c r="W23" s="74" t="s">
        <v>60</v>
      </c>
      <c r="X23" s="13">
        <v>0</v>
      </c>
      <c r="Y23" s="13">
        <v>26.72</v>
      </c>
      <c r="Z23" s="13">
        <f t="shared" si="27"/>
        <v>26.72</v>
      </c>
      <c r="AB23" s="74">
        <v>1</v>
      </c>
      <c r="AC23" s="74" t="s">
        <v>60</v>
      </c>
      <c r="AD23" s="13">
        <v>0</v>
      </c>
      <c r="AE23" s="13">
        <v>34.42</v>
      </c>
      <c r="AF23" s="13">
        <f t="shared" si="28"/>
        <v>34.42</v>
      </c>
      <c r="AH23" s="89">
        <f t="shared" si="4"/>
        <v>0</v>
      </c>
      <c r="AI23" s="89">
        <f t="shared" si="20"/>
        <v>-0.26728646135967471</v>
      </c>
      <c r="AJ23" s="89">
        <f t="shared" si="21"/>
        <v>-0.26728646135967471</v>
      </c>
    </row>
    <row r="24" spans="1:36" ht="15" customHeight="1" x14ac:dyDescent="0.3">
      <c r="A24" s="10" t="s">
        <v>67</v>
      </c>
      <c r="B24" s="11" t="s">
        <v>68</v>
      </c>
      <c r="C24" s="12">
        <f t="shared" si="23"/>
        <v>1500</v>
      </c>
      <c r="D24" s="41" t="str">
        <f t="shared" si="24"/>
        <v>m²</v>
      </c>
      <c r="E24" s="41">
        <v>0</v>
      </c>
      <c r="F24" s="41">
        <v>7.76</v>
      </c>
      <c r="G24" s="41">
        <f t="shared" si="16"/>
        <v>7.76</v>
      </c>
      <c r="H24" s="13">
        <f t="shared" si="25"/>
        <v>0</v>
      </c>
      <c r="I24" s="13">
        <f t="shared" si="26"/>
        <v>11640</v>
      </c>
      <c r="J24" s="14">
        <f t="shared" si="19"/>
        <v>11640</v>
      </c>
      <c r="M24" s="305" t="s">
        <v>69</v>
      </c>
      <c r="N24" s="305"/>
      <c r="V24" s="74">
        <v>1500</v>
      </c>
      <c r="W24" s="74" t="s">
        <v>60</v>
      </c>
      <c r="X24" s="13">
        <v>0</v>
      </c>
      <c r="Y24" s="13">
        <v>8.2200000000000006</v>
      </c>
      <c r="Z24" s="13">
        <f t="shared" si="27"/>
        <v>8.2200000000000006</v>
      </c>
      <c r="AB24" s="74">
        <v>1500</v>
      </c>
      <c r="AC24" s="74" t="s">
        <v>60</v>
      </c>
      <c r="AD24" s="13">
        <v>0</v>
      </c>
      <c r="AE24" s="13">
        <v>10.59</v>
      </c>
      <c r="AF24" s="13">
        <f t="shared" si="28"/>
        <v>10.59</v>
      </c>
      <c r="AH24" s="89">
        <f t="shared" si="4"/>
        <v>0</v>
      </c>
      <c r="AI24" s="89">
        <f t="shared" si="20"/>
        <v>-0.26723323890462702</v>
      </c>
      <c r="AJ24" s="89">
        <f t="shared" si="21"/>
        <v>-0.26723323890462702</v>
      </c>
    </row>
    <row r="25" spans="1:36" ht="15" customHeight="1" x14ac:dyDescent="0.3">
      <c r="A25" s="10" t="s">
        <v>70</v>
      </c>
      <c r="B25" s="11" t="s">
        <v>71</v>
      </c>
      <c r="C25" s="12">
        <f t="shared" si="23"/>
        <v>9</v>
      </c>
      <c r="D25" s="41" t="str">
        <f t="shared" si="24"/>
        <v>m²</v>
      </c>
      <c r="E25" s="41">
        <v>0</v>
      </c>
      <c r="F25" s="41">
        <v>9.6999999999999993</v>
      </c>
      <c r="G25" s="41">
        <f t="shared" si="16"/>
        <v>9.6999999999999993</v>
      </c>
      <c r="H25" s="13">
        <f t="shared" si="25"/>
        <v>0</v>
      </c>
      <c r="I25" s="13">
        <f t="shared" si="26"/>
        <v>87.3</v>
      </c>
      <c r="J25" s="14">
        <f t="shared" si="19"/>
        <v>87.3</v>
      </c>
      <c r="M25" s="305"/>
      <c r="N25" s="305"/>
      <c r="V25" s="74">
        <v>9</v>
      </c>
      <c r="W25" s="74" t="s">
        <v>60</v>
      </c>
      <c r="X25" s="13">
        <v>0</v>
      </c>
      <c r="Y25" s="13">
        <v>10.28</v>
      </c>
      <c r="Z25" s="13">
        <f t="shared" si="27"/>
        <v>10.28</v>
      </c>
      <c r="AB25" s="74">
        <v>9</v>
      </c>
      <c r="AC25" s="74" t="s">
        <v>60</v>
      </c>
      <c r="AD25" s="13">
        <v>0</v>
      </c>
      <c r="AE25" s="13">
        <v>13.24</v>
      </c>
      <c r="AF25" s="13">
        <f t="shared" si="28"/>
        <v>13.24</v>
      </c>
      <c r="AH25" s="89">
        <f t="shared" si="4"/>
        <v>0</v>
      </c>
      <c r="AI25" s="89">
        <f t="shared" si="20"/>
        <v>-0.26737160120845926</v>
      </c>
      <c r="AJ25" s="89">
        <f t="shared" si="21"/>
        <v>-0.26737160120845926</v>
      </c>
    </row>
    <row r="26" spans="1:36" ht="15" customHeight="1" x14ac:dyDescent="0.3">
      <c r="A26" s="10" t="s">
        <v>72</v>
      </c>
      <c r="B26" s="11" t="s">
        <v>73</v>
      </c>
      <c r="C26" s="12">
        <f t="shared" si="23"/>
        <v>1</v>
      </c>
      <c r="D26" s="41" t="str">
        <f t="shared" si="24"/>
        <v>m²</v>
      </c>
      <c r="E26" s="41">
        <v>0</v>
      </c>
      <c r="F26" s="41">
        <v>27.27</v>
      </c>
      <c r="G26" s="41">
        <f t="shared" si="16"/>
        <v>27.27</v>
      </c>
      <c r="H26" s="13">
        <f t="shared" si="25"/>
        <v>0</v>
      </c>
      <c r="I26" s="13">
        <f t="shared" si="26"/>
        <v>27.27</v>
      </c>
      <c r="J26" s="14">
        <f t="shared" si="19"/>
        <v>27.27</v>
      </c>
      <c r="M26" s="305"/>
      <c r="N26" s="305"/>
      <c r="V26" s="74">
        <v>1</v>
      </c>
      <c r="W26" s="74" t="s">
        <v>60</v>
      </c>
      <c r="X26" s="13">
        <v>0</v>
      </c>
      <c r="Y26" s="13">
        <v>28.94</v>
      </c>
      <c r="Z26" s="13">
        <f t="shared" si="27"/>
        <v>28.94</v>
      </c>
      <c r="AB26" s="74">
        <v>1</v>
      </c>
      <c r="AC26" s="74" t="s">
        <v>60</v>
      </c>
      <c r="AD26" s="13">
        <v>0</v>
      </c>
      <c r="AE26" s="13">
        <v>37.28</v>
      </c>
      <c r="AF26" s="13">
        <f t="shared" si="28"/>
        <v>37.28</v>
      </c>
      <c r="AH26" s="89">
        <f t="shared" si="4"/>
        <v>0</v>
      </c>
      <c r="AI26" s="89">
        <f t="shared" si="20"/>
        <v>-0.26850858369098718</v>
      </c>
      <c r="AJ26" s="89">
        <f t="shared" si="21"/>
        <v>-0.26850858369098718</v>
      </c>
    </row>
    <row r="27" spans="1:36" ht="15" customHeight="1" x14ac:dyDescent="0.3">
      <c r="A27" s="10" t="s">
        <v>74</v>
      </c>
      <c r="B27" s="11" t="s">
        <v>75</v>
      </c>
      <c r="C27" s="12">
        <f t="shared" si="23"/>
        <v>357</v>
      </c>
      <c r="D27" s="41" t="str">
        <f t="shared" si="24"/>
        <v>m</v>
      </c>
      <c r="E27" s="41">
        <v>0</v>
      </c>
      <c r="F27" s="41">
        <v>13.47</v>
      </c>
      <c r="G27" s="41">
        <f t="shared" si="16"/>
        <v>13.47</v>
      </c>
      <c r="H27" s="13">
        <f t="shared" si="25"/>
        <v>0</v>
      </c>
      <c r="I27" s="13">
        <f t="shared" si="26"/>
        <v>4808.79</v>
      </c>
      <c r="J27" s="14">
        <f t="shared" si="19"/>
        <v>4808.79</v>
      </c>
      <c r="M27" s="305"/>
      <c r="N27" s="305"/>
      <c r="V27" s="74">
        <v>357</v>
      </c>
      <c r="W27" s="74" t="s">
        <v>76</v>
      </c>
      <c r="X27" s="13">
        <v>0</v>
      </c>
      <c r="Y27" s="13">
        <v>14.21</v>
      </c>
      <c r="Z27" s="13">
        <f t="shared" si="27"/>
        <v>14.21</v>
      </c>
      <c r="AB27" s="74">
        <v>357</v>
      </c>
      <c r="AC27" s="74" t="s">
        <v>76</v>
      </c>
      <c r="AD27" s="13">
        <v>0</v>
      </c>
      <c r="AE27" s="13">
        <v>18.309999999999999</v>
      </c>
      <c r="AF27" s="13">
        <f t="shared" si="28"/>
        <v>18.309999999999999</v>
      </c>
      <c r="AH27" s="89">
        <f t="shared" si="4"/>
        <v>0</v>
      </c>
      <c r="AI27" s="89">
        <f t="shared" si="20"/>
        <v>-0.26433642818132164</v>
      </c>
      <c r="AJ27" s="89">
        <f t="shared" si="21"/>
        <v>-0.26433642818132164</v>
      </c>
    </row>
    <row r="28" spans="1:36" ht="15" customHeight="1" x14ac:dyDescent="0.3">
      <c r="A28" s="10" t="s">
        <v>77</v>
      </c>
      <c r="B28" s="11" t="s">
        <v>78</v>
      </c>
      <c r="C28" s="12">
        <f t="shared" si="23"/>
        <v>6000</v>
      </c>
      <c r="D28" s="41" t="str">
        <f t="shared" si="24"/>
        <v>m²</v>
      </c>
      <c r="E28" s="41">
        <v>14.97</v>
      </c>
      <c r="F28" s="41">
        <v>21.9</v>
      </c>
      <c r="G28" s="41">
        <f t="shared" si="16"/>
        <v>36.869999999999997</v>
      </c>
      <c r="H28" s="13">
        <f t="shared" si="25"/>
        <v>89820</v>
      </c>
      <c r="I28" s="13">
        <f t="shared" si="26"/>
        <v>131400</v>
      </c>
      <c r="J28" s="14">
        <f t="shared" si="19"/>
        <v>221219.99999999997</v>
      </c>
      <c r="M28" s="305"/>
      <c r="N28" s="305"/>
      <c r="V28" s="74">
        <v>6000</v>
      </c>
      <c r="W28" s="74" t="s">
        <v>60</v>
      </c>
      <c r="X28" s="13">
        <v>17.690000000000001</v>
      </c>
      <c r="Y28" s="13">
        <v>23.05</v>
      </c>
      <c r="Z28" s="13">
        <f t="shared" si="27"/>
        <v>40.74</v>
      </c>
      <c r="AB28" s="74">
        <v>6000</v>
      </c>
      <c r="AC28" s="74" t="s">
        <v>60</v>
      </c>
      <c r="AD28" s="13">
        <v>22.79</v>
      </c>
      <c r="AE28" s="13">
        <v>29.69</v>
      </c>
      <c r="AF28" s="13">
        <f t="shared" si="28"/>
        <v>52.480000000000004</v>
      </c>
      <c r="AH28" s="89">
        <f t="shared" si="4"/>
        <v>-0.34313295304958313</v>
      </c>
      <c r="AI28" s="89">
        <f t="shared" si="20"/>
        <v>-0.26237790501852487</v>
      </c>
      <c r="AJ28" s="89">
        <f t="shared" si="21"/>
        <v>-0.29744664634146356</v>
      </c>
    </row>
    <row r="29" spans="1:36" x14ac:dyDescent="0.3">
      <c r="A29" s="10" t="s">
        <v>79</v>
      </c>
      <c r="B29" s="11" t="s">
        <v>80</v>
      </c>
      <c r="C29" s="12">
        <f t="shared" si="23"/>
        <v>3375</v>
      </c>
      <c r="D29" s="41" t="str">
        <f t="shared" si="24"/>
        <v>m²</v>
      </c>
      <c r="E29" s="41">
        <v>14.97</v>
      </c>
      <c r="F29" s="41">
        <v>11.27</v>
      </c>
      <c r="G29" s="41">
        <f t="shared" si="16"/>
        <v>26.240000000000002</v>
      </c>
      <c r="H29" s="13">
        <f t="shared" si="25"/>
        <v>50523.75</v>
      </c>
      <c r="I29" s="13">
        <f t="shared" si="26"/>
        <v>38036.25</v>
      </c>
      <c r="J29" s="14">
        <f t="shared" si="19"/>
        <v>88560</v>
      </c>
      <c r="M29" s="305"/>
      <c r="N29" s="305"/>
      <c r="V29" s="74">
        <v>3375</v>
      </c>
      <c r="W29" s="74" t="s">
        <v>60</v>
      </c>
      <c r="X29" s="13">
        <v>17.690000000000001</v>
      </c>
      <c r="Y29" s="13">
        <v>11.84</v>
      </c>
      <c r="Z29" s="13">
        <f t="shared" si="27"/>
        <v>29.53</v>
      </c>
      <c r="AB29" s="74">
        <v>3375</v>
      </c>
      <c r="AC29" s="74" t="s">
        <v>60</v>
      </c>
      <c r="AD29" s="13">
        <v>22.79</v>
      </c>
      <c r="AE29" s="13">
        <v>15.25</v>
      </c>
      <c r="AF29" s="13">
        <f t="shared" si="28"/>
        <v>38.04</v>
      </c>
      <c r="AH29" s="89">
        <f t="shared" si="4"/>
        <v>-0.34313295304958313</v>
      </c>
      <c r="AI29" s="89">
        <f t="shared" si="20"/>
        <v>-0.26098360655737707</v>
      </c>
      <c r="AJ29" s="89">
        <f t="shared" si="21"/>
        <v>-0.31019978969505779</v>
      </c>
    </row>
    <row r="30" spans="1:36" x14ac:dyDescent="0.3">
      <c r="A30" s="10" t="s">
        <v>81</v>
      </c>
      <c r="B30" s="11" t="s">
        <v>82</v>
      </c>
      <c r="C30" s="12">
        <f t="shared" si="23"/>
        <v>661</v>
      </c>
      <c r="D30" s="41" t="str">
        <f t="shared" si="24"/>
        <v>m²</v>
      </c>
      <c r="E30" s="41">
        <v>8.58</v>
      </c>
      <c r="F30" s="41">
        <v>58.16</v>
      </c>
      <c r="G30" s="41">
        <f t="shared" si="16"/>
        <v>66.739999999999995</v>
      </c>
      <c r="H30" s="13">
        <f t="shared" si="25"/>
        <v>5671.38</v>
      </c>
      <c r="I30" s="13">
        <f t="shared" si="26"/>
        <v>38443.759999999995</v>
      </c>
      <c r="J30" s="14">
        <f t="shared" si="19"/>
        <v>44115.14</v>
      </c>
      <c r="M30" s="305"/>
      <c r="N30" s="305"/>
      <c r="V30" s="74">
        <v>661</v>
      </c>
      <c r="W30" s="74" t="s">
        <v>60</v>
      </c>
      <c r="X30" s="13">
        <v>9.34</v>
      </c>
      <c r="Y30" s="13">
        <v>61.12</v>
      </c>
      <c r="Z30" s="13">
        <f t="shared" si="27"/>
        <v>70.459999999999994</v>
      </c>
      <c r="AB30" s="74">
        <v>661</v>
      </c>
      <c r="AC30" s="74" t="s">
        <v>60</v>
      </c>
      <c r="AD30" s="13">
        <v>12.03</v>
      </c>
      <c r="AE30" s="13">
        <v>78.73</v>
      </c>
      <c r="AF30" s="13">
        <f t="shared" si="28"/>
        <v>90.76</v>
      </c>
      <c r="AH30" s="89">
        <f t="shared" si="4"/>
        <v>-0.28678304239401486</v>
      </c>
      <c r="AI30" s="89">
        <f t="shared" si="20"/>
        <v>-0.26127270417883919</v>
      </c>
      <c r="AJ30" s="89">
        <f t="shared" si="21"/>
        <v>-0.26465403261348619</v>
      </c>
    </row>
    <row r="31" spans="1:36" x14ac:dyDescent="0.3">
      <c r="A31" s="10" t="s">
        <v>83</v>
      </c>
      <c r="B31" s="11" t="s">
        <v>84</v>
      </c>
      <c r="C31" s="12">
        <f t="shared" si="23"/>
        <v>724</v>
      </c>
      <c r="D31" s="41" t="str">
        <f t="shared" si="24"/>
        <v>m²</v>
      </c>
      <c r="E31" s="41">
        <v>0</v>
      </c>
      <c r="F31" s="41">
        <v>25.18</v>
      </c>
      <c r="G31" s="41">
        <f t="shared" si="16"/>
        <v>25.18</v>
      </c>
      <c r="H31" s="13">
        <f t="shared" si="25"/>
        <v>0</v>
      </c>
      <c r="I31" s="13">
        <f t="shared" si="26"/>
        <v>18230.32</v>
      </c>
      <c r="J31" s="14">
        <f t="shared" si="19"/>
        <v>18230.32</v>
      </c>
      <c r="M31" s="305"/>
      <c r="N31" s="305"/>
      <c r="V31" s="74">
        <v>724</v>
      </c>
      <c r="W31" s="74" t="s">
        <v>60</v>
      </c>
      <c r="X31" s="13">
        <v>0</v>
      </c>
      <c r="Y31" s="13">
        <v>26.71</v>
      </c>
      <c r="Z31" s="13">
        <f t="shared" si="27"/>
        <v>26.71</v>
      </c>
      <c r="AB31" s="74">
        <v>724</v>
      </c>
      <c r="AC31" s="74" t="s">
        <v>60</v>
      </c>
      <c r="AD31" s="13">
        <v>0</v>
      </c>
      <c r="AE31" s="13">
        <v>34.409999999999997</v>
      </c>
      <c r="AF31" s="13">
        <f t="shared" si="28"/>
        <v>34.409999999999997</v>
      </c>
      <c r="AH31" s="89">
        <f t="shared" si="4"/>
        <v>0</v>
      </c>
      <c r="AI31" s="89">
        <f t="shared" si="20"/>
        <v>-0.26823597791339715</v>
      </c>
      <c r="AJ31" s="89">
        <f t="shared" si="21"/>
        <v>-0.26823597791339715</v>
      </c>
    </row>
    <row r="32" spans="1:36" x14ac:dyDescent="0.3">
      <c r="A32" s="10" t="s">
        <v>85</v>
      </c>
      <c r="B32" s="11" t="s">
        <v>86</v>
      </c>
      <c r="C32" s="12">
        <f t="shared" si="23"/>
        <v>1</v>
      </c>
      <c r="D32" s="41" t="str">
        <f t="shared" si="24"/>
        <v>m²</v>
      </c>
      <c r="E32" s="41">
        <v>1.43</v>
      </c>
      <c r="F32" s="41">
        <v>62.97</v>
      </c>
      <c r="G32" s="41">
        <f t="shared" si="16"/>
        <v>64.400000000000006</v>
      </c>
      <c r="H32" s="13">
        <f t="shared" si="25"/>
        <v>1.43</v>
      </c>
      <c r="I32" s="13">
        <f t="shared" si="26"/>
        <v>62.97</v>
      </c>
      <c r="J32" s="14">
        <f t="shared" si="19"/>
        <v>64.400000000000006</v>
      </c>
      <c r="M32" s="305"/>
      <c r="N32" s="305"/>
      <c r="V32" s="74">
        <v>1</v>
      </c>
      <c r="W32" s="74" t="s">
        <v>60</v>
      </c>
      <c r="X32" s="13">
        <v>1.62</v>
      </c>
      <c r="Y32" s="13">
        <v>66.17</v>
      </c>
      <c r="Z32" s="13">
        <f t="shared" si="27"/>
        <v>67.790000000000006</v>
      </c>
      <c r="AB32" s="74">
        <v>1</v>
      </c>
      <c r="AC32" s="74" t="s">
        <v>60</v>
      </c>
      <c r="AD32" s="13">
        <v>2.09</v>
      </c>
      <c r="AE32" s="13">
        <v>85.24</v>
      </c>
      <c r="AF32" s="13">
        <f t="shared" si="28"/>
        <v>87.33</v>
      </c>
      <c r="AH32" s="89">
        <f t="shared" si="4"/>
        <v>-0.31578947368421051</v>
      </c>
      <c r="AI32" s="89">
        <f t="shared" si="20"/>
        <v>-0.26126231816048795</v>
      </c>
      <c r="AJ32" s="89">
        <f t="shared" si="21"/>
        <v>-0.26256727356005949</v>
      </c>
    </row>
    <row r="33" spans="1:36" x14ac:dyDescent="0.3">
      <c r="A33" s="10" t="s">
        <v>87</v>
      </c>
      <c r="B33" s="11" t="s">
        <v>88</v>
      </c>
      <c r="C33" s="12">
        <f t="shared" si="23"/>
        <v>415</v>
      </c>
      <c r="D33" s="41" t="str">
        <f t="shared" si="24"/>
        <v>m²</v>
      </c>
      <c r="E33" s="41">
        <v>13.29</v>
      </c>
      <c r="F33" s="41">
        <v>14.36</v>
      </c>
      <c r="G33" s="41">
        <f t="shared" si="16"/>
        <v>27.65</v>
      </c>
      <c r="H33" s="13">
        <f t="shared" si="25"/>
        <v>5515.3499999999995</v>
      </c>
      <c r="I33" s="13">
        <f t="shared" si="26"/>
        <v>5959.4</v>
      </c>
      <c r="J33" s="14">
        <f t="shared" si="19"/>
        <v>11474.75</v>
      </c>
      <c r="M33" s="305"/>
      <c r="N33" s="305"/>
      <c r="V33" s="74">
        <v>415</v>
      </c>
      <c r="W33" s="74" t="s">
        <v>60</v>
      </c>
      <c r="X33" s="13">
        <v>12.9</v>
      </c>
      <c r="Y33" s="13">
        <v>15.15</v>
      </c>
      <c r="Z33" s="13">
        <f t="shared" si="27"/>
        <v>28.05</v>
      </c>
      <c r="AB33" s="74">
        <v>415</v>
      </c>
      <c r="AC33" s="74" t="s">
        <v>60</v>
      </c>
      <c r="AD33" s="13">
        <v>16.62</v>
      </c>
      <c r="AE33" s="13">
        <v>19.52</v>
      </c>
      <c r="AF33" s="13">
        <f t="shared" si="28"/>
        <v>36.14</v>
      </c>
      <c r="AH33" s="89">
        <f t="shared" si="4"/>
        <v>-0.20036101083032498</v>
      </c>
      <c r="AI33" s="89">
        <f t="shared" si="20"/>
        <v>-0.26434426229508201</v>
      </c>
      <c r="AJ33" s="89">
        <f t="shared" si="21"/>
        <v>-0.23491975650249042</v>
      </c>
    </row>
    <row r="34" spans="1:36" ht="43.2" x14ac:dyDescent="0.3">
      <c r="A34" s="10" t="s">
        <v>89</v>
      </c>
      <c r="B34" s="11" t="s">
        <v>90</v>
      </c>
      <c r="C34" s="12">
        <f t="shared" si="23"/>
        <v>30</v>
      </c>
      <c r="D34" s="41" t="str">
        <f t="shared" si="24"/>
        <v>m³</v>
      </c>
      <c r="E34" s="41">
        <v>48.55</v>
      </c>
      <c r="F34" s="41">
        <v>11.94</v>
      </c>
      <c r="G34" s="41">
        <f t="shared" si="16"/>
        <v>60.489999999999995</v>
      </c>
      <c r="H34" s="13">
        <f t="shared" si="25"/>
        <v>1456.5</v>
      </c>
      <c r="I34" s="13">
        <f t="shared" si="26"/>
        <v>358.2</v>
      </c>
      <c r="J34" s="14">
        <f t="shared" si="19"/>
        <v>1814.6999999999998</v>
      </c>
      <c r="M34" s="305"/>
      <c r="N34" s="305"/>
      <c r="V34" s="74">
        <v>30</v>
      </c>
      <c r="W34" s="74" t="s">
        <v>52</v>
      </c>
      <c r="X34" s="13">
        <v>61.2</v>
      </c>
      <c r="Y34" s="13">
        <v>12.68</v>
      </c>
      <c r="Z34" s="13">
        <f t="shared" si="27"/>
        <v>73.88</v>
      </c>
      <c r="AB34" s="74">
        <v>30</v>
      </c>
      <c r="AC34" s="74" t="s">
        <v>52</v>
      </c>
      <c r="AD34" s="13">
        <v>78.84</v>
      </c>
      <c r="AE34" s="13">
        <v>16.329999999999998</v>
      </c>
      <c r="AF34" s="13">
        <f t="shared" si="28"/>
        <v>95.17</v>
      </c>
      <c r="AH34" s="89">
        <f t="shared" si="4"/>
        <v>-0.38419583967529181</v>
      </c>
      <c r="AI34" s="89">
        <f t="shared" si="20"/>
        <v>-0.26883037354562156</v>
      </c>
      <c r="AJ34" s="89">
        <f t="shared" si="21"/>
        <v>-0.36440054639066943</v>
      </c>
    </row>
    <row r="35" spans="1:36" x14ac:dyDescent="0.3">
      <c r="A35" s="10" t="s">
        <v>91</v>
      </c>
      <c r="B35" s="11" t="s">
        <v>92</v>
      </c>
      <c r="C35" s="12">
        <f t="shared" si="23"/>
        <v>126</v>
      </c>
      <c r="D35" s="41" t="str">
        <f t="shared" si="24"/>
        <v xml:space="preserve">un </v>
      </c>
      <c r="E35" s="41">
        <v>5.61</v>
      </c>
      <c r="F35" s="41">
        <v>37.729999999999997</v>
      </c>
      <c r="G35" s="41">
        <f t="shared" si="16"/>
        <v>43.339999999999996</v>
      </c>
      <c r="H35" s="13">
        <f t="shared" si="25"/>
        <v>706.86</v>
      </c>
      <c r="I35" s="13">
        <f t="shared" si="26"/>
        <v>4753.9799999999996</v>
      </c>
      <c r="J35" s="14">
        <f t="shared" si="19"/>
        <v>5460.8399999999992</v>
      </c>
      <c r="M35" s="305"/>
      <c r="N35" s="305"/>
      <c r="V35" s="74">
        <v>126</v>
      </c>
      <c r="W35" s="74" t="s">
        <v>30</v>
      </c>
      <c r="X35" s="13">
        <v>5.84</v>
      </c>
      <c r="Y35" s="13">
        <v>40</v>
      </c>
      <c r="Z35" s="13">
        <f t="shared" si="27"/>
        <v>45.84</v>
      </c>
      <c r="AB35" s="74">
        <v>126</v>
      </c>
      <c r="AC35" s="74" t="s">
        <v>30</v>
      </c>
      <c r="AD35" s="13">
        <v>7.52</v>
      </c>
      <c r="AE35" s="13">
        <v>51.53</v>
      </c>
      <c r="AF35" s="13">
        <f t="shared" si="28"/>
        <v>59.05</v>
      </c>
      <c r="AH35" s="89">
        <f t="shared" si="4"/>
        <v>-0.2539893617021276</v>
      </c>
      <c r="AI35" s="89">
        <f t="shared" si="20"/>
        <v>-0.26780516204152927</v>
      </c>
      <c r="AJ35" s="89">
        <f t="shared" si="21"/>
        <v>-0.26604572396274351</v>
      </c>
    </row>
    <row r="36" spans="1:36" x14ac:dyDescent="0.3">
      <c r="A36" s="10" t="s">
        <v>93</v>
      </c>
      <c r="B36" s="11" t="s">
        <v>94</v>
      </c>
      <c r="C36" s="12">
        <f t="shared" si="23"/>
        <v>1822</v>
      </c>
      <c r="D36" s="41" t="str">
        <f t="shared" si="24"/>
        <v>m²/mês</v>
      </c>
      <c r="E36" s="41">
        <v>12.6</v>
      </c>
      <c r="F36" s="41">
        <v>6.82</v>
      </c>
      <c r="G36" s="41">
        <f t="shared" si="16"/>
        <v>19.420000000000002</v>
      </c>
      <c r="H36" s="13">
        <f t="shared" si="25"/>
        <v>22957.200000000001</v>
      </c>
      <c r="I36" s="13">
        <f t="shared" si="26"/>
        <v>12426.04</v>
      </c>
      <c r="J36" s="14">
        <f t="shared" si="19"/>
        <v>35383.240000000005</v>
      </c>
      <c r="M36" s="305"/>
      <c r="N36" s="305"/>
      <c r="V36" s="74">
        <v>1822</v>
      </c>
      <c r="W36" s="74" t="s">
        <v>95</v>
      </c>
      <c r="X36" s="13">
        <v>15.45</v>
      </c>
      <c r="Y36" s="13">
        <v>7.43</v>
      </c>
      <c r="Z36" s="13">
        <f t="shared" si="27"/>
        <v>22.88</v>
      </c>
      <c r="AB36" s="74">
        <v>1822</v>
      </c>
      <c r="AC36" s="74" t="s">
        <v>95</v>
      </c>
      <c r="AD36" s="13">
        <v>19.899999999999999</v>
      </c>
      <c r="AE36" s="13">
        <v>9.57</v>
      </c>
      <c r="AF36" s="13">
        <f t="shared" si="28"/>
        <v>29.47</v>
      </c>
      <c r="AH36" s="89">
        <f t="shared" si="4"/>
        <v>-0.36683417085427128</v>
      </c>
      <c r="AI36" s="89">
        <f t="shared" si="20"/>
        <v>-0.28735632183908044</v>
      </c>
      <c r="AJ36" s="89">
        <f t="shared" si="21"/>
        <v>-0.34102477095351191</v>
      </c>
    </row>
    <row r="37" spans="1:36" x14ac:dyDescent="0.3">
      <c r="A37" s="10" t="s">
        <v>96</v>
      </c>
      <c r="B37" s="11" t="s">
        <v>97</v>
      </c>
      <c r="C37" s="12">
        <f t="shared" si="23"/>
        <v>163</v>
      </c>
      <c r="D37" s="41" t="str">
        <f t="shared" si="24"/>
        <v>m/mês</v>
      </c>
      <c r="E37" s="41">
        <v>16.809999999999999</v>
      </c>
      <c r="F37" s="41">
        <v>11.55</v>
      </c>
      <c r="G37" s="41">
        <f t="shared" si="16"/>
        <v>28.36</v>
      </c>
      <c r="H37" s="13">
        <f t="shared" si="25"/>
        <v>2740.0299999999997</v>
      </c>
      <c r="I37" s="13">
        <f t="shared" si="26"/>
        <v>1882.65</v>
      </c>
      <c r="J37" s="14">
        <f t="shared" si="19"/>
        <v>4622.68</v>
      </c>
      <c r="M37" s="305"/>
      <c r="N37" s="305"/>
      <c r="V37" s="74">
        <v>163</v>
      </c>
      <c r="W37" s="74" t="s">
        <v>98</v>
      </c>
      <c r="X37" s="13">
        <v>20.6</v>
      </c>
      <c r="Y37" s="13">
        <v>12.59</v>
      </c>
      <c r="Z37" s="13">
        <f t="shared" si="27"/>
        <v>33.19</v>
      </c>
      <c r="AB37" s="74">
        <v>163</v>
      </c>
      <c r="AC37" s="74" t="s">
        <v>98</v>
      </c>
      <c r="AD37" s="13">
        <v>26.54</v>
      </c>
      <c r="AE37" s="13">
        <v>16.22</v>
      </c>
      <c r="AF37" s="13">
        <f t="shared" si="28"/>
        <v>42.76</v>
      </c>
      <c r="AH37" s="89">
        <f t="shared" si="4"/>
        <v>-0.36661642803315753</v>
      </c>
      <c r="AI37" s="89">
        <f t="shared" si="20"/>
        <v>-0.28791615289765715</v>
      </c>
      <c r="AJ37" s="89">
        <f t="shared" si="21"/>
        <v>-0.33676333021515437</v>
      </c>
    </row>
    <row r="38" spans="1:36" x14ac:dyDescent="0.3">
      <c r="A38" s="10" t="s">
        <v>99</v>
      </c>
      <c r="B38" s="11" t="s">
        <v>100</v>
      </c>
      <c r="C38" s="12">
        <f t="shared" si="23"/>
        <v>1513</v>
      </c>
      <c r="D38" s="41" t="str">
        <f t="shared" si="24"/>
        <v>m²</v>
      </c>
      <c r="E38" s="41">
        <v>42.86</v>
      </c>
      <c r="F38" s="41">
        <v>42.01</v>
      </c>
      <c r="G38" s="41">
        <f t="shared" si="16"/>
        <v>84.87</v>
      </c>
      <c r="H38" s="13">
        <f t="shared" si="25"/>
        <v>64847.18</v>
      </c>
      <c r="I38" s="13">
        <f t="shared" si="26"/>
        <v>63561.13</v>
      </c>
      <c r="J38" s="14">
        <f t="shared" si="19"/>
        <v>128408.31000000001</v>
      </c>
      <c r="M38" s="54"/>
      <c r="N38" s="56"/>
      <c r="V38" s="74">
        <v>1513</v>
      </c>
      <c r="W38" s="74" t="s">
        <v>60</v>
      </c>
      <c r="X38" s="13">
        <v>51.48</v>
      </c>
      <c r="Y38" s="13">
        <v>44.19</v>
      </c>
      <c r="Z38" s="13">
        <f t="shared" si="27"/>
        <v>95.669999999999987</v>
      </c>
      <c r="AB38" s="74">
        <v>1513</v>
      </c>
      <c r="AC38" s="74" t="s">
        <v>60</v>
      </c>
      <c r="AD38" s="13">
        <v>66.319999999999993</v>
      </c>
      <c r="AE38" s="13">
        <v>56.93</v>
      </c>
      <c r="AF38" s="13">
        <f t="shared" si="28"/>
        <v>123.25</v>
      </c>
      <c r="AH38" s="89">
        <f t="shared" si="4"/>
        <v>-0.35373944511459587</v>
      </c>
      <c r="AI38" s="89">
        <f t="shared" si="20"/>
        <v>-0.262076233971544</v>
      </c>
      <c r="AJ38" s="89">
        <f t="shared" si="21"/>
        <v>-0.31139959432048681</v>
      </c>
    </row>
    <row r="39" spans="1:36" x14ac:dyDescent="0.3">
      <c r="A39" s="10" t="s">
        <v>101</v>
      </c>
      <c r="B39" s="11" t="s">
        <v>102</v>
      </c>
      <c r="C39" s="12">
        <f t="shared" si="23"/>
        <v>149</v>
      </c>
      <c r="D39" s="41" t="str">
        <f t="shared" si="24"/>
        <v>m²</v>
      </c>
      <c r="E39" s="41">
        <v>0</v>
      </c>
      <c r="F39" s="41">
        <v>17.46</v>
      </c>
      <c r="G39" s="41">
        <f t="shared" si="16"/>
        <v>17.46</v>
      </c>
      <c r="H39" s="13">
        <f t="shared" si="25"/>
        <v>0</v>
      </c>
      <c r="I39" s="13">
        <f t="shared" si="26"/>
        <v>2601.54</v>
      </c>
      <c r="J39" s="14">
        <f t="shared" si="19"/>
        <v>2601.54</v>
      </c>
      <c r="M39" s="54"/>
      <c r="N39" s="56"/>
      <c r="V39" s="74">
        <v>149</v>
      </c>
      <c r="W39" s="74" t="s">
        <v>60</v>
      </c>
      <c r="X39" s="13">
        <v>0</v>
      </c>
      <c r="Y39" s="13">
        <v>18.5</v>
      </c>
      <c r="Z39" s="13">
        <f t="shared" si="27"/>
        <v>18.5</v>
      </c>
      <c r="AB39" s="74">
        <v>149</v>
      </c>
      <c r="AC39" s="74" t="s">
        <v>60</v>
      </c>
      <c r="AD39" s="13">
        <v>0</v>
      </c>
      <c r="AE39" s="13">
        <v>23.83</v>
      </c>
      <c r="AF39" s="13">
        <f t="shared" si="28"/>
        <v>23.83</v>
      </c>
      <c r="AH39" s="89">
        <f t="shared" si="4"/>
        <v>0</v>
      </c>
      <c r="AI39" s="89">
        <f t="shared" si="20"/>
        <v>-0.26731011330255972</v>
      </c>
      <c r="AJ39" s="89">
        <f t="shared" si="21"/>
        <v>-0.26731011330255972</v>
      </c>
    </row>
    <row r="40" spans="1:36" x14ac:dyDescent="0.3">
      <c r="A40" s="10" t="s">
        <v>103</v>
      </c>
      <c r="B40" s="11" t="s">
        <v>104</v>
      </c>
      <c r="C40" s="12">
        <f t="shared" si="23"/>
        <v>1</v>
      </c>
      <c r="D40" s="41" t="str">
        <f t="shared" si="24"/>
        <v>mês</v>
      </c>
      <c r="E40" s="41">
        <v>469.2</v>
      </c>
      <c r="F40" s="41">
        <v>18.38</v>
      </c>
      <c r="G40" s="41">
        <f t="shared" ref="G40:G47" si="29">F40+E40</f>
        <v>487.58</v>
      </c>
      <c r="H40" s="13">
        <f t="shared" ref="H40:H47" si="30">C40*E40</f>
        <v>469.2</v>
      </c>
      <c r="I40" s="13">
        <f t="shared" ref="I40:I47" si="31">C40*F40</f>
        <v>18.38</v>
      </c>
      <c r="J40" s="14">
        <f t="shared" ref="J40:J47" si="32">SUM(E40:F40)*C40</f>
        <v>487.58</v>
      </c>
      <c r="M40" s="54"/>
      <c r="N40" s="56"/>
      <c r="V40" s="74">
        <v>1</v>
      </c>
      <c r="W40" s="74" t="s">
        <v>105</v>
      </c>
      <c r="X40" s="13">
        <v>575</v>
      </c>
      <c r="Y40" s="13">
        <v>19.84</v>
      </c>
      <c r="Z40" s="13">
        <f t="shared" ref="Z40:Z47" si="33">SUM(X40:Y40)</f>
        <v>594.84</v>
      </c>
      <c r="AB40" s="74">
        <v>1</v>
      </c>
      <c r="AC40" s="74" t="s">
        <v>105</v>
      </c>
      <c r="AD40" s="13">
        <v>740.72</v>
      </c>
      <c r="AE40" s="13">
        <v>25.56</v>
      </c>
      <c r="AF40" s="13">
        <f t="shared" ref="AF40:AF42" si="34">SUM(AD40:AE40)</f>
        <v>766.28</v>
      </c>
      <c r="AH40" s="89">
        <f t="shared" si="4"/>
        <v>-0.36656226374338485</v>
      </c>
      <c r="AI40" s="89">
        <f t="shared" si="20"/>
        <v>-0.28090766823161195</v>
      </c>
      <c r="AJ40" s="89">
        <f t="shared" si="21"/>
        <v>-0.36370517304379602</v>
      </c>
    </row>
    <row r="41" spans="1:36" x14ac:dyDescent="0.3">
      <c r="A41" s="10" t="s">
        <v>106</v>
      </c>
      <c r="B41" s="11" t="s">
        <v>107</v>
      </c>
      <c r="C41" s="12">
        <f t="shared" si="23"/>
        <v>13</v>
      </c>
      <c r="D41" s="41" t="str">
        <f t="shared" si="24"/>
        <v>m²</v>
      </c>
      <c r="E41" s="41">
        <v>75.84</v>
      </c>
      <c r="F41" s="41">
        <v>52.54</v>
      </c>
      <c r="G41" s="41">
        <f t="shared" si="29"/>
        <v>128.38</v>
      </c>
      <c r="H41" s="13">
        <f t="shared" si="30"/>
        <v>985.92000000000007</v>
      </c>
      <c r="I41" s="13">
        <f t="shared" si="31"/>
        <v>683.02</v>
      </c>
      <c r="J41" s="14">
        <f t="shared" si="32"/>
        <v>1668.94</v>
      </c>
      <c r="M41" s="54"/>
      <c r="N41" s="56"/>
      <c r="V41" s="74">
        <v>13</v>
      </c>
      <c r="W41" s="74" t="s">
        <v>60</v>
      </c>
      <c r="X41" s="13">
        <v>91.18</v>
      </c>
      <c r="Y41" s="13">
        <v>55.43</v>
      </c>
      <c r="Z41" s="13">
        <f t="shared" si="33"/>
        <v>146.61000000000001</v>
      </c>
      <c r="AB41" s="74">
        <v>13</v>
      </c>
      <c r="AC41" s="74" t="s">
        <v>60</v>
      </c>
      <c r="AD41" s="13">
        <v>117.46</v>
      </c>
      <c r="AE41" s="13">
        <v>71.400000000000006</v>
      </c>
      <c r="AF41" s="13">
        <f t="shared" si="34"/>
        <v>188.86</v>
      </c>
      <c r="AH41" s="89">
        <f t="shared" si="4"/>
        <v>-0.35433339009024345</v>
      </c>
      <c r="AI41" s="89">
        <f t="shared" si="20"/>
        <v>-0.26414565826330538</v>
      </c>
      <c r="AJ41" s="89">
        <f t="shared" si="21"/>
        <v>-0.32023721275018535</v>
      </c>
    </row>
    <row r="42" spans="1:36" x14ac:dyDescent="0.3">
      <c r="A42" s="10" t="s">
        <v>108</v>
      </c>
      <c r="B42" s="11" t="s">
        <v>109</v>
      </c>
      <c r="C42" s="12">
        <f t="shared" ref="C42:C46" si="35">V42</f>
        <v>1</v>
      </c>
      <c r="D42" s="41" t="str">
        <f t="shared" ref="D42:D46" si="36">W42</f>
        <v>un</v>
      </c>
      <c r="E42" s="41">
        <v>0</v>
      </c>
      <c r="F42" s="41">
        <v>121.78</v>
      </c>
      <c r="G42" s="41">
        <f t="shared" ref="G42:G46" si="37">F42+E42</f>
        <v>121.78</v>
      </c>
      <c r="H42" s="13">
        <f t="shared" ref="H42:H46" si="38">C42*E42</f>
        <v>0</v>
      </c>
      <c r="I42" s="13">
        <f t="shared" ref="I42:I46" si="39">C42*F42</f>
        <v>121.78</v>
      </c>
      <c r="J42" s="14">
        <f t="shared" ref="J42:J46" si="40">SUM(E42:F42)*C42</f>
        <v>121.78</v>
      </c>
      <c r="M42" s="54"/>
      <c r="N42" s="56"/>
      <c r="V42" s="74">
        <v>1</v>
      </c>
      <c r="W42" s="74" t="s">
        <v>110</v>
      </c>
      <c r="X42" s="13">
        <v>0</v>
      </c>
      <c r="Y42" s="13">
        <v>127.11</v>
      </c>
      <c r="Z42" s="13">
        <f t="shared" ref="Z42" si="41">SUM(X42:Y42)</f>
        <v>127.11</v>
      </c>
      <c r="AB42" s="74">
        <v>1</v>
      </c>
      <c r="AC42" s="74" t="s">
        <v>110</v>
      </c>
      <c r="AD42" s="13">
        <v>0</v>
      </c>
      <c r="AE42" s="13">
        <v>163.74</v>
      </c>
      <c r="AF42" s="13">
        <f t="shared" si="34"/>
        <v>163.74</v>
      </c>
      <c r="AH42" s="89">
        <f t="shared" si="4"/>
        <v>0</v>
      </c>
      <c r="AI42" s="89">
        <f t="shared" si="20"/>
        <v>-0.25625992427018451</v>
      </c>
      <c r="AJ42" s="89">
        <f t="shared" si="21"/>
        <v>-0.25625992427018451</v>
      </c>
    </row>
    <row r="43" spans="1:36" x14ac:dyDescent="0.3">
      <c r="A43" s="10" t="s">
        <v>111</v>
      </c>
      <c r="B43" s="11" t="s">
        <v>112</v>
      </c>
      <c r="C43" s="12">
        <f t="shared" si="35"/>
        <v>1</v>
      </c>
      <c r="D43" s="41" t="str">
        <f t="shared" si="36"/>
        <v>m</v>
      </c>
      <c r="E43" s="41">
        <v>7.05</v>
      </c>
      <c r="F43" s="41">
        <v>7.78</v>
      </c>
      <c r="G43" s="41">
        <f t="shared" si="37"/>
        <v>14.83</v>
      </c>
      <c r="H43" s="13">
        <f t="shared" si="38"/>
        <v>7.05</v>
      </c>
      <c r="I43" s="13">
        <f t="shared" si="39"/>
        <v>7.78</v>
      </c>
      <c r="J43" s="14">
        <f t="shared" si="40"/>
        <v>14.83</v>
      </c>
      <c r="M43" s="54"/>
      <c r="N43" s="56"/>
      <c r="V43" s="74">
        <v>1</v>
      </c>
      <c r="W43" s="74" t="s">
        <v>76</v>
      </c>
      <c r="X43" s="13">
        <v>8.4700000000000006</v>
      </c>
      <c r="Y43" s="13">
        <v>8.17</v>
      </c>
      <c r="Z43" s="13">
        <f t="shared" ref="Z43:Z46" si="42">SUM(X43:Y43)</f>
        <v>16.64</v>
      </c>
      <c r="AB43" s="74">
        <v>1</v>
      </c>
      <c r="AC43" s="74" t="s">
        <v>76</v>
      </c>
      <c r="AD43" s="13">
        <v>10.91</v>
      </c>
      <c r="AE43" s="13">
        <v>10.52</v>
      </c>
      <c r="AF43" s="13">
        <f t="shared" ref="AF43:AF46" si="43">SUM(AD43:AE43)</f>
        <v>21.43</v>
      </c>
      <c r="AH43" s="89">
        <f t="shared" si="4"/>
        <v>-0.35380384967919343</v>
      </c>
      <c r="AI43" s="89">
        <f t="shared" si="20"/>
        <v>-0.26045627376425851</v>
      </c>
      <c r="AJ43" s="89">
        <f t="shared" si="21"/>
        <v>-0.30797946803546428</v>
      </c>
    </row>
    <row r="44" spans="1:36" x14ac:dyDescent="0.3">
      <c r="A44" s="10" t="s">
        <v>113</v>
      </c>
      <c r="B44" s="11" t="s">
        <v>114</v>
      </c>
      <c r="C44" s="12">
        <f t="shared" si="35"/>
        <v>29</v>
      </c>
      <c r="D44" s="41" t="str">
        <f t="shared" si="36"/>
        <v xml:space="preserve">un </v>
      </c>
      <c r="E44" s="41">
        <v>14.51</v>
      </c>
      <c r="F44" s="41">
        <v>17.059999999999999</v>
      </c>
      <c r="G44" s="41">
        <f t="shared" si="37"/>
        <v>31.57</v>
      </c>
      <c r="H44" s="13">
        <f t="shared" si="38"/>
        <v>420.79</v>
      </c>
      <c r="I44" s="13">
        <f t="shared" si="39"/>
        <v>494.73999999999995</v>
      </c>
      <c r="J44" s="14">
        <f t="shared" si="40"/>
        <v>915.53</v>
      </c>
      <c r="M44" s="54"/>
      <c r="N44" s="56"/>
      <c r="V44" s="74">
        <v>29</v>
      </c>
      <c r="W44" s="74" t="s">
        <v>30</v>
      </c>
      <c r="X44" s="13">
        <v>16.05</v>
      </c>
      <c r="Y44" s="13">
        <v>18.12</v>
      </c>
      <c r="Z44" s="13">
        <f t="shared" si="42"/>
        <v>34.17</v>
      </c>
      <c r="AB44" s="74">
        <v>29</v>
      </c>
      <c r="AC44" s="74" t="s">
        <v>30</v>
      </c>
      <c r="AD44" s="13">
        <v>20.68</v>
      </c>
      <c r="AE44" s="13">
        <v>23.34</v>
      </c>
      <c r="AF44" s="13">
        <f t="shared" si="43"/>
        <v>44.019999999999996</v>
      </c>
      <c r="AH44" s="89">
        <f t="shared" si="4"/>
        <v>-0.29835589941972918</v>
      </c>
      <c r="AI44" s="89">
        <f t="shared" si="20"/>
        <v>-0.26906598114824343</v>
      </c>
      <c r="AJ44" s="89">
        <f t="shared" si="21"/>
        <v>-0.28282598818718752</v>
      </c>
    </row>
    <row r="45" spans="1:36" x14ac:dyDescent="0.3">
      <c r="A45" s="10" t="s">
        <v>115</v>
      </c>
      <c r="B45" s="11" t="s">
        <v>116</v>
      </c>
      <c r="C45" s="12">
        <f t="shared" si="35"/>
        <v>1</v>
      </c>
      <c r="D45" s="41" t="str">
        <f t="shared" si="36"/>
        <v>m²</v>
      </c>
      <c r="E45" s="41">
        <v>0.35</v>
      </c>
      <c r="F45" s="41">
        <v>6.26</v>
      </c>
      <c r="G45" s="41">
        <f t="shared" si="37"/>
        <v>6.6099999999999994</v>
      </c>
      <c r="H45" s="13">
        <f t="shared" si="38"/>
        <v>0.35</v>
      </c>
      <c r="I45" s="13">
        <f t="shared" si="39"/>
        <v>6.26</v>
      </c>
      <c r="J45" s="14">
        <f t="shared" si="40"/>
        <v>6.6099999999999994</v>
      </c>
      <c r="M45" s="54"/>
      <c r="N45" s="56"/>
      <c r="V45" s="74">
        <v>1</v>
      </c>
      <c r="W45" s="74" t="s">
        <v>60</v>
      </c>
      <c r="X45" s="13">
        <v>0.41</v>
      </c>
      <c r="Y45" s="13">
        <v>6.58</v>
      </c>
      <c r="Z45" s="13">
        <f t="shared" si="42"/>
        <v>6.99</v>
      </c>
      <c r="AB45" s="74">
        <v>1</v>
      </c>
      <c r="AC45" s="74" t="s">
        <v>60</v>
      </c>
      <c r="AD45" s="13">
        <v>0.53</v>
      </c>
      <c r="AE45" s="13">
        <v>8.48</v>
      </c>
      <c r="AF45" s="13">
        <f t="shared" si="43"/>
        <v>9.01</v>
      </c>
      <c r="AH45" s="89">
        <f t="shared" si="4"/>
        <v>-0.339622641509434</v>
      </c>
      <c r="AI45" s="89">
        <f t="shared" si="20"/>
        <v>-0.2617924528301887</v>
      </c>
      <c r="AJ45" s="89">
        <f t="shared" si="21"/>
        <v>-0.26637069922308554</v>
      </c>
    </row>
    <row r="46" spans="1:36" x14ac:dyDescent="0.3">
      <c r="A46" s="10" t="s">
        <v>117</v>
      </c>
      <c r="B46" s="11" t="s">
        <v>118</v>
      </c>
      <c r="C46" s="12">
        <f t="shared" si="35"/>
        <v>1</v>
      </c>
      <c r="D46" s="41" t="str">
        <f t="shared" si="36"/>
        <v>m²</v>
      </c>
      <c r="E46" s="41">
        <v>0</v>
      </c>
      <c r="F46" s="41">
        <v>2.16</v>
      </c>
      <c r="G46" s="41">
        <f t="shared" si="37"/>
        <v>2.16</v>
      </c>
      <c r="H46" s="13">
        <f t="shared" si="38"/>
        <v>0</v>
      </c>
      <c r="I46" s="13">
        <f t="shared" si="39"/>
        <v>2.16</v>
      </c>
      <c r="J46" s="14">
        <f t="shared" si="40"/>
        <v>2.16</v>
      </c>
      <c r="M46" s="54"/>
      <c r="N46" s="56"/>
      <c r="V46" s="74">
        <v>1</v>
      </c>
      <c r="W46" s="74" t="s">
        <v>60</v>
      </c>
      <c r="X46" s="13">
        <v>0</v>
      </c>
      <c r="Y46" s="13">
        <v>2.33</v>
      </c>
      <c r="Z46" s="13">
        <f t="shared" si="42"/>
        <v>2.33</v>
      </c>
      <c r="AB46" s="74">
        <v>1</v>
      </c>
      <c r="AC46" s="74" t="s">
        <v>60</v>
      </c>
      <c r="AD46" s="13">
        <v>0</v>
      </c>
      <c r="AE46" s="13">
        <v>3</v>
      </c>
      <c r="AF46" s="13">
        <f t="shared" si="43"/>
        <v>3</v>
      </c>
      <c r="AH46" s="89">
        <f t="shared" si="4"/>
        <v>0</v>
      </c>
      <c r="AI46" s="89">
        <f t="shared" si="20"/>
        <v>-0.27999999999999992</v>
      </c>
      <c r="AJ46" s="89">
        <f t="shared" si="21"/>
        <v>-0.27999999999999992</v>
      </c>
    </row>
    <row r="47" spans="1:36" x14ac:dyDescent="0.3">
      <c r="A47" s="10" t="s">
        <v>119</v>
      </c>
      <c r="B47" s="11" t="s">
        <v>120</v>
      </c>
      <c r="C47" s="12">
        <f t="shared" si="23"/>
        <v>1</v>
      </c>
      <c r="D47" s="41" t="str">
        <f t="shared" si="24"/>
        <v xml:space="preserve">un </v>
      </c>
      <c r="E47" s="41">
        <v>61.47</v>
      </c>
      <c r="F47" s="41">
        <v>0</v>
      </c>
      <c r="G47" s="41">
        <f t="shared" si="29"/>
        <v>61.47</v>
      </c>
      <c r="H47" s="13">
        <f t="shared" si="30"/>
        <v>61.47</v>
      </c>
      <c r="I47" s="13">
        <f t="shared" si="31"/>
        <v>0</v>
      </c>
      <c r="J47" s="14">
        <f t="shared" si="32"/>
        <v>61.47</v>
      </c>
      <c r="M47" s="54"/>
      <c r="N47" s="56"/>
      <c r="V47" s="74">
        <v>1</v>
      </c>
      <c r="W47" s="74" t="s">
        <v>30</v>
      </c>
      <c r="X47" s="13">
        <v>88.78</v>
      </c>
      <c r="Y47" s="13">
        <v>0</v>
      </c>
      <c r="Z47" s="13">
        <f t="shared" si="33"/>
        <v>88.78</v>
      </c>
      <c r="AB47" s="74">
        <v>1</v>
      </c>
      <c r="AC47" s="74" t="s">
        <v>30</v>
      </c>
      <c r="AD47" s="13">
        <v>114.37</v>
      </c>
      <c r="AE47" s="13">
        <v>0</v>
      </c>
      <c r="AF47" s="13">
        <f t="shared" ref="AF47" si="44">SUM(AD47:AE47)</f>
        <v>114.37</v>
      </c>
      <c r="AH47" s="89">
        <f t="shared" si="4"/>
        <v>-0.46253388126256889</v>
      </c>
      <c r="AI47" s="89">
        <f t="shared" si="20"/>
        <v>0</v>
      </c>
      <c r="AJ47" s="89">
        <f t="shared" si="21"/>
        <v>-0.46253388126256889</v>
      </c>
    </row>
    <row r="48" spans="1:36" x14ac:dyDescent="0.3">
      <c r="A48" s="10" t="s">
        <v>121</v>
      </c>
      <c r="B48" s="11" t="s">
        <v>122</v>
      </c>
      <c r="C48" s="12">
        <f t="shared" si="23"/>
        <v>1</v>
      </c>
      <c r="D48" s="41" t="str">
        <f t="shared" si="24"/>
        <v>m²</v>
      </c>
      <c r="E48" s="41">
        <v>0</v>
      </c>
      <c r="F48" s="41">
        <v>5.94</v>
      </c>
      <c r="G48" s="41">
        <f t="shared" si="16"/>
        <v>5.94</v>
      </c>
      <c r="H48" s="13">
        <f t="shared" si="25"/>
        <v>0</v>
      </c>
      <c r="I48" s="13">
        <f t="shared" si="26"/>
        <v>5.94</v>
      </c>
      <c r="J48" s="14">
        <f t="shared" si="19"/>
        <v>5.94</v>
      </c>
      <c r="M48" s="54"/>
      <c r="N48" s="56"/>
      <c r="V48" s="74">
        <v>1</v>
      </c>
      <c r="W48" s="74" t="s">
        <v>60</v>
      </c>
      <c r="X48" s="13">
        <v>0</v>
      </c>
      <c r="Y48" s="13">
        <v>6.48</v>
      </c>
      <c r="Z48" s="13">
        <f t="shared" si="27"/>
        <v>6.48</v>
      </c>
      <c r="AB48" s="74">
        <v>1</v>
      </c>
      <c r="AC48" s="74" t="s">
        <v>60</v>
      </c>
      <c r="AD48" s="13">
        <v>0</v>
      </c>
      <c r="AE48" s="13">
        <v>8.35</v>
      </c>
      <c r="AF48" s="13">
        <f t="shared" ref="AF48:AF52" si="45">SUM(AD48:AE48)</f>
        <v>8.35</v>
      </c>
      <c r="AH48" s="89">
        <f t="shared" si="4"/>
        <v>0</v>
      </c>
      <c r="AI48" s="89">
        <f t="shared" si="20"/>
        <v>-0.28862275449101793</v>
      </c>
      <c r="AJ48" s="89">
        <f t="shared" si="21"/>
        <v>-0.28862275449101793</v>
      </c>
    </row>
    <row r="49" spans="1:36" ht="28.8" x14ac:dyDescent="0.3">
      <c r="A49" s="10" t="s">
        <v>123</v>
      </c>
      <c r="B49" s="11" t="s">
        <v>124</v>
      </c>
      <c r="C49" s="12">
        <f t="shared" si="23"/>
        <v>1</v>
      </c>
      <c r="D49" s="41" t="str">
        <f t="shared" si="24"/>
        <v>m²</v>
      </c>
      <c r="E49" s="41">
        <v>0</v>
      </c>
      <c r="F49" s="41">
        <v>18.579999999999998</v>
      </c>
      <c r="G49" s="41">
        <f t="shared" si="16"/>
        <v>18.579999999999998</v>
      </c>
      <c r="H49" s="13">
        <f t="shared" si="25"/>
        <v>0</v>
      </c>
      <c r="I49" s="13">
        <f t="shared" si="26"/>
        <v>18.579999999999998</v>
      </c>
      <c r="J49" s="14">
        <f t="shared" si="19"/>
        <v>18.579999999999998</v>
      </c>
      <c r="M49" s="54"/>
      <c r="N49" s="56"/>
      <c r="V49" s="74">
        <v>1</v>
      </c>
      <c r="W49" s="74" t="s">
        <v>60</v>
      </c>
      <c r="X49" s="13">
        <v>0</v>
      </c>
      <c r="Y49" s="13">
        <v>19.62</v>
      </c>
      <c r="Z49" s="13">
        <f t="shared" si="27"/>
        <v>19.62</v>
      </c>
      <c r="AB49" s="74">
        <v>1</v>
      </c>
      <c r="AC49" s="74" t="s">
        <v>60</v>
      </c>
      <c r="AD49" s="13">
        <v>0</v>
      </c>
      <c r="AE49" s="13">
        <v>25.27</v>
      </c>
      <c r="AF49" s="13">
        <f t="shared" si="45"/>
        <v>25.27</v>
      </c>
      <c r="AH49" s="89">
        <f t="shared" si="4"/>
        <v>0</v>
      </c>
      <c r="AI49" s="89">
        <f t="shared" si="20"/>
        <v>-0.26474079936683825</v>
      </c>
      <c r="AJ49" s="89">
        <f t="shared" si="21"/>
        <v>-0.26474079936683825</v>
      </c>
    </row>
    <row r="50" spans="1:36" ht="28.8" x14ac:dyDescent="0.3">
      <c r="A50" s="10" t="s">
        <v>125</v>
      </c>
      <c r="B50" s="11" t="s">
        <v>126</v>
      </c>
      <c r="C50" s="12">
        <f t="shared" si="23"/>
        <v>1</v>
      </c>
      <c r="D50" s="41" t="str">
        <f t="shared" si="24"/>
        <v>m²</v>
      </c>
      <c r="E50" s="41">
        <v>2.7</v>
      </c>
      <c r="F50" s="41">
        <v>7.68</v>
      </c>
      <c r="G50" s="41">
        <f t="shared" si="16"/>
        <v>10.379999999999999</v>
      </c>
      <c r="H50" s="13">
        <f t="shared" si="25"/>
        <v>2.7</v>
      </c>
      <c r="I50" s="13">
        <f t="shared" si="26"/>
        <v>7.68</v>
      </c>
      <c r="J50" s="14">
        <f t="shared" si="19"/>
        <v>10.379999999999999</v>
      </c>
      <c r="M50" s="54"/>
      <c r="N50" s="56"/>
      <c r="V50" s="74">
        <v>1</v>
      </c>
      <c r="W50" s="74" t="s">
        <v>60</v>
      </c>
      <c r="X50" s="13">
        <v>2.91</v>
      </c>
      <c r="Y50" s="13">
        <v>8.1</v>
      </c>
      <c r="Z50" s="13">
        <f t="shared" si="27"/>
        <v>11.01</v>
      </c>
      <c r="AB50" s="74">
        <v>1</v>
      </c>
      <c r="AC50" s="74" t="s">
        <v>60</v>
      </c>
      <c r="AD50" s="13">
        <v>3.75</v>
      </c>
      <c r="AE50" s="13">
        <v>10.43</v>
      </c>
      <c r="AF50" s="13">
        <f t="shared" si="45"/>
        <v>14.18</v>
      </c>
      <c r="AH50" s="89">
        <f t="shared" si="4"/>
        <v>-0.27999999999999992</v>
      </c>
      <c r="AI50" s="89">
        <f t="shared" si="20"/>
        <v>-0.26366251198465962</v>
      </c>
      <c r="AJ50" s="89">
        <f t="shared" si="21"/>
        <v>-0.26798307475317351</v>
      </c>
    </row>
    <row r="51" spans="1:36" x14ac:dyDescent="0.3">
      <c r="A51" s="10" t="s">
        <v>127</v>
      </c>
      <c r="B51" s="11" t="s">
        <v>128</v>
      </c>
      <c r="C51" s="12">
        <f t="shared" ref="C51" si="46">V51</f>
        <v>1</v>
      </c>
      <c r="D51" s="41" t="str">
        <f t="shared" ref="D51" si="47">W51</f>
        <v xml:space="preserve">un </v>
      </c>
      <c r="E51" s="41">
        <v>0</v>
      </c>
      <c r="F51" s="41">
        <v>25.22</v>
      </c>
      <c r="G51" s="41">
        <f t="shared" ref="G51" si="48">F51+E51</f>
        <v>25.22</v>
      </c>
      <c r="H51" s="13">
        <f t="shared" ref="H51" si="49">C51*E51</f>
        <v>0</v>
      </c>
      <c r="I51" s="13">
        <f t="shared" ref="I51" si="50">C51*F51</f>
        <v>25.22</v>
      </c>
      <c r="J51" s="14">
        <f t="shared" ref="J51" si="51">SUM(E51:F51)*C51</f>
        <v>25.22</v>
      </c>
      <c r="M51" s="54"/>
      <c r="N51" s="56"/>
      <c r="V51" s="74">
        <v>1</v>
      </c>
      <c r="W51" s="74" t="s">
        <v>30</v>
      </c>
      <c r="X51" s="13">
        <v>0</v>
      </c>
      <c r="Y51" s="13">
        <v>26.72</v>
      </c>
      <c r="Z51" s="13">
        <f t="shared" ref="Z51" si="52">SUM(X51:Y51)</f>
        <v>26.72</v>
      </c>
      <c r="AB51" s="74">
        <v>1</v>
      </c>
      <c r="AC51" s="74" t="s">
        <v>30</v>
      </c>
      <c r="AD51" s="13">
        <v>0</v>
      </c>
      <c r="AE51" s="13">
        <v>34.42</v>
      </c>
      <c r="AF51" s="13">
        <f t="shared" ref="AF51" si="53">SUM(AD51:AE51)</f>
        <v>34.42</v>
      </c>
      <c r="AH51" s="89">
        <f t="shared" ref="AH51" si="54">IF(E51=0,0,(E51/AD51)-1)</f>
        <v>0</v>
      </c>
      <c r="AI51" s="89">
        <f t="shared" ref="AI51" si="55">IF(F51=0,0,(F51/AE51)-1)</f>
        <v>-0.26728646135967471</v>
      </c>
      <c r="AJ51" s="89">
        <f t="shared" ref="AJ51" si="56">IF(G51=0,0,(G51/AF51)-1)</f>
        <v>-0.26728646135967471</v>
      </c>
    </row>
    <row r="52" spans="1:36" x14ac:dyDescent="0.3">
      <c r="A52" s="10" t="s">
        <v>129</v>
      </c>
      <c r="B52" s="11" t="s">
        <v>130</v>
      </c>
      <c r="C52" s="12">
        <f t="shared" si="23"/>
        <v>1</v>
      </c>
      <c r="D52" s="41" t="str">
        <f t="shared" si="24"/>
        <v>m²</v>
      </c>
      <c r="E52" s="41">
        <v>2.5099999999999998</v>
      </c>
      <c r="F52" s="41">
        <v>2.99</v>
      </c>
      <c r="G52" s="41">
        <f t="shared" si="16"/>
        <v>5.5</v>
      </c>
      <c r="H52" s="13">
        <f t="shared" si="25"/>
        <v>2.5099999999999998</v>
      </c>
      <c r="I52" s="13">
        <f t="shared" si="26"/>
        <v>2.99</v>
      </c>
      <c r="J52" s="14">
        <f t="shared" si="19"/>
        <v>5.5</v>
      </c>
      <c r="M52" s="54"/>
      <c r="N52" s="56"/>
      <c r="V52" s="74">
        <v>1</v>
      </c>
      <c r="W52" s="74" t="s">
        <v>60</v>
      </c>
      <c r="X52" s="13">
        <v>3.63</v>
      </c>
      <c r="Y52" s="13">
        <v>3.15</v>
      </c>
      <c r="Z52" s="13">
        <f t="shared" si="27"/>
        <v>6.7799999999999994</v>
      </c>
      <c r="AB52" s="74">
        <v>1</v>
      </c>
      <c r="AC52" s="74" t="s">
        <v>60</v>
      </c>
      <c r="AD52" s="13">
        <v>4.68</v>
      </c>
      <c r="AE52" s="13">
        <v>4.0599999999999996</v>
      </c>
      <c r="AF52" s="13">
        <f t="shared" si="45"/>
        <v>8.7399999999999984</v>
      </c>
      <c r="AH52" s="89">
        <f t="shared" si="4"/>
        <v>-0.46367521367521369</v>
      </c>
      <c r="AI52" s="89">
        <f t="shared" si="20"/>
        <v>-0.26354679802955649</v>
      </c>
      <c r="AJ52" s="89">
        <f t="shared" si="21"/>
        <v>-0.37070938215102966</v>
      </c>
    </row>
    <row r="53" spans="1:36" x14ac:dyDescent="0.3">
      <c r="A53" s="15">
        <v>3</v>
      </c>
      <c r="B53" s="16" t="s">
        <v>131</v>
      </c>
      <c r="C53" s="76"/>
      <c r="D53" s="58"/>
      <c r="E53" s="58">
        <v>0</v>
      </c>
      <c r="F53" s="58">
        <v>0</v>
      </c>
      <c r="G53" s="58"/>
      <c r="H53" s="23">
        <v>0</v>
      </c>
      <c r="I53" s="23">
        <v>0</v>
      </c>
      <c r="J53" s="24">
        <v>0</v>
      </c>
      <c r="M53" s="54"/>
      <c r="N53" s="56"/>
      <c r="V53" s="75"/>
      <c r="W53" s="75"/>
      <c r="X53" s="23"/>
      <c r="Y53" s="23"/>
      <c r="Z53" s="23"/>
      <c r="AB53" s="75"/>
      <c r="AC53" s="75"/>
      <c r="AD53" s="23"/>
      <c r="AE53" s="23"/>
      <c r="AF53" s="23"/>
      <c r="AH53" s="89">
        <f t="shared" si="4"/>
        <v>0</v>
      </c>
      <c r="AI53" s="89">
        <f t="shared" si="20"/>
        <v>0</v>
      </c>
      <c r="AJ53" s="89">
        <f t="shared" si="21"/>
        <v>0</v>
      </c>
    </row>
    <row r="54" spans="1:36" x14ac:dyDescent="0.3">
      <c r="A54" s="15">
        <v>4</v>
      </c>
      <c r="B54" s="16" t="s">
        <v>132</v>
      </c>
      <c r="C54" s="76"/>
      <c r="D54" s="58"/>
      <c r="E54" s="58">
        <v>0</v>
      </c>
      <c r="F54" s="58">
        <v>0</v>
      </c>
      <c r="G54" s="58"/>
      <c r="H54" s="23">
        <v>0</v>
      </c>
      <c r="I54" s="23">
        <v>0</v>
      </c>
      <c r="J54" s="24">
        <v>0</v>
      </c>
      <c r="M54" s="54"/>
      <c r="N54" s="56"/>
      <c r="V54" s="75"/>
      <c r="W54" s="75"/>
      <c r="X54" s="23"/>
      <c r="Y54" s="23"/>
      <c r="Z54" s="23"/>
      <c r="AB54" s="75"/>
      <c r="AC54" s="75"/>
      <c r="AD54" s="23"/>
      <c r="AE54" s="23"/>
      <c r="AF54" s="23"/>
      <c r="AH54" s="89">
        <f t="shared" si="4"/>
        <v>0</v>
      </c>
      <c r="AI54" s="89">
        <f t="shared" si="20"/>
        <v>0</v>
      </c>
      <c r="AJ54" s="89">
        <f t="shared" si="21"/>
        <v>0</v>
      </c>
    </row>
    <row r="55" spans="1:36" x14ac:dyDescent="0.3">
      <c r="A55" s="15">
        <v>5</v>
      </c>
      <c r="B55" s="16" t="s">
        <v>133</v>
      </c>
      <c r="C55" s="76"/>
      <c r="D55" s="58"/>
      <c r="E55" s="58">
        <v>0</v>
      </c>
      <c r="F55" s="58">
        <v>0</v>
      </c>
      <c r="G55" s="58"/>
      <c r="H55" s="24">
        <f t="shared" ref="H55:I55" si="57">SUM(H56:H59)</f>
        <v>1650.25</v>
      </c>
      <c r="I55" s="24">
        <f t="shared" si="57"/>
        <v>450.1</v>
      </c>
      <c r="J55" s="24">
        <f>SUM(J56:J59)</f>
        <v>2100.35</v>
      </c>
      <c r="M55" s="54"/>
      <c r="N55" s="56"/>
      <c r="V55" s="75"/>
      <c r="W55" s="75"/>
      <c r="X55" s="23"/>
      <c r="Y55" s="23"/>
      <c r="Z55" s="23"/>
      <c r="AB55" s="75"/>
      <c r="AC55" s="75"/>
      <c r="AD55" s="23"/>
      <c r="AE55" s="23"/>
      <c r="AF55" s="23"/>
      <c r="AH55" s="89">
        <f t="shared" si="4"/>
        <v>0</v>
      </c>
      <c r="AI55" s="89">
        <f t="shared" si="20"/>
        <v>0</v>
      </c>
      <c r="AJ55" s="89">
        <f t="shared" si="21"/>
        <v>0</v>
      </c>
    </row>
    <row r="56" spans="1:36" x14ac:dyDescent="0.3">
      <c r="A56" s="17" t="s">
        <v>134</v>
      </c>
      <c r="B56" s="11" t="s">
        <v>135</v>
      </c>
      <c r="C56" s="12">
        <f t="shared" ref="C56:D59" si="58">V56</f>
        <v>1</v>
      </c>
      <c r="D56" s="41" t="str">
        <f t="shared" si="58"/>
        <v>m³</v>
      </c>
      <c r="E56" s="41">
        <v>729.79</v>
      </c>
      <c r="F56" s="41">
        <v>48.52</v>
      </c>
      <c r="G56" s="41">
        <f t="shared" si="16"/>
        <v>778.31</v>
      </c>
      <c r="H56" s="13">
        <f t="shared" ref="H56:H59" si="59">C56*E56</f>
        <v>729.79</v>
      </c>
      <c r="I56" s="13">
        <f t="shared" ref="I56:I59" si="60">C56*F56</f>
        <v>48.52</v>
      </c>
      <c r="J56" s="14">
        <f t="shared" ref="J56:J87" si="61">SUM(E56:F56)*C56</f>
        <v>778.31</v>
      </c>
      <c r="M56" s="54"/>
      <c r="N56" s="56"/>
      <c r="V56" s="74">
        <v>1</v>
      </c>
      <c r="W56" s="74" t="s">
        <v>52</v>
      </c>
      <c r="X56" s="13">
        <v>933.69</v>
      </c>
      <c r="Y56" s="13">
        <v>51.34</v>
      </c>
      <c r="Z56" s="13">
        <f>SUM(X56:Y56)</f>
        <v>985.03000000000009</v>
      </c>
      <c r="AB56" s="74">
        <v>1</v>
      </c>
      <c r="AC56" s="74" t="s">
        <v>52</v>
      </c>
      <c r="AD56" s="13">
        <v>1202.78</v>
      </c>
      <c r="AE56" s="13">
        <v>66.14</v>
      </c>
      <c r="AF56" s="13">
        <f>SUM(AD56:AE56)</f>
        <v>1268.92</v>
      </c>
      <c r="AH56" s="89">
        <f t="shared" si="4"/>
        <v>-0.39324731039757899</v>
      </c>
      <c r="AI56" s="89">
        <f t="shared" si="20"/>
        <v>-0.26640459631085567</v>
      </c>
      <c r="AJ56" s="89">
        <f t="shared" si="21"/>
        <v>-0.38663587933045429</v>
      </c>
    </row>
    <row r="57" spans="1:36" x14ac:dyDescent="0.3">
      <c r="A57" s="17" t="s">
        <v>136</v>
      </c>
      <c r="B57" s="11" t="s">
        <v>137</v>
      </c>
      <c r="C57" s="12">
        <f t="shared" si="58"/>
        <v>1</v>
      </c>
      <c r="D57" s="41" t="str">
        <f t="shared" si="58"/>
        <v>m²</v>
      </c>
      <c r="E57" s="41">
        <v>141.62</v>
      </c>
      <c r="F57" s="41">
        <v>54.03</v>
      </c>
      <c r="G57" s="41">
        <f t="shared" si="16"/>
        <v>195.65</v>
      </c>
      <c r="H57" s="13">
        <f t="shared" si="59"/>
        <v>141.62</v>
      </c>
      <c r="I57" s="13">
        <f t="shared" si="60"/>
        <v>54.03</v>
      </c>
      <c r="J57" s="14">
        <f t="shared" si="61"/>
        <v>195.65</v>
      </c>
      <c r="M57" s="54"/>
      <c r="N57" s="56"/>
      <c r="V57" s="74">
        <v>1</v>
      </c>
      <c r="W57" s="74" t="s">
        <v>60</v>
      </c>
      <c r="X57" s="13">
        <v>179.43</v>
      </c>
      <c r="Y57" s="13">
        <v>56.59</v>
      </c>
      <c r="Z57" s="13">
        <f>SUM(X57:Y57)</f>
        <v>236.02</v>
      </c>
      <c r="AB57" s="74">
        <v>1</v>
      </c>
      <c r="AC57" s="74" t="s">
        <v>60</v>
      </c>
      <c r="AD57" s="13">
        <v>231.14</v>
      </c>
      <c r="AE57" s="13">
        <v>72.900000000000006</v>
      </c>
      <c r="AF57" s="13">
        <f>SUM(AD57:AE57)</f>
        <v>304.03999999999996</v>
      </c>
      <c r="AH57" s="89">
        <f t="shared" si="4"/>
        <v>-0.38729774162845021</v>
      </c>
      <c r="AI57" s="89">
        <f t="shared" si="20"/>
        <v>-0.25884773662551441</v>
      </c>
      <c r="AJ57" s="89">
        <f t="shared" si="21"/>
        <v>-0.35649914484936185</v>
      </c>
    </row>
    <row r="58" spans="1:36" x14ac:dyDescent="0.3">
      <c r="A58" s="17" t="s">
        <v>138</v>
      </c>
      <c r="B58" s="11" t="s">
        <v>139</v>
      </c>
      <c r="C58" s="12">
        <f t="shared" si="58"/>
        <v>1</v>
      </c>
      <c r="D58" s="41" t="str">
        <f t="shared" si="58"/>
        <v>m²</v>
      </c>
      <c r="E58" s="41">
        <v>91.96</v>
      </c>
      <c r="F58" s="41">
        <v>46.71</v>
      </c>
      <c r="G58" s="41">
        <f t="shared" si="16"/>
        <v>138.66999999999999</v>
      </c>
      <c r="H58" s="13">
        <f t="shared" si="59"/>
        <v>91.96</v>
      </c>
      <c r="I58" s="13">
        <f t="shared" si="60"/>
        <v>46.71</v>
      </c>
      <c r="J58" s="14">
        <f t="shared" si="61"/>
        <v>138.66999999999999</v>
      </c>
      <c r="M58" s="54"/>
      <c r="N58" s="56"/>
      <c r="V58" s="74">
        <v>1</v>
      </c>
      <c r="W58" s="74" t="s">
        <v>60</v>
      </c>
      <c r="X58" s="13">
        <v>106.01</v>
      </c>
      <c r="Y58" s="13">
        <v>48.93</v>
      </c>
      <c r="Z58" s="13">
        <f>SUM(X58:Y58)</f>
        <v>154.94</v>
      </c>
      <c r="AB58" s="74">
        <v>1</v>
      </c>
      <c r="AC58" s="74" t="s">
        <v>60</v>
      </c>
      <c r="AD58" s="13">
        <v>136.56</v>
      </c>
      <c r="AE58" s="13">
        <v>63.03</v>
      </c>
      <c r="AF58" s="13">
        <f>SUM(AD58:AE58)</f>
        <v>199.59</v>
      </c>
      <c r="AH58" s="89">
        <f t="shared" si="4"/>
        <v>-0.32659636789689517</v>
      </c>
      <c r="AI58" s="89">
        <f t="shared" si="20"/>
        <v>-0.25892432175154689</v>
      </c>
      <c r="AJ58" s="89">
        <f t="shared" si="21"/>
        <v>-0.3052257127110577</v>
      </c>
    </row>
    <row r="59" spans="1:36" x14ac:dyDescent="0.3">
      <c r="A59" s="17" t="s">
        <v>140</v>
      </c>
      <c r="B59" s="11" t="s">
        <v>141</v>
      </c>
      <c r="C59" s="12">
        <f t="shared" si="58"/>
        <v>12</v>
      </c>
      <c r="D59" s="41" t="str">
        <f t="shared" si="58"/>
        <v>m²</v>
      </c>
      <c r="E59" s="41">
        <v>57.24</v>
      </c>
      <c r="F59" s="41">
        <v>25.07</v>
      </c>
      <c r="G59" s="41">
        <f t="shared" si="16"/>
        <v>82.31</v>
      </c>
      <c r="H59" s="13">
        <f t="shared" si="59"/>
        <v>686.88</v>
      </c>
      <c r="I59" s="13">
        <f t="shared" si="60"/>
        <v>300.84000000000003</v>
      </c>
      <c r="J59" s="14">
        <f t="shared" si="61"/>
        <v>987.72</v>
      </c>
      <c r="M59" s="54"/>
      <c r="N59" s="56"/>
      <c r="V59" s="74">
        <v>12</v>
      </c>
      <c r="W59" s="74" t="s">
        <v>60</v>
      </c>
      <c r="X59" s="13">
        <v>82.68</v>
      </c>
      <c r="Y59" s="13">
        <v>26.51</v>
      </c>
      <c r="Z59" s="13">
        <f>SUM(X59:Y59)</f>
        <v>109.19000000000001</v>
      </c>
      <c r="AB59" s="74">
        <v>12</v>
      </c>
      <c r="AC59" s="74" t="s">
        <v>60</v>
      </c>
      <c r="AD59" s="13">
        <v>106.51</v>
      </c>
      <c r="AE59" s="13">
        <v>34.15</v>
      </c>
      <c r="AF59" s="13">
        <f>SUM(AD59:AE59)</f>
        <v>140.66</v>
      </c>
      <c r="AH59" s="89">
        <f t="shared" si="4"/>
        <v>-0.46258567270678808</v>
      </c>
      <c r="AI59" s="89">
        <f t="shared" si="20"/>
        <v>-0.2658857979502196</v>
      </c>
      <c r="AJ59" s="89">
        <f t="shared" si="21"/>
        <v>-0.41483008673396837</v>
      </c>
    </row>
    <row r="60" spans="1:36" x14ac:dyDescent="0.3">
      <c r="A60" s="15">
        <v>6</v>
      </c>
      <c r="B60" s="16" t="s">
        <v>142</v>
      </c>
      <c r="C60" s="76"/>
      <c r="D60" s="58"/>
      <c r="E60" s="58">
        <v>0</v>
      </c>
      <c r="F60" s="58">
        <v>0</v>
      </c>
      <c r="G60" s="58"/>
      <c r="H60" s="24">
        <f t="shared" ref="H60:I60" si="62">SUM(H61:H63)</f>
        <v>15581.410000000002</v>
      </c>
      <c r="I60" s="24">
        <f t="shared" si="62"/>
        <v>4169.79</v>
      </c>
      <c r="J60" s="24">
        <f>SUM(J61:J63)</f>
        <v>19751.199999999997</v>
      </c>
      <c r="M60" s="54"/>
      <c r="N60" s="56"/>
      <c r="V60" s="75"/>
      <c r="W60" s="75"/>
      <c r="X60" s="23"/>
      <c r="Y60" s="23"/>
      <c r="Z60" s="23"/>
      <c r="AB60" s="75"/>
      <c r="AC60" s="75"/>
      <c r="AD60" s="23"/>
      <c r="AE60" s="23"/>
      <c r="AF60" s="23"/>
      <c r="AH60" s="89">
        <f t="shared" si="4"/>
        <v>0</v>
      </c>
      <c r="AI60" s="89">
        <f t="shared" si="20"/>
        <v>0</v>
      </c>
      <c r="AJ60" s="89">
        <f t="shared" si="21"/>
        <v>0</v>
      </c>
    </row>
    <row r="61" spans="1:36" x14ac:dyDescent="0.3">
      <c r="A61" s="17" t="s">
        <v>143</v>
      </c>
      <c r="B61" s="11" t="s">
        <v>144</v>
      </c>
      <c r="C61" s="12">
        <f t="shared" ref="C61:D63" si="63">V61</f>
        <v>76</v>
      </c>
      <c r="D61" s="41" t="str">
        <f t="shared" si="63"/>
        <v>m²</v>
      </c>
      <c r="E61" s="41">
        <v>18.61</v>
      </c>
      <c r="F61" s="41">
        <v>24.09</v>
      </c>
      <c r="G61" s="41">
        <f t="shared" si="16"/>
        <v>42.7</v>
      </c>
      <c r="H61" s="13">
        <f t="shared" ref="H61:H63" si="64">C61*E61</f>
        <v>1414.36</v>
      </c>
      <c r="I61" s="13">
        <f t="shared" ref="I61:I63" si="65">C61*F61</f>
        <v>1830.84</v>
      </c>
      <c r="J61" s="14">
        <f t="shared" si="61"/>
        <v>3245.2000000000003</v>
      </c>
      <c r="M61" s="54"/>
      <c r="N61" s="56"/>
      <c r="V61" s="74">
        <v>76</v>
      </c>
      <c r="W61" s="74" t="s">
        <v>60</v>
      </c>
      <c r="X61" s="13">
        <v>26.88</v>
      </c>
      <c r="Y61" s="13">
        <v>39.53</v>
      </c>
      <c r="Z61" s="13">
        <f>SUM(X61:Y61)</f>
        <v>66.41</v>
      </c>
      <c r="AB61" s="74">
        <v>76</v>
      </c>
      <c r="AC61" s="74" t="s">
        <v>60</v>
      </c>
      <c r="AD61" s="13">
        <v>34.630000000000003</v>
      </c>
      <c r="AE61" s="13">
        <v>50.92</v>
      </c>
      <c r="AF61" s="13">
        <f>SUM(AD61:AE61)</f>
        <v>85.550000000000011</v>
      </c>
      <c r="AH61" s="89">
        <f t="shared" si="4"/>
        <v>-0.46260467802483407</v>
      </c>
      <c r="AI61" s="89">
        <f t="shared" si="20"/>
        <v>-0.52690494893951301</v>
      </c>
      <c r="AJ61" s="89">
        <f t="shared" si="21"/>
        <v>-0.50087668030391586</v>
      </c>
    </row>
    <row r="62" spans="1:36" x14ac:dyDescent="0.3">
      <c r="A62" s="17" t="s">
        <v>145</v>
      </c>
      <c r="B62" s="11" t="s">
        <v>146</v>
      </c>
      <c r="C62" s="12">
        <f t="shared" si="63"/>
        <v>123</v>
      </c>
      <c r="D62" s="41" t="str">
        <f t="shared" si="63"/>
        <v>m²</v>
      </c>
      <c r="E62" s="41">
        <v>103.31</v>
      </c>
      <c r="F62" s="41">
        <v>7.57</v>
      </c>
      <c r="G62" s="41">
        <f t="shared" si="16"/>
        <v>110.88</v>
      </c>
      <c r="H62" s="13">
        <f t="shared" si="64"/>
        <v>12707.130000000001</v>
      </c>
      <c r="I62" s="13">
        <f t="shared" si="65"/>
        <v>931.11</v>
      </c>
      <c r="J62" s="14">
        <f t="shared" si="61"/>
        <v>13638.24</v>
      </c>
      <c r="M62" s="54"/>
      <c r="N62" s="55"/>
      <c r="V62" s="74">
        <v>123</v>
      </c>
      <c r="W62" s="74" t="s">
        <v>60</v>
      </c>
      <c r="X62" s="13">
        <v>149.19999999999999</v>
      </c>
      <c r="Y62" s="13">
        <v>12.87</v>
      </c>
      <c r="Z62" s="13">
        <f>SUM(X62:Y62)</f>
        <v>162.07</v>
      </c>
      <c r="AB62" s="74">
        <v>123</v>
      </c>
      <c r="AC62" s="74" t="s">
        <v>60</v>
      </c>
      <c r="AD62" s="13">
        <v>192.2</v>
      </c>
      <c r="AE62" s="13">
        <v>16.579999999999998</v>
      </c>
      <c r="AF62" s="13">
        <f>SUM(AD62:AE62)</f>
        <v>208.77999999999997</v>
      </c>
      <c r="AH62" s="89">
        <f t="shared" si="4"/>
        <v>-0.46248699271592086</v>
      </c>
      <c r="AI62" s="89">
        <f t="shared" si="20"/>
        <v>-0.54342581423401681</v>
      </c>
      <c r="AJ62" s="89">
        <f t="shared" si="21"/>
        <v>-0.46891464699683871</v>
      </c>
    </row>
    <row r="63" spans="1:36" x14ac:dyDescent="0.3">
      <c r="A63" s="17" t="s">
        <v>147</v>
      </c>
      <c r="B63" s="11" t="s">
        <v>148</v>
      </c>
      <c r="C63" s="12">
        <f t="shared" si="63"/>
        <v>84</v>
      </c>
      <c r="D63" s="41" t="str">
        <f t="shared" si="63"/>
        <v>m</v>
      </c>
      <c r="E63" s="41">
        <v>17.38</v>
      </c>
      <c r="F63" s="41">
        <v>16.760000000000002</v>
      </c>
      <c r="G63" s="41">
        <f t="shared" si="16"/>
        <v>34.14</v>
      </c>
      <c r="H63" s="13">
        <f t="shared" si="64"/>
        <v>1459.9199999999998</v>
      </c>
      <c r="I63" s="13">
        <f t="shared" si="65"/>
        <v>1407.8400000000001</v>
      </c>
      <c r="J63" s="14">
        <f t="shared" si="61"/>
        <v>2867.76</v>
      </c>
      <c r="M63" s="54"/>
      <c r="N63" s="55"/>
      <c r="V63" s="74">
        <v>84</v>
      </c>
      <c r="W63" s="74" t="s">
        <v>76</v>
      </c>
      <c r="X63" s="13">
        <v>25.11</v>
      </c>
      <c r="Y63" s="13">
        <v>27.59</v>
      </c>
      <c r="Z63" s="13">
        <f>SUM(X63:Y63)</f>
        <v>52.7</v>
      </c>
      <c r="AB63" s="74">
        <v>84</v>
      </c>
      <c r="AC63" s="74" t="s">
        <v>76</v>
      </c>
      <c r="AD63" s="13">
        <v>32.35</v>
      </c>
      <c r="AE63" s="13">
        <v>35.54</v>
      </c>
      <c r="AF63" s="13">
        <f>SUM(AD63:AE63)</f>
        <v>67.89</v>
      </c>
      <c r="AH63" s="89">
        <f t="shared" si="4"/>
        <v>-0.46275115919629062</v>
      </c>
      <c r="AI63" s="89">
        <f t="shared" si="20"/>
        <v>-0.52841868317388851</v>
      </c>
      <c r="AJ63" s="89">
        <f t="shared" si="21"/>
        <v>-0.49712770658418026</v>
      </c>
    </row>
    <row r="64" spans="1:36" x14ac:dyDescent="0.3">
      <c r="A64" s="15">
        <v>7</v>
      </c>
      <c r="B64" s="16" t="s">
        <v>149</v>
      </c>
      <c r="C64" s="76"/>
      <c r="D64" s="58"/>
      <c r="E64" s="58">
        <v>0</v>
      </c>
      <c r="F64" s="58">
        <v>0</v>
      </c>
      <c r="G64" s="58"/>
      <c r="H64" s="24">
        <f t="shared" ref="H64:I64" si="66">SUM(H65:H79)</f>
        <v>64196.299999999996</v>
      </c>
      <c r="I64" s="24">
        <f t="shared" si="66"/>
        <v>12220.510000000002</v>
      </c>
      <c r="J64" s="24">
        <f>SUM(J65:J79)</f>
        <v>76416.810000000012</v>
      </c>
      <c r="M64" s="54"/>
      <c r="N64" s="55"/>
      <c r="V64" s="75"/>
      <c r="W64" s="75"/>
      <c r="X64" s="23"/>
      <c r="Y64" s="23"/>
      <c r="Z64" s="23"/>
      <c r="AB64" s="75"/>
      <c r="AC64" s="75"/>
      <c r="AD64" s="23"/>
      <c r="AE64" s="23"/>
      <c r="AF64" s="23"/>
      <c r="AH64" s="89">
        <f t="shared" si="4"/>
        <v>0</v>
      </c>
      <c r="AI64" s="89">
        <f t="shared" si="20"/>
        <v>0</v>
      </c>
      <c r="AJ64" s="89">
        <f t="shared" si="21"/>
        <v>0</v>
      </c>
    </row>
    <row r="65" spans="1:36" x14ac:dyDescent="0.3">
      <c r="A65" s="17" t="s">
        <v>150</v>
      </c>
      <c r="B65" s="11" t="s">
        <v>151</v>
      </c>
      <c r="C65" s="12">
        <f t="shared" ref="C65:C79" si="67">V65</f>
        <v>70</v>
      </c>
      <c r="D65" s="41" t="str">
        <f t="shared" ref="D65:D79" si="68">W65</f>
        <v>m²</v>
      </c>
      <c r="E65" s="41">
        <v>106.17</v>
      </c>
      <c r="F65" s="41">
        <v>11.86</v>
      </c>
      <c r="G65" s="41">
        <f t="shared" si="16"/>
        <v>118.03</v>
      </c>
      <c r="H65" s="13">
        <f t="shared" ref="H65:H79" si="69">C65*E65</f>
        <v>7431.9000000000005</v>
      </c>
      <c r="I65" s="13">
        <f t="shared" ref="I65:I79" si="70">C65*F65</f>
        <v>830.19999999999993</v>
      </c>
      <c r="J65" s="14">
        <f t="shared" si="61"/>
        <v>8262.1</v>
      </c>
      <c r="M65" s="54"/>
      <c r="N65" s="56"/>
      <c r="V65" s="74">
        <v>70</v>
      </c>
      <c r="W65" s="74" t="s">
        <v>60</v>
      </c>
      <c r="X65" s="13">
        <v>124.52</v>
      </c>
      <c r="Y65" s="13">
        <v>12.76</v>
      </c>
      <c r="Z65" s="13">
        <f t="shared" ref="Z65:Z79" si="71">SUM(X65:Y65)</f>
        <v>137.28</v>
      </c>
      <c r="AB65" s="74">
        <v>70</v>
      </c>
      <c r="AC65" s="74" t="s">
        <v>60</v>
      </c>
      <c r="AD65" s="13">
        <v>160.41</v>
      </c>
      <c r="AE65" s="13">
        <v>16.440000000000001</v>
      </c>
      <c r="AF65" s="13">
        <f t="shared" ref="AF65:AF73" si="72">SUM(AD65:AE65)</f>
        <v>176.85</v>
      </c>
      <c r="AH65" s="89">
        <f t="shared" si="4"/>
        <v>-0.3381335328221432</v>
      </c>
      <c r="AI65" s="89">
        <f t="shared" si="20"/>
        <v>-0.27858880778588813</v>
      </c>
      <c r="AJ65" s="89">
        <f t="shared" si="21"/>
        <v>-0.33259824710206387</v>
      </c>
    </row>
    <row r="66" spans="1:36" x14ac:dyDescent="0.3">
      <c r="A66" s="17" t="s">
        <v>152</v>
      </c>
      <c r="B66" s="11" t="s">
        <v>153</v>
      </c>
      <c r="C66" s="12">
        <f t="shared" si="67"/>
        <v>67</v>
      </c>
      <c r="D66" s="41" t="str">
        <f t="shared" si="68"/>
        <v>m²</v>
      </c>
      <c r="E66" s="41">
        <v>124.33</v>
      </c>
      <c r="F66" s="41">
        <v>9.1199999999999992</v>
      </c>
      <c r="G66" s="41">
        <f t="shared" si="16"/>
        <v>133.44999999999999</v>
      </c>
      <c r="H66" s="13">
        <f t="shared" si="69"/>
        <v>8330.11</v>
      </c>
      <c r="I66" s="13">
        <f t="shared" si="70"/>
        <v>611.04</v>
      </c>
      <c r="J66" s="14">
        <f t="shared" si="61"/>
        <v>8941.15</v>
      </c>
      <c r="M66" s="54"/>
      <c r="N66" s="56"/>
      <c r="V66" s="74">
        <v>67</v>
      </c>
      <c r="W66" s="74" t="s">
        <v>60</v>
      </c>
      <c r="X66" s="13">
        <v>130.27000000000001</v>
      </c>
      <c r="Y66" s="13">
        <v>9.61</v>
      </c>
      <c r="Z66" s="13">
        <f t="shared" si="71"/>
        <v>139.88</v>
      </c>
      <c r="AB66" s="74">
        <v>67</v>
      </c>
      <c r="AC66" s="74" t="s">
        <v>60</v>
      </c>
      <c r="AD66" s="13">
        <v>167.81</v>
      </c>
      <c r="AE66" s="13">
        <v>12.38</v>
      </c>
      <c r="AF66" s="13">
        <f t="shared" si="72"/>
        <v>180.19</v>
      </c>
      <c r="AH66" s="89">
        <f t="shared" si="4"/>
        <v>-0.25910255646266611</v>
      </c>
      <c r="AI66" s="89">
        <f t="shared" si="20"/>
        <v>-0.26332794830371575</v>
      </c>
      <c r="AJ66" s="89">
        <f t="shared" si="21"/>
        <v>-0.2593928630889617</v>
      </c>
    </row>
    <row r="67" spans="1:36" x14ac:dyDescent="0.3">
      <c r="A67" s="17" t="s">
        <v>154</v>
      </c>
      <c r="B67" s="11" t="s">
        <v>155</v>
      </c>
      <c r="C67" s="12">
        <f t="shared" si="67"/>
        <v>1</v>
      </c>
      <c r="D67" s="41" t="str">
        <f t="shared" si="68"/>
        <v>m</v>
      </c>
      <c r="E67" s="41">
        <v>107.74</v>
      </c>
      <c r="F67" s="41">
        <v>4.97</v>
      </c>
      <c r="G67" s="41">
        <f t="shared" si="16"/>
        <v>112.71</v>
      </c>
      <c r="H67" s="13">
        <f t="shared" si="69"/>
        <v>107.74</v>
      </c>
      <c r="I67" s="13">
        <f t="shared" si="70"/>
        <v>4.97</v>
      </c>
      <c r="J67" s="14">
        <f t="shared" si="61"/>
        <v>112.71</v>
      </c>
      <c r="M67" s="54"/>
      <c r="N67" s="56"/>
      <c r="V67" s="74">
        <v>1</v>
      </c>
      <c r="W67" s="74" t="s">
        <v>76</v>
      </c>
      <c r="X67" s="13">
        <v>125.69</v>
      </c>
      <c r="Y67" s="13">
        <v>5.24</v>
      </c>
      <c r="Z67" s="13">
        <f t="shared" si="71"/>
        <v>130.93</v>
      </c>
      <c r="AB67" s="74">
        <v>1</v>
      </c>
      <c r="AC67" s="74" t="s">
        <v>76</v>
      </c>
      <c r="AD67" s="13">
        <v>161.91</v>
      </c>
      <c r="AE67" s="13">
        <v>6.75</v>
      </c>
      <c r="AF67" s="13">
        <f t="shared" si="72"/>
        <v>168.66</v>
      </c>
      <c r="AH67" s="89">
        <f t="shared" si="4"/>
        <v>-0.33456858748687546</v>
      </c>
      <c r="AI67" s="89">
        <f t="shared" si="20"/>
        <v>-0.26370370370370377</v>
      </c>
      <c r="AJ67" s="89">
        <f t="shared" si="21"/>
        <v>-0.33173247954464602</v>
      </c>
    </row>
    <row r="68" spans="1:36" x14ac:dyDescent="0.3">
      <c r="A68" s="17" t="s">
        <v>156</v>
      </c>
      <c r="B68" s="11" t="s">
        <v>157</v>
      </c>
      <c r="C68" s="12">
        <f t="shared" si="67"/>
        <v>126</v>
      </c>
      <c r="D68" s="41" t="str">
        <f t="shared" si="68"/>
        <v>m²</v>
      </c>
      <c r="E68" s="41">
        <v>37.58</v>
      </c>
      <c r="F68" s="41">
        <v>9.5500000000000007</v>
      </c>
      <c r="G68" s="41">
        <f t="shared" si="16"/>
        <v>47.129999999999995</v>
      </c>
      <c r="H68" s="13">
        <f t="shared" si="69"/>
        <v>4735.08</v>
      </c>
      <c r="I68" s="13">
        <f t="shared" si="70"/>
        <v>1203.3000000000002</v>
      </c>
      <c r="J68" s="14">
        <f t="shared" si="61"/>
        <v>5938.3799999999992</v>
      </c>
      <c r="M68" s="54"/>
      <c r="N68" s="56"/>
      <c r="V68" s="74">
        <v>126</v>
      </c>
      <c r="W68" s="74" t="s">
        <v>60</v>
      </c>
      <c r="X68" s="13">
        <v>36.47</v>
      </c>
      <c r="Y68" s="13">
        <v>10.1</v>
      </c>
      <c r="Z68" s="13">
        <f t="shared" si="71"/>
        <v>46.57</v>
      </c>
      <c r="AB68" s="74">
        <v>126</v>
      </c>
      <c r="AC68" s="74" t="s">
        <v>60</v>
      </c>
      <c r="AD68" s="13">
        <v>46.98</v>
      </c>
      <c r="AE68" s="13">
        <v>13.01</v>
      </c>
      <c r="AF68" s="13">
        <f t="shared" si="72"/>
        <v>59.989999999999995</v>
      </c>
      <c r="AH68" s="89">
        <f t="shared" si="4"/>
        <v>-0.20008514261387822</v>
      </c>
      <c r="AI68" s="89">
        <f t="shared" si="20"/>
        <v>-0.26594926979246725</v>
      </c>
      <c r="AJ68" s="89">
        <f t="shared" si="21"/>
        <v>-0.2143690615102517</v>
      </c>
    </row>
    <row r="69" spans="1:36" x14ac:dyDescent="0.3">
      <c r="A69" s="17" t="s">
        <v>158</v>
      </c>
      <c r="B69" s="11" t="s">
        <v>159</v>
      </c>
      <c r="C69" s="12">
        <f t="shared" si="67"/>
        <v>36</v>
      </c>
      <c r="D69" s="41" t="str">
        <f t="shared" si="68"/>
        <v>m</v>
      </c>
      <c r="E69" s="41">
        <v>16.23</v>
      </c>
      <c r="F69" s="41">
        <v>21.1</v>
      </c>
      <c r="G69" s="41">
        <f t="shared" si="16"/>
        <v>37.33</v>
      </c>
      <c r="H69" s="13">
        <f t="shared" si="69"/>
        <v>584.28</v>
      </c>
      <c r="I69" s="13">
        <f t="shared" si="70"/>
        <v>759.6</v>
      </c>
      <c r="J69" s="14">
        <f t="shared" si="61"/>
        <v>1343.8799999999999</v>
      </c>
      <c r="M69" s="54"/>
      <c r="N69" s="55"/>
      <c r="V69" s="74">
        <v>36</v>
      </c>
      <c r="W69" s="74" t="s">
        <v>76</v>
      </c>
      <c r="X69" s="13">
        <v>15.75</v>
      </c>
      <c r="Y69" s="13">
        <v>22.23</v>
      </c>
      <c r="Z69" s="13">
        <f t="shared" si="71"/>
        <v>37.980000000000004</v>
      </c>
      <c r="AB69" s="74">
        <v>36</v>
      </c>
      <c r="AC69" s="74" t="s">
        <v>76</v>
      </c>
      <c r="AD69" s="13">
        <v>20.29</v>
      </c>
      <c r="AE69" s="13">
        <v>28.64</v>
      </c>
      <c r="AF69" s="13">
        <f t="shared" si="72"/>
        <v>48.93</v>
      </c>
      <c r="AH69" s="89">
        <f t="shared" si="4"/>
        <v>-0.20009857072449477</v>
      </c>
      <c r="AI69" s="89">
        <f t="shared" si="20"/>
        <v>-0.26326815642458101</v>
      </c>
      <c r="AJ69" s="89">
        <f t="shared" si="21"/>
        <v>-0.2370733701205805</v>
      </c>
    </row>
    <row r="70" spans="1:36" x14ac:dyDescent="0.3">
      <c r="A70" s="17" t="s">
        <v>160</v>
      </c>
      <c r="B70" s="11" t="s">
        <v>161</v>
      </c>
      <c r="C70" s="12">
        <f t="shared" si="67"/>
        <v>100</v>
      </c>
      <c r="D70" s="41" t="str">
        <f t="shared" si="68"/>
        <v>m</v>
      </c>
      <c r="E70" s="41">
        <v>62.29</v>
      </c>
      <c r="F70" s="41">
        <v>22.34</v>
      </c>
      <c r="G70" s="41">
        <f t="shared" si="16"/>
        <v>84.63</v>
      </c>
      <c r="H70" s="13">
        <f t="shared" si="69"/>
        <v>6229</v>
      </c>
      <c r="I70" s="13">
        <f t="shared" si="70"/>
        <v>2234</v>
      </c>
      <c r="J70" s="14">
        <f t="shared" si="61"/>
        <v>8463</v>
      </c>
      <c r="M70" s="54"/>
      <c r="N70" s="56"/>
      <c r="V70" s="74">
        <v>100</v>
      </c>
      <c r="W70" s="74" t="s">
        <v>76</v>
      </c>
      <c r="X70" s="13">
        <v>70.510000000000005</v>
      </c>
      <c r="Y70" s="13">
        <v>23.71</v>
      </c>
      <c r="Z70" s="13">
        <f t="shared" si="71"/>
        <v>94.22</v>
      </c>
      <c r="AB70" s="74">
        <v>100</v>
      </c>
      <c r="AC70" s="74" t="s">
        <v>76</v>
      </c>
      <c r="AD70" s="13">
        <v>90.83</v>
      </c>
      <c r="AE70" s="13">
        <v>30.54</v>
      </c>
      <c r="AF70" s="13">
        <f t="shared" si="72"/>
        <v>121.37</v>
      </c>
      <c r="AH70" s="89">
        <f t="shared" si="4"/>
        <v>-0.31421336562809643</v>
      </c>
      <c r="AI70" s="89">
        <f t="shared" si="20"/>
        <v>-0.26850032743942365</v>
      </c>
      <c r="AJ70" s="89">
        <f t="shared" si="21"/>
        <v>-0.30271071928812732</v>
      </c>
    </row>
    <row r="71" spans="1:36" x14ac:dyDescent="0.3">
      <c r="A71" s="17" t="s">
        <v>162</v>
      </c>
      <c r="B71" s="11" t="s">
        <v>163</v>
      </c>
      <c r="C71" s="12">
        <f t="shared" si="67"/>
        <v>479</v>
      </c>
      <c r="D71" s="41" t="str">
        <f t="shared" si="68"/>
        <v>m²</v>
      </c>
      <c r="E71" s="41">
        <v>32.799999999999997</v>
      </c>
      <c r="F71" s="41">
        <v>6.01</v>
      </c>
      <c r="G71" s="41">
        <f t="shared" si="16"/>
        <v>38.809999999999995</v>
      </c>
      <c r="H71" s="13">
        <f t="shared" si="69"/>
        <v>15711.199999999999</v>
      </c>
      <c r="I71" s="13">
        <f t="shared" si="70"/>
        <v>2878.79</v>
      </c>
      <c r="J71" s="14">
        <f t="shared" si="61"/>
        <v>18589.989999999998</v>
      </c>
      <c r="M71" s="54"/>
      <c r="N71" s="56"/>
      <c r="V71" s="74">
        <v>479</v>
      </c>
      <c r="W71" s="74" t="s">
        <v>60</v>
      </c>
      <c r="X71" s="13">
        <v>37.53</v>
      </c>
      <c r="Y71" s="13">
        <v>6.34</v>
      </c>
      <c r="Z71" s="13">
        <f t="shared" si="71"/>
        <v>43.870000000000005</v>
      </c>
      <c r="AB71" s="74">
        <v>479</v>
      </c>
      <c r="AC71" s="74" t="s">
        <v>60</v>
      </c>
      <c r="AD71" s="13">
        <v>48.35</v>
      </c>
      <c r="AE71" s="13">
        <v>8.17</v>
      </c>
      <c r="AF71" s="13">
        <f t="shared" si="72"/>
        <v>56.52</v>
      </c>
      <c r="AH71" s="89">
        <f t="shared" si="4"/>
        <v>-0.32161323681489151</v>
      </c>
      <c r="AI71" s="89">
        <f t="shared" si="20"/>
        <v>-0.26438188494492043</v>
      </c>
      <c r="AJ71" s="89">
        <f t="shared" si="21"/>
        <v>-0.31334041047416861</v>
      </c>
    </row>
    <row r="72" spans="1:36" x14ac:dyDescent="0.3">
      <c r="A72" s="17" t="s">
        <v>164</v>
      </c>
      <c r="B72" s="11" t="s">
        <v>165</v>
      </c>
      <c r="C72" s="12">
        <f t="shared" si="67"/>
        <v>120</v>
      </c>
      <c r="D72" s="41" t="str">
        <f t="shared" si="68"/>
        <v>m</v>
      </c>
      <c r="E72" s="41">
        <v>49.06</v>
      </c>
      <c r="F72" s="41">
        <v>9.5399999999999991</v>
      </c>
      <c r="G72" s="41">
        <f t="shared" si="16"/>
        <v>58.6</v>
      </c>
      <c r="H72" s="13">
        <f t="shared" si="69"/>
        <v>5887.2000000000007</v>
      </c>
      <c r="I72" s="13">
        <f t="shared" si="70"/>
        <v>1144.8</v>
      </c>
      <c r="J72" s="14">
        <f t="shared" si="61"/>
        <v>7032</v>
      </c>
      <c r="M72" s="54"/>
      <c r="N72" s="56"/>
      <c r="V72" s="74">
        <v>120</v>
      </c>
      <c r="W72" s="74" t="s">
        <v>76</v>
      </c>
      <c r="X72" s="13">
        <v>54.23</v>
      </c>
      <c r="Y72" s="13">
        <v>10.07</v>
      </c>
      <c r="Z72" s="13">
        <f t="shared" si="71"/>
        <v>64.3</v>
      </c>
      <c r="AB72" s="74">
        <v>120</v>
      </c>
      <c r="AC72" s="74" t="s">
        <v>76</v>
      </c>
      <c r="AD72" s="13">
        <v>69.86</v>
      </c>
      <c r="AE72" s="13">
        <v>12.97</v>
      </c>
      <c r="AF72" s="13">
        <f t="shared" si="72"/>
        <v>82.83</v>
      </c>
      <c r="AH72" s="89">
        <f t="shared" si="4"/>
        <v>-0.2977383338104781</v>
      </c>
      <c r="AI72" s="89">
        <f t="shared" si="20"/>
        <v>-0.26445643793369322</v>
      </c>
      <c r="AJ72" s="89">
        <f t="shared" si="21"/>
        <v>-0.29252686224797775</v>
      </c>
    </row>
    <row r="73" spans="1:36" x14ac:dyDescent="0.3">
      <c r="A73" s="17" t="s">
        <v>166</v>
      </c>
      <c r="B73" s="11" t="s">
        <v>167</v>
      </c>
      <c r="C73" s="12">
        <f t="shared" si="67"/>
        <v>324</v>
      </c>
      <c r="D73" s="41" t="str">
        <f t="shared" si="68"/>
        <v>m</v>
      </c>
      <c r="E73" s="41">
        <v>42.73</v>
      </c>
      <c r="F73" s="41">
        <v>6.41</v>
      </c>
      <c r="G73" s="41">
        <f t="shared" si="16"/>
        <v>49.14</v>
      </c>
      <c r="H73" s="13">
        <f t="shared" si="69"/>
        <v>13844.519999999999</v>
      </c>
      <c r="I73" s="13">
        <f t="shared" si="70"/>
        <v>2076.84</v>
      </c>
      <c r="J73" s="14">
        <f t="shared" si="61"/>
        <v>15921.36</v>
      </c>
      <c r="M73" s="54"/>
      <c r="N73" s="55"/>
      <c r="V73" s="74">
        <v>324</v>
      </c>
      <c r="W73" s="74" t="s">
        <v>76</v>
      </c>
      <c r="X73" s="13">
        <v>47.25</v>
      </c>
      <c r="Y73" s="13">
        <v>6.78</v>
      </c>
      <c r="Z73" s="13">
        <f t="shared" si="71"/>
        <v>54.03</v>
      </c>
      <c r="AB73" s="74">
        <v>324</v>
      </c>
      <c r="AC73" s="74" t="s">
        <v>76</v>
      </c>
      <c r="AD73" s="13">
        <v>60.87</v>
      </c>
      <c r="AE73" s="13">
        <v>8.73</v>
      </c>
      <c r="AF73" s="13">
        <f t="shared" si="72"/>
        <v>69.599999999999994</v>
      </c>
      <c r="AH73" s="89">
        <f t="shared" si="4"/>
        <v>-0.29801215705602102</v>
      </c>
      <c r="AI73" s="89">
        <f t="shared" si="20"/>
        <v>-0.26575028636884312</v>
      </c>
      <c r="AJ73" s="89">
        <f t="shared" si="21"/>
        <v>-0.2939655172413792</v>
      </c>
    </row>
    <row r="74" spans="1:36" x14ac:dyDescent="0.3">
      <c r="A74" s="17" t="s">
        <v>168</v>
      </c>
      <c r="B74" s="11" t="s">
        <v>169</v>
      </c>
      <c r="C74" s="12">
        <f t="shared" ref="C74:C76" si="73">V74</f>
        <v>1</v>
      </c>
      <c r="D74" s="41" t="str">
        <f t="shared" ref="D74:D76" si="74">W74</f>
        <v>m</v>
      </c>
      <c r="E74" s="41">
        <v>55.33</v>
      </c>
      <c r="F74" s="41">
        <v>9.08</v>
      </c>
      <c r="G74" s="41">
        <f t="shared" ref="G74:G76" si="75">F74+E74</f>
        <v>64.41</v>
      </c>
      <c r="H74" s="13">
        <f t="shared" ref="H74:H76" si="76">C74*E74</f>
        <v>55.33</v>
      </c>
      <c r="I74" s="13">
        <f t="shared" ref="I74:I76" si="77">C74*F74</f>
        <v>9.08</v>
      </c>
      <c r="J74" s="14">
        <f t="shared" ref="J74:J76" si="78">SUM(E74:F74)*C74</f>
        <v>64.41</v>
      </c>
      <c r="M74" s="54"/>
      <c r="N74" s="56"/>
      <c r="V74" s="74">
        <v>1</v>
      </c>
      <c r="W74" s="74" t="s">
        <v>76</v>
      </c>
      <c r="X74" s="13">
        <v>60.9</v>
      </c>
      <c r="Y74" s="13">
        <v>9.58</v>
      </c>
      <c r="Z74" s="13">
        <f t="shared" ref="Z74:Z76" si="79">SUM(X74:Y74)</f>
        <v>70.48</v>
      </c>
      <c r="AB74" s="74">
        <v>1</v>
      </c>
      <c r="AC74" s="74" t="s">
        <v>76</v>
      </c>
      <c r="AD74" s="13">
        <v>78.45</v>
      </c>
      <c r="AE74" s="13">
        <v>12.34</v>
      </c>
      <c r="AF74" s="13">
        <f t="shared" ref="AF74:AF76" si="80">SUM(AD74:AE74)</f>
        <v>90.79</v>
      </c>
      <c r="AH74" s="89">
        <f t="shared" si="4"/>
        <v>-0.29471000637348632</v>
      </c>
      <c r="AI74" s="89">
        <f t="shared" si="20"/>
        <v>-0.26418152350081037</v>
      </c>
      <c r="AJ74" s="89">
        <f t="shared" si="21"/>
        <v>-0.2905606344311048</v>
      </c>
    </row>
    <row r="75" spans="1:36" x14ac:dyDescent="0.3">
      <c r="A75" s="17" t="s">
        <v>170</v>
      </c>
      <c r="B75" s="11" t="s">
        <v>171</v>
      </c>
      <c r="C75" s="12">
        <f t="shared" si="73"/>
        <v>14</v>
      </c>
      <c r="D75" s="41" t="str">
        <f t="shared" si="74"/>
        <v>m²</v>
      </c>
      <c r="E75" s="41">
        <v>74.739999999999995</v>
      </c>
      <c r="F75" s="41">
        <v>23.64</v>
      </c>
      <c r="G75" s="41">
        <f t="shared" si="75"/>
        <v>98.38</v>
      </c>
      <c r="H75" s="13">
        <f t="shared" si="76"/>
        <v>1046.3599999999999</v>
      </c>
      <c r="I75" s="13">
        <f t="shared" si="77"/>
        <v>330.96000000000004</v>
      </c>
      <c r="J75" s="14">
        <f t="shared" si="78"/>
        <v>1377.32</v>
      </c>
      <c r="M75" s="54"/>
      <c r="N75" s="56"/>
      <c r="V75" s="74">
        <v>14</v>
      </c>
      <c r="W75" s="74" t="s">
        <v>60</v>
      </c>
      <c r="X75" s="13">
        <v>86.55</v>
      </c>
      <c r="Y75" s="13">
        <v>25.01</v>
      </c>
      <c r="Z75" s="13">
        <f t="shared" si="79"/>
        <v>111.56</v>
      </c>
      <c r="AB75" s="74">
        <v>14</v>
      </c>
      <c r="AC75" s="74" t="s">
        <v>60</v>
      </c>
      <c r="AD75" s="13">
        <v>111.49</v>
      </c>
      <c r="AE75" s="13">
        <v>32.22</v>
      </c>
      <c r="AF75" s="13">
        <f t="shared" si="80"/>
        <v>143.70999999999998</v>
      </c>
      <c r="AH75" s="89">
        <f t="shared" si="4"/>
        <v>-0.3296259754238049</v>
      </c>
      <c r="AI75" s="89">
        <f t="shared" si="20"/>
        <v>-0.26629422718808193</v>
      </c>
      <c r="AJ75" s="89">
        <f t="shared" si="21"/>
        <v>-0.31542690139865004</v>
      </c>
    </row>
    <row r="76" spans="1:36" x14ac:dyDescent="0.3">
      <c r="A76" s="17" t="s">
        <v>172</v>
      </c>
      <c r="B76" s="11" t="s">
        <v>173</v>
      </c>
      <c r="C76" s="12">
        <f t="shared" si="73"/>
        <v>1</v>
      </c>
      <c r="D76" s="41" t="str">
        <f t="shared" si="74"/>
        <v>m²</v>
      </c>
      <c r="E76" s="41">
        <v>72.33</v>
      </c>
      <c r="F76" s="41">
        <v>96.26</v>
      </c>
      <c r="G76" s="41">
        <f t="shared" si="75"/>
        <v>168.59</v>
      </c>
      <c r="H76" s="13">
        <f t="shared" si="76"/>
        <v>72.33</v>
      </c>
      <c r="I76" s="13">
        <f t="shared" si="77"/>
        <v>96.26</v>
      </c>
      <c r="J76" s="14">
        <f t="shared" si="78"/>
        <v>168.59</v>
      </c>
      <c r="M76" s="54"/>
      <c r="N76" s="56"/>
      <c r="V76" s="74">
        <v>1</v>
      </c>
      <c r="W76" s="74" t="s">
        <v>60</v>
      </c>
      <c r="X76" s="13">
        <v>90.83</v>
      </c>
      <c r="Y76" s="13">
        <v>101.36</v>
      </c>
      <c r="Z76" s="13">
        <f t="shared" si="79"/>
        <v>192.19</v>
      </c>
      <c r="AB76" s="74">
        <v>1</v>
      </c>
      <c r="AC76" s="74" t="s">
        <v>60</v>
      </c>
      <c r="AD76" s="13">
        <v>117.01</v>
      </c>
      <c r="AE76" s="13">
        <v>130.57</v>
      </c>
      <c r="AF76" s="13">
        <f t="shared" si="80"/>
        <v>247.57999999999998</v>
      </c>
      <c r="AH76" s="89">
        <f t="shared" si="4"/>
        <v>-0.38184770532433132</v>
      </c>
      <c r="AI76" s="89">
        <f t="shared" si="20"/>
        <v>-0.26277092747185415</v>
      </c>
      <c r="AJ76" s="89">
        <f t="shared" si="21"/>
        <v>-0.31904838839970917</v>
      </c>
    </row>
    <row r="77" spans="1:36" x14ac:dyDescent="0.3">
      <c r="A77" s="17" t="s">
        <v>174</v>
      </c>
      <c r="B77" s="11" t="s">
        <v>175</v>
      </c>
      <c r="C77" s="12">
        <f t="shared" si="67"/>
        <v>1</v>
      </c>
      <c r="D77" s="41" t="str">
        <f t="shared" si="68"/>
        <v>m²</v>
      </c>
      <c r="E77" s="41">
        <v>3.3</v>
      </c>
      <c r="F77" s="41">
        <v>6.01</v>
      </c>
      <c r="G77" s="41">
        <f t="shared" si="16"/>
        <v>9.3099999999999987</v>
      </c>
      <c r="H77" s="13">
        <f t="shared" si="69"/>
        <v>3.3</v>
      </c>
      <c r="I77" s="13">
        <f t="shared" si="70"/>
        <v>6.01</v>
      </c>
      <c r="J77" s="14">
        <f t="shared" si="61"/>
        <v>9.3099999999999987</v>
      </c>
      <c r="M77" s="54"/>
      <c r="N77" s="56"/>
      <c r="V77" s="74">
        <v>1</v>
      </c>
      <c r="W77" s="74" t="s">
        <v>60</v>
      </c>
      <c r="X77" s="13">
        <v>3.62</v>
      </c>
      <c r="Y77" s="13">
        <v>6.34</v>
      </c>
      <c r="Z77" s="13">
        <f t="shared" si="71"/>
        <v>9.9600000000000009</v>
      </c>
      <c r="AB77" s="74">
        <v>1</v>
      </c>
      <c r="AC77" s="74" t="s">
        <v>60</v>
      </c>
      <c r="AD77" s="13">
        <v>4.66</v>
      </c>
      <c r="AE77" s="13">
        <v>8.17</v>
      </c>
      <c r="AF77" s="13">
        <f t="shared" ref="AF77:AF79" si="81">SUM(AD77:AE77)</f>
        <v>12.83</v>
      </c>
      <c r="AH77" s="89">
        <f t="shared" ref="AH77:AH145" si="82">IF(E77=0,0,(E77/AD77)-1)</f>
        <v>-0.29184549356223177</v>
      </c>
      <c r="AI77" s="89">
        <f t="shared" si="20"/>
        <v>-0.26438188494492043</v>
      </c>
      <c r="AJ77" s="89">
        <f t="shared" si="21"/>
        <v>-0.2743569758378801</v>
      </c>
    </row>
    <row r="78" spans="1:36" x14ac:dyDescent="0.3">
      <c r="A78" s="17" t="s">
        <v>176</v>
      </c>
      <c r="B78" s="11" t="s">
        <v>177</v>
      </c>
      <c r="C78" s="12">
        <f t="shared" si="67"/>
        <v>1</v>
      </c>
      <c r="D78" s="41" t="str">
        <f t="shared" si="68"/>
        <v>m²</v>
      </c>
      <c r="E78" s="41">
        <v>147.18</v>
      </c>
      <c r="F78" s="41">
        <v>28.65</v>
      </c>
      <c r="G78" s="41">
        <f t="shared" si="16"/>
        <v>175.83</v>
      </c>
      <c r="H78" s="13">
        <f t="shared" si="69"/>
        <v>147.18</v>
      </c>
      <c r="I78" s="13">
        <f t="shared" si="70"/>
        <v>28.65</v>
      </c>
      <c r="J78" s="14">
        <f t="shared" si="61"/>
        <v>175.83</v>
      </c>
      <c r="M78" s="54"/>
      <c r="N78" s="56"/>
      <c r="V78" s="74">
        <v>1</v>
      </c>
      <c r="W78" s="74" t="s">
        <v>60</v>
      </c>
      <c r="X78" s="13">
        <v>162.69999999999999</v>
      </c>
      <c r="Y78" s="13">
        <v>30.22</v>
      </c>
      <c r="Z78" s="13">
        <f t="shared" si="71"/>
        <v>192.92</v>
      </c>
      <c r="AB78" s="74">
        <v>1</v>
      </c>
      <c r="AC78" s="74" t="s">
        <v>60</v>
      </c>
      <c r="AD78" s="13">
        <v>209.59</v>
      </c>
      <c r="AE78" s="13">
        <v>38.93</v>
      </c>
      <c r="AF78" s="13">
        <f t="shared" si="81"/>
        <v>248.52</v>
      </c>
      <c r="AH78" s="89">
        <f t="shared" si="82"/>
        <v>-0.29777184025955439</v>
      </c>
      <c r="AI78" s="89">
        <f t="shared" ref="AI78:AI146" si="83">IF(F78=0,0,(F78/AE78)-1)</f>
        <v>-0.26406370408425384</v>
      </c>
      <c r="AJ78" s="89">
        <f t="shared" ref="AJ78:AJ146" si="84">IF(G78=0,0,(G78/AF78)-1)</f>
        <v>-0.29249154997585702</v>
      </c>
    </row>
    <row r="79" spans="1:36" x14ac:dyDescent="0.3">
      <c r="A79" s="17" t="s">
        <v>178</v>
      </c>
      <c r="B79" s="11" t="s">
        <v>179</v>
      </c>
      <c r="C79" s="12">
        <f t="shared" si="67"/>
        <v>1</v>
      </c>
      <c r="D79" s="41" t="str">
        <f t="shared" si="68"/>
        <v xml:space="preserve">un </v>
      </c>
      <c r="E79" s="41">
        <v>10.77</v>
      </c>
      <c r="F79" s="41">
        <v>6.01</v>
      </c>
      <c r="G79" s="41">
        <f t="shared" si="16"/>
        <v>16.78</v>
      </c>
      <c r="H79" s="13">
        <f t="shared" si="69"/>
        <v>10.77</v>
      </c>
      <c r="I79" s="13">
        <f t="shared" si="70"/>
        <v>6.01</v>
      </c>
      <c r="J79" s="14">
        <f t="shared" si="61"/>
        <v>16.78</v>
      </c>
      <c r="M79" s="54"/>
      <c r="N79" s="56"/>
      <c r="V79" s="74">
        <v>1</v>
      </c>
      <c r="W79" s="74" t="s">
        <v>30</v>
      </c>
      <c r="X79" s="13">
        <v>11.39</v>
      </c>
      <c r="Y79" s="13">
        <v>6.34</v>
      </c>
      <c r="Z79" s="13">
        <f t="shared" si="71"/>
        <v>17.73</v>
      </c>
      <c r="AB79" s="74">
        <v>1</v>
      </c>
      <c r="AC79" s="74" t="s">
        <v>30</v>
      </c>
      <c r="AD79" s="13">
        <v>14.67</v>
      </c>
      <c r="AE79" s="13">
        <v>8.17</v>
      </c>
      <c r="AF79" s="13">
        <f t="shared" si="81"/>
        <v>22.84</v>
      </c>
      <c r="AH79" s="89">
        <f t="shared" si="82"/>
        <v>-0.2658486707566462</v>
      </c>
      <c r="AI79" s="89">
        <f t="shared" si="83"/>
        <v>-0.26438188494492043</v>
      </c>
      <c r="AJ79" s="89">
        <f t="shared" si="84"/>
        <v>-0.26532399299474596</v>
      </c>
    </row>
    <row r="80" spans="1:36" x14ac:dyDescent="0.3">
      <c r="A80" s="15">
        <v>8</v>
      </c>
      <c r="B80" s="16" t="s">
        <v>180</v>
      </c>
      <c r="C80" s="76"/>
      <c r="D80" s="58"/>
      <c r="E80" s="58">
        <v>0</v>
      </c>
      <c r="F80" s="58">
        <v>0</v>
      </c>
      <c r="G80" s="58"/>
      <c r="H80" s="24">
        <f t="shared" ref="H80:I80" si="85">SUM(H81:H87)</f>
        <v>37886.61</v>
      </c>
      <c r="I80" s="24">
        <f t="shared" si="85"/>
        <v>21125.780000000002</v>
      </c>
      <c r="J80" s="24">
        <f>SUM(J81:J87)</f>
        <v>59012.39</v>
      </c>
      <c r="M80" s="54"/>
      <c r="N80" s="56"/>
      <c r="V80" s="75"/>
      <c r="W80" s="75"/>
      <c r="X80" s="23"/>
      <c r="Y80" s="23"/>
      <c r="Z80" s="23"/>
      <c r="AB80" s="75"/>
      <c r="AC80" s="75"/>
      <c r="AD80" s="23"/>
      <c r="AE80" s="23"/>
      <c r="AF80" s="23"/>
      <c r="AH80" s="89">
        <f t="shared" si="82"/>
        <v>0</v>
      </c>
      <c r="AI80" s="89">
        <f t="shared" si="83"/>
        <v>0</v>
      </c>
      <c r="AJ80" s="89">
        <f t="shared" si="84"/>
        <v>0</v>
      </c>
    </row>
    <row r="81" spans="1:36" x14ac:dyDescent="0.3">
      <c r="A81" s="17" t="s">
        <v>181</v>
      </c>
      <c r="B81" s="11" t="s">
        <v>182</v>
      </c>
      <c r="C81" s="12">
        <f t="shared" ref="C81:D87" si="86">V81</f>
        <v>94</v>
      </c>
      <c r="D81" s="41" t="str">
        <f t="shared" si="86"/>
        <v>m²</v>
      </c>
      <c r="E81" s="41">
        <v>23.15</v>
      </c>
      <c r="F81" s="41">
        <v>17.649999999999999</v>
      </c>
      <c r="G81" s="41">
        <f t="shared" si="16"/>
        <v>40.799999999999997</v>
      </c>
      <c r="H81" s="13">
        <f t="shared" ref="H81:H87" si="87">C81*E81</f>
        <v>2176.1</v>
      </c>
      <c r="I81" s="13">
        <f t="shared" ref="I81:I87" si="88">C81*F81</f>
        <v>1659.1</v>
      </c>
      <c r="J81" s="14">
        <f t="shared" si="61"/>
        <v>3835.2</v>
      </c>
      <c r="M81" s="54"/>
      <c r="N81" s="56"/>
      <c r="V81" s="74">
        <v>94</v>
      </c>
      <c r="W81" s="74" t="s">
        <v>60</v>
      </c>
      <c r="X81" s="13">
        <v>25.13</v>
      </c>
      <c r="Y81" s="13">
        <v>18.46</v>
      </c>
      <c r="Z81" s="13">
        <f t="shared" ref="Z81:Z87" si="89">SUM(X81:Y81)</f>
        <v>43.59</v>
      </c>
      <c r="AB81" s="74">
        <v>94</v>
      </c>
      <c r="AC81" s="74" t="s">
        <v>60</v>
      </c>
      <c r="AD81" s="13">
        <v>32.369999999999997</v>
      </c>
      <c r="AE81" s="13">
        <v>23.78</v>
      </c>
      <c r="AF81" s="13">
        <f t="shared" ref="AF81:AF84" si="90">SUM(AD81:AE81)</f>
        <v>56.15</v>
      </c>
      <c r="AH81" s="89">
        <f t="shared" si="82"/>
        <v>-0.28483163422922453</v>
      </c>
      <c r="AI81" s="89">
        <f t="shared" si="83"/>
        <v>-0.25777964676198495</v>
      </c>
      <c r="AJ81" s="89">
        <f t="shared" si="84"/>
        <v>-0.27337488869100623</v>
      </c>
    </row>
    <row r="82" spans="1:36" x14ac:dyDescent="0.3">
      <c r="A82" s="17" t="s">
        <v>183</v>
      </c>
      <c r="B82" s="11" t="s">
        <v>184</v>
      </c>
      <c r="C82" s="12">
        <f t="shared" si="86"/>
        <v>13</v>
      </c>
      <c r="D82" s="41" t="str">
        <f t="shared" si="86"/>
        <v>m²</v>
      </c>
      <c r="E82" s="41">
        <v>55.64</v>
      </c>
      <c r="F82" s="41">
        <v>16.93</v>
      </c>
      <c r="G82" s="41">
        <f t="shared" si="16"/>
        <v>72.569999999999993</v>
      </c>
      <c r="H82" s="13">
        <f t="shared" si="87"/>
        <v>723.32</v>
      </c>
      <c r="I82" s="13">
        <f t="shared" si="88"/>
        <v>220.09</v>
      </c>
      <c r="J82" s="14">
        <f t="shared" si="61"/>
        <v>943.40999999999985</v>
      </c>
      <c r="M82" s="54"/>
      <c r="N82" s="56"/>
      <c r="V82" s="74">
        <v>13</v>
      </c>
      <c r="W82" s="74" t="s">
        <v>60</v>
      </c>
      <c r="X82" s="13">
        <v>66.069999999999993</v>
      </c>
      <c r="Y82" s="13">
        <v>17.8</v>
      </c>
      <c r="Z82" s="13">
        <f t="shared" si="89"/>
        <v>83.86999999999999</v>
      </c>
      <c r="AB82" s="74">
        <v>13</v>
      </c>
      <c r="AC82" s="74" t="s">
        <v>60</v>
      </c>
      <c r="AD82" s="13">
        <v>85.11</v>
      </c>
      <c r="AE82" s="13">
        <v>22.93</v>
      </c>
      <c r="AF82" s="13">
        <f t="shared" si="90"/>
        <v>108.03999999999999</v>
      </c>
      <c r="AH82" s="89">
        <f t="shared" si="82"/>
        <v>-0.34625778404417806</v>
      </c>
      <c r="AI82" s="89">
        <f t="shared" si="83"/>
        <v>-0.26166593981683384</v>
      </c>
      <c r="AJ82" s="89">
        <f t="shared" si="84"/>
        <v>-0.32830433172898932</v>
      </c>
    </row>
    <row r="83" spans="1:36" ht="28.8" x14ac:dyDescent="0.3">
      <c r="A83" s="17" t="s">
        <v>185</v>
      </c>
      <c r="B83" s="11" t="s">
        <v>186</v>
      </c>
      <c r="C83" s="12">
        <f t="shared" si="86"/>
        <v>459</v>
      </c>
      <c r="D83" s="41" t="str">
        <f t="shared" si="86"/>
        <v>m²</v>
      </c>
      <c r="E83" s="41">
        <v>63.16</v>
      </c>
      <c r="F83" s="41">
        <v>25.93</v>
      </c>
      <c r="G83" s="41">
        <f t="shared" si="16"/>
        <v>89.09</v>
      </c>
      <c r="H83" s="13">
        <f t="shared" si="87"/>
        <v>28990.44</v>
      </c>
      <c r="I83" s="13">
        <f t="shared" si="88"/>
        <v>11901.869999999999</v>
      </c>
      <c r="J83" s="14">
        <f t="shared" si="61"/>
        <v>40892.310000000005</v>
      </c>
      <c r="M83" s="54"/>
      <c r="N83" s="56"/>
      <c r="V83" s="74">
        <v>459</v>
      </c>
      <c r="W83" s="74" t="s">
        <v>60</v>
      </c>
      <c r="X83" s="13">
        <v>75.11</v>
      </c>
      <c r="Y83" s="13">
        <v>27.12</v>
      </c>
      <c r="Z83" s="13">
        <f t="shared" si="89"/>
        <v>102.23</v>
      </c>
      <c r="AB83" s="74">
        <v>459</v>
      </c>
      <c r="AC83" s="74" t="s">
        <v>60</v>
      </c>
      <c r="AD83" s="13">
        <v>96.76</v>
      </c>
      <c r="AE83" s="13">
        <v>34.94</v>
      </c>
      <c r="AF83" s="13">
        <f t="shared" si="90"/>
        <v>131.69999999999999</v>
      </c>
      <c r="AH83" s="89">
        <f t="shared" si="82"/>
        <v>-0.34725093013642006</v>
      </c>
      <c r="AI83" s="89">
        <f t="shared" si="83"/>
        <v>-0.25787063537492838</v>
      </c>
      <c r="AJ83" s="89">
        <f t="shared" si="84"/>
        <v>-0.32353834472285492</v>
      </c>
    </row>
    <row r="84" spans="1:36" ht="28.8" x14ac:dyDescent="0.3">
      <c r="A84" s="17" t="s">
        <v>187</v>
      </c>
      <c r="B84" s="11" t="s">
        <v>188</v>
      </c>
      <c r="C84" s="12">
        <f t="shared" si="86"/>
        <v>36</v>
      </c>
      <c r="D84" s="41" t="str">
        <f t="shared" si="86"/>
        <v>m²</v>
      </c>
      <c r="E84" s="41">
        <v>39.130000000000003</v>
      </c>
      <c r="F84" s="41">
        <v>16.940000000000001</v>
      </c>
      <c r="G84" s="41">
        <f t="shared" si="16"/>
        <v>56.070000000000007</v>
      </c>
      <c r="H84" s="13">
        <f t="shared" si="87"/>
        <v>1408.68</v>
      </c>
      <c r="I84" s="13">
        <f t="shared" si="88"/>
        <v>609.84</v>
      </c>
      <c r="J84" s="14">
        <f t="shared" si="61"/>
        <v>2018.5200000000002</v>
      </c>
      <c r="M84" s="54"/>
      <c r="N84" s="56"/>
      <c r="V84" s="74">
        <v>36</v>
      </c>
      <c r="W84" s="74" t="s">
        <v>60</v>
      </c>
      <c r="X84" s="13">
        <v>46.34</v>
      </c>
      <c r="Y84" s="13">
        <v>17.73</v>
      </c>
      <c r="Z84" s="13">
        <f t="shared" si="89"/>
        <v>64.070000000000007</v>
      </c>
      <c r="AB84" s="74">
        <v>36</v>
      </c>
      <c r="AC84" s="74" t="s">
        <v>60</v>
      </c>
      <c r="AD84" s="13">
        <v>59.7</v>
      </c>
      <c r="AE84" s="13">
        <v>22.84</v>
      </c>
      <c r="AF84" s="13">
        <f t="shared" si="90"/>
        <v>82.54</v>
      </c>
      <c r="AH84" s="89">
        <f t="shared" si="82"/>
        <v>-0.34455611390284757</v>
      </c>
      <c r="AI84" s="89">
        <f t="shared" si="83"/>
        <v>-0.2583187390542907</v>
      </c>
      <c r="AJ84" s="89">
        <f t="shared" si="84"/>
        <v>-0.32069299733462564</v>
      </c>
    </row>
    <row r="85" spans="1:36" x14ac:dyDescent="0.3">
      <c r="A85" s="17" t="s">
        <v>189</v>
      </c>
      <c r="B85" s="11" t="s">
        <v>190</v>
      </c>
      <c r="C85" s="12">
        <f t="shared" si="86"/>
        <v>58</v>
      </c>
      <c r="D85" s="41" t="str">
        <f t="shared" si="86"/>
        <v>m²</v>
      </c>
      <c r="E85" s="41">
        <v>38.92</v>
      </c>
      <c r="F85" s="41">
        <v>44.62</v>
      </c>
      <c r="G85" s="41">
        <f t="shared" ref="G85" si="91">F85+E85</f>
        <v>83.539999999999992</v>
      </c>
      <c r="H85" s="13">
        <f t="shared" ref="H85" si="92">C85*E85</f>
        <v>2257.36</v>
      </c>
      <c r="I85" s="13">
        <f t="shared" ref="I85" si="93">C85*F85</f>
        <v>2587.96</v>
      </c>
      <c r="J85" s="14">
        <f t="shared" ref="J85" si="94">SUM(E85:F85)*C85</f>
        <v>4845.32</v>
      </c>
      <c r="M85" s="54"/>
      <c r="N85" s="56"/>
      <c r="V85" s="74">
        <v>58</v>
      </c>
      <c r="W85" s="74" t="s">
        <v>60</v>
      </c>
      <c r="X85" s="13">
        <v>52.1</v>
      </c>
      <c r="Y85" s="13">
        <v>46.79</v>
      </c>
      <c r="Z85" s="13">
        <f t="shared" ref="Z85" si="95">SUM(X85:Y85)</f>
        <v>98.89</v>
      </c>
      <c r="AB85" s="74">
        <v>58</v>
      </c>
      <c r="AC85" s="74" t="s">
        <v>60</v>
      </c>
      <c r="AD85" s="13">
        <v>67.12</v>
      </c>
      <c r="AE85" s="13">
        <v>60.27</v>
      </c>
      <c r="AF85" s="13">
        <f t="shared" ref="AF85" si="96">SUM(AD85:AE85)</f>
        <v>127.39000000000001</v>
      </c>
      <c r="AH85" s="89">
        <f t="shared" si="82"/>
        <v>-0.42014302741358767</v>
      </c>
      <c r="AI85" s="89">
        <f t="shared" si="83"/>
        <v>-0.2596648415463747</v>
      </c>
      <c r="AJ85" s="89">
        <f t="shared" si="84"/>
        <v>-0.344218541486773</v>
      </c>
    </row>
    <row r="86" spans="1:36" x14ac:dyDescent="0.3">
      <c r="A86" s="17" t="s">
        <v>191</v>
      </c>
      <c r="B86" s="11" t="s">
        <v>192</v>
      </c>
      <c r="C86" s="12">
        <f t="shared" si="86"/>
        <v>324</v>
      </c>
      <c r="D86" s="41" t="str">
        <f t="shared" si="86"/>
        <v>m²</v>
      </c>
      <c r="E86" s="41">
        <v>6.88</v>
      </c>
      <c r="F86" s="41">
        <v>12.74</v>
      </c>
      <c r="G86" s="41">
        <f t="shared" si="16"/>
        <v>19.62</v>
      </c>
      <c r="H86" s="13">
        <f t="shared" si="87"/>
        <v>2229.12</v>
      </c>
      <c r="I86" s="13">
        <f t="shared" si="88"/>
        <v>4127.76</v>
      </c>
      <c r="J86" s="14">
        <f t="shared" si="61"/>
        <v>6356.88</v>
      </c>
      <c r="M86" s="54"/>
      <c r="N86" s="56"/>
      <c r="V86" s="74">
        <v>324</v>
      </c>
      <c r="W86" s="74" t="s">
        <v>60</v>
      </c>
      <c r="X86" s="13">
        <v>9.42</v>
      </c>
      <c r="Y86" s="13">
        <v>13.37</v>
      </c>
      <c r="Z86" s="13">
        <f t="shared" si="89"/>
        <v>22.79</v>
      </c>
      <c r="AB86" s="74">
        <v>324</v>
      </c>
      <c r="AC86" s="74" t="s">
        <v>60</v>
      </c>
      <c r="AD86" s="13">
        <v>12.13</v>
      </c>
      <c r="AE86" s="13">
        <v>17.22</v>
      </c>
      <c r="AF86" s="13">
        <f t="shared" ref="AF86:AF87" si="97">SUM(AD86:AE86)</f>
        <v>29.35</v>
      </c>
      <c r="AH86" s="89">
        <f t="shared" si="82"/>
        <v>-0.43281121187139326</v>
      </c>
      <c r="AI86" s="89">
        <f t="shared" si="83"/>
        <v>-0.26016260162601623</v>
      </c>
      <c r="AJ86" s="89">
        <f t="shared" si="84"/>
        <v>-0.33151618398637139</v>
      </c>
    </row>
    <row r="87" spans="1:36" x14ac:dyDescent="0.3">
      <c r="A87" s="17" t="s">
        <v>193</v>
      </c>
      <c r="B87" s="11" t="s">
        <v>194</v>
      </c>
      <c r="C87" s="12">
        <f t="shared" si="86"/>
        <v>1</v>
      </c>
      <c r="D87" s="41" t="str">
        <f t="shared" si="86"/>
        <v>m²</v>
      </c>
      <c r="E87" s="41">
        <v>101.59</v>
      </c>
      <c r="F87" s="41">
        <v>19.16</v>
      </c>
      <c r="G87" s="41">
        <f t="shared" si="16"/>
        <v>120.75</v>
      </c>
      <c r="H87" s="13">
        <f t="shared" si="87"/>
        <v>101.59</v>
      </c>
      <c r="I87" s="13">
        <f t="shared" si="88"/>
        <v>19.16</v>
      </c>
      <c r="J87" s="14">
        <f t="shared" si="61"/>
        <v>120.75</v>
      </c>
      <c r="M87" s="54"/>
      <c r="N87" s="56"/>
      <c r="V87" s="74">
        <v>1</v>
      </c>
      <c r="W87" s="74" t="s">
        <v>60</v>
      </c>
      <c r="X87" s="13">
        <v>139.1</v>
      </c>
      <c r="Y87" s="13">
        <v>20.059999999999999</v>
      </c>
      <c r="Z87" s="13">
        <f t="shared" si="89"/>
        <v>159.16</v>
      </c>
      <c r="AB87" s="74">
        <v>1</v>
      </c>
      <c r="AC87" s="74" t="s">
        <v>60</v>
      </c>
      <c r="AD87" s="13">
        <v>179.19</v>
      </c>
      <c r="AE87" s="13">
        <v>25.84</v>
      </c>
      <c r="AF87" s="13">
        <f t="shared" si="97"/>
        <v>205.03</v>
      </c>
      <c r="AH87" s="89">
        <f t="shared" si="82"/>
        <v>-0.43305988057369271</v>
      </c>
      <c r="AI87" s="89">
        <f t="shared" si="83"/>
        <v>-0.25851393188854488</v>
      </c>
      <c r="AJ87" s="89">
        <f t="shared" si="84"/>
        <v>-0.41106179583475588</v>
      </c>
    </row>
    <row r="88" spans="1:36" x14ac:dyDescent="0.3">
      <c r="A88" s="15">
        <v>9</v>
      </c>
      <c r="B88" s="16" t="s">
        <v>195</v>
      </c>
      <c r="C88" s="76"/>
      <c r="D88" s="58"/>
      <c r="E88" s="58">
        <v>0</v>
      </c>
      <c r="F88" s="58">
        <v>0</v>
      </c>
      <c r="G88" s="58"/>
      <c r="H88" s="23">
        <v>0</v>
      </c>
      <c r="I88" s="23">
        <v>0</v>
      </c>
      <c r="J88" s="24">
        <v>0</v>
      </c>
      <c r="M88" s="54"/>
      <c r="N88" s="56"/>
      <c r="V88" s="75"/>
      <c r="W88" s="75"/>
      <c r="X88" s="23"/>
      <c r="Y88" s="23"/>
      <c r="Z88" s="23"/>
      <c r="AB88" s="75"/>
      <c r="AC88" s="75"/>
      <c r="AD88" s="23"/>
      <c r="AE88" s="23"/>
      <c r="AF88" s="23"/>
      <c r="AH88" s="89">
        <f t="shared" si="82"/>
        <v>0</v>
      </c>
      <c r="AI88" s="89">
        <f t="shared" si="83"/>
        <v>0</v>
      </c>
      <c r="AJ88" s="89">
        <f t="shared" si="84"/>
        <v>0</v>
      </c>
    </row>
    <row r="89" spans="1:36" x14ac:dyDescent="0.3">
      <c r="A89" s="15">
        <v>10</v>
      </c>
      <c r="B89" s="16" t="s">
        <v>196</v>
      </c>
      <c r="C89" s="76"/>
      <c r="D89" s="58"/>
      <c r="E89" s="58">
        <v>0</v>
      </c>
      <c r="F89" s="58">
        <v>0</v>
      </c>
      <c r="G89" s="58"/>
      <c r="H89" s="24">
        <f t="shared" ref="H89:I89" si="98">SUM(H90:H112)</f>
        <v>822445.86</v>
      </c>
      <c r="I89" s="24">
        <f t="shared" si="98"/>
        <v>25436.229999999996</v>
      </c>
      <c r="J89" s="24">
        <f>SUM(J90:J112)</f>
        <v>847882.08999999985</v>
      </c>
      <c r="M89" s="54"/>
      <c r="N89" s="55"/>
      <c r="V89" s="75"/>
      <c r="W89" s="75"/>
      <c r="X89" s="23"/>
      <c r="Y89" s="23"/>
      <c r="Z89" s="23"/>
      <c r="AB89" s="75"/>
      <c r="AC89" s="75"/>
      <c r="AD89" s="23"/>
      <c r="AE89" s="23"/>
      <c r="AF89" s="23"/>
      <c r="AH89" s="89">
        <f t="shared" si="82"/>
        <v>0</v>
      </c>
      <c r="AI89" s="89">
        <f t="shared" si="83"/>
        <v>0</v>
      </c>
      <c r="AJ89" s="89">
        <f t="shared" si="84"/>
        <v>0</v>
      </c>
    </row>
    <row r="90" spans="1:36" x14ac:dyDescent="0.3">
      <c r="A90" s="17" t="s">
        <v>197</v>
      </c>
      <c r="B90" s="11" t="s">
        <v>198</v>
      </c>
      <c r="C90" s="12">
        <f t="shared" ref="C90:C112" si="99">V90</f>
        <v>244</v>
      </c>
      <c r="D90" s="41" t="str">
        <f t="shared" ref="D90:D112" si="100">W90</f>
        <v>m²</v>
      </c>
      <c r="E90" s="41">
        <v>14.41</v>
      </c>
      <c r="F90" s="41">
        <v>10.09</v>
      </c>
      <c r="G90" s="41">
        <f t="shared" ref="G90:G164" si="101">F90+E90</f>
        <v>24.5</v>
      </c>
      <c r="H90" s="13">
        <f t="shared" ref="H90:H112" si="102">C90*E90</f>
        <v>3516.04</v>
      </c>
      <c r="I90" s="13">
        <f t="shared" ref="I90:I112" si="103">C90*F90</f>
        <v>2461.96</v>
      </c>
      <c r="J90" s="14">
        <f t="shared" ref="J90:J164" si="104">SUM(E90:F90)*C90</f>
        <v>5978</v>
      </c>
      <c r="M90" s="54"/>
      <c r="N90" s="55"/>
      <c r="V90" s="74">
        <v>244</v>
      </c>
      <c r="W90" s="74" t="s">
        <v>60</v>
      </c>
      <c r="X90" s="13">
        <v>15.53</v>
      </c>
      <c r="Y90" s="13">
        <v>10.62</v>
      </c>
      <c r="Z90" s="13">
        <f t="shared" ref="Z90:Z112" si="105">SUM(X90:Y90)</f>
        <v>26.15</v>
      </c>
      <c r="AB90" s="74">
        <v>244</v>
      </c>
      <c r="AC90" s="74" t="s">
        <v>60</v>
      </c>
      <c r="AD90" s="13">
        <v>20.010000000000002</v>
      </c>
      <c r="AE90" s="13">
        <v>13.68</v>
      </c>
      <c r="AF90" s="13">
        <f t="shared" ref="AF90:AF112" si="106">SUM(AD90:AE90)</f>
        <v>33.69</v>
      </c>
      <c r="AH90" s="89">
        <f t="shared" si="82"/>
        <v>-0.27986006996501755</v>
      </c>
      <c r="AI90" s="89">
        <f t="shared" si="83"/>
        <v>-0.26242690058479534</v>
      </c>
      <c r="AJ90" s="89">
        <f t="shared" si="84"/>
        <v>-0.27278124072425047</v>
      </c>
    </row>
    <row r="91" spans="1:36" x14ac:dyDescent="0.3">
      <c r="A91" s="17" t="s">
        <v>199</v>
      </c>
      <c r="B91" s="11" t="s">
        <v>200</v>
      </c>
      <c r="C91" s="12">
        <f t="shared" si="99"/>
        <v>9</v>
      </c>
      <c r="D91" s="41" t="str">
        <f t="shared" si="100"/>
        <v>m²</v>
      </c>
      <c r="E91" s="41">
        <v>17.53</v>
      </c>
      <c r="F91" s="41">
        <v>16.16</v>
      </c>
      <c r="G91" s="41">
        <f t="shared" si="101"/>
        <v>33.69</v>
      </c>
      <c r="H91" s="13">
        <f t="shared" si="102"/>
        <v>157.77000000000001</v>
      </c>
      <c r="I91" s="13">
        <f t="shared" si="103"/>
        <v>145.44</v>
      </c>
      <c r="J91" s="14">
        <f t="shared" si="104"/>
        <v>303.20999999999998</v>
      </c>
      <c r="M91" s="54"/>
      <c r="N91" s="56"/>
      <c r="V91" s="74">
        <v>9</v>
      </c>
      <c r="W91" s="74" t="s">
        <v>60</v>
      </c>
      <c r="X91" s="13">
        <v>18.8</v>
      </c>
      <c r="Y91" s="13">
        <v>16.989999999999998</v>
      </c>
      <c r="Z91" s="13">
        <f t="shared" si="105"/>
        <v>35.79</v>
      </c>
      <c r="AB91" s="74">
        <v>9</v>
      </c>
      <c r="AC91" s="74" t="s">
        <v>60</v>
      </c>
      <c r="AD91" s="13">
        <v>24.22</v>
      </c>
      <c r="AE91" s="13">
        <v>21.89</v>
      </c>
      <c r="AF91" s="13">
        <f t="shared" si="106"/>
        <v>46.11</v>
      </c>
      <c r="AH91" s="89">
        <f t="shared" si="82"/>
        <v>-0.27621800165152754</v>
      </c>
      <c r="AI91" s="89">
        <f t="shared" si="83"/>
        <v>-0.26176336226587482</v>
      </c>
      <c r="AJ91" s="89">
        <f t="shared" si="84"/>
        <v>-0.26935588809368904</v>
      </c>
    </row>
    <row r="92" spans="1:36" x14ac:dyDescent="0.3">
      <c r="A92" s="17" t="s">
        <v>201</v>
      </c>
      <c r="B92" s="11" t="s">
        <v>202</v>
      </c>
      <c r="C92" s="12">
        <f t="shared" si="99"/>
        <v>14</v>
      </c>
      <c r="D92" s="41" t="str">
        <f t="shared" si="100"/>
        <v>m²</v>
      </c>
      <c r="E92" s="41">
        <v>243.31</v>
      </c>
      <c r="F92" s="41">
        <v>38.979999999999997</v>
      </c>
      <c r="G92" s="41">
        <f t="shared" si="101"/>
        <v>282.29000000000002</v>
      </c>
      <c r="H92" s="13">
        <f t="shared" si="102"/>
        <v>3406.34</v>
      </c>
      <c r="I92" s="13">
        <f t="shared" si="103"/>
        <v>545.71999999999991</v>
      </c>
      <c r="J92" s="14">
        <f t="shared" si="104"/>
        <v>3952.0600000000004</v>
      </c>
      <c r="M92" s="54"/>
      <c r="N92" s="56"/>
      <c r="V92" s="74">
        <v>14</v>
      </c>
      <c r="W92" s="74" t="s">
        <v>60</v>
      </c>
      <c r="X92" s="13">
        <v>297.07</v>
      </c>
      <c r="Y92" s="13">
        <v>40.82</v>
      </c>
      <c r="Z92" s="13">
        <f t="shared" si="105"/>
        <v>337.89</v>
      </c>
      <c r="AB92" s="74">
        <v>14</v>
      </c>
      <c r="AC92" s="74" t="s">
        <v>60</v>
      </c>
      <c r="AD92" s="13">
        <v>382.69</v>
      </c>
      <c r="AE92" s="13">
        <v>52.58</v>
      </c>
      <c r="AF92" s="13">
        <f t="shared" si="106"/>
        <v>435.27</v>
      </c>
      <c r="AH92" s="89">
        <f t="shared" si="82"/>
        <v>-0.36421124147482298</v>
      </c>
      <c r="AI92" s="89">
        <f t="shared" si="83"/>
        <v>-0.25865348041080261</v>
      </c>
      <c r="AJ92" s="89">
        <f t="shared" si="84"/>
        <v>-0.35146001332506249</v>
      </c>
    </row>
    <row r="93" spans="1:36" x14ac:dyDescent="0.3">
      <c r="A93" s="17" t="s">
        <v>203</v>
      </c>
      <c r="B93" s="11" t="s">
        <v>204</v>
      </c>
      <c r="C93" s="12">
        <f t="shared" si="99"/>
        <v>72</v>
      </c>
      <c r="D93" s="41" t="str">
        <f t="shared" si="100"/>
        <v>m</v>
      </c>
      <c r="E93" s="41">
        <v>40.049999999999997</v>
      </c>
      <c r="F93" s="41">
        <v>9.82</v>
      </c>
      <c r="G93" s="41">
        <f t="shared" si="101"/>
        <v>49.87</v>
      </c>
      <c r="H93" s="13">
        <f t="shared" si="102"/>
        <v>2883.6</v>
      </c>
      <c r="I93" s="13">
        <f t="shared" si="103"/>
        <v>707.04</v>
      </c>
      <c r="J93" s="14">
        <f t="shared" si="104"/>
        <v>3590.64</v>
      </c>
      <c r="M93" s="54"/>
      <c r="N93" s="56"/>
      <c r="V93" s="74">
        <v>72</v>
      </c>
      <c r="W93" s="74" t="s">
        <v>76</v>
      </c>
      <c r="X93" s="13">
        <v>48.95</v>
      </c>
      <c r="Y93" s="13">
        <v>10.28</v>
      </c>
      <c r="Z93" s="13">
        <f t="shared" si="105"/>
        <v>59.230000000000004</v>
      </c>
      <c r="AB93" s="74">
        <v>72</v>
      </c>
      <c r="AC93" s="74" t="s">
        <v>76</v>
      </c>
      <c r="AD93" s="13">
        <v>63.06</v>
      </c>
      <c r="AE93" s="13">
        <v>13.24</v>
      </c>
      <c r="AF93" s="13">
        <f t="shared" si="106"/>
        <v>76.3</v>
      </c>
      <c r="AH93" s="89">
        <f t="shared" si="82"/>
        <v>-0.36489058039961952</v>
      </c>
      <c r="AI93" s="89">
        <f t="shared" si="83"/>
        <v>-0.2583081570996979</v>
      </c>
      <c r="AJ93" s="89">
        <f t="shared" si="84"/>
        <v>-0.34639580602883357</v>
      </c>
    </row>
    <row r="94" spans="1:36" x14ac:dyDescent="0.3">
      <c r="A94" s="17" t="s">
        <v>205</v>
      </c>
      <c r="B94" s="11" t="s">
        <v>206</v>
      </c>
      <c r="C94" s="12">
        <f t="shared" si="99"/>
        <v>17</v>
      </c>
      <c r="D94" s="41" t="str">
        <f t="shared" si="100"/>
        <v>m</v>
      </c>
      <c r="E94" s="41">
        <v>54.5</v>
      </c>
      <c r="F94" s="41">
        <v>17.940000000000001</v>
      </c>
      <c r="G94" s="41">
        <f t="shared" si="101"/>
        <v>72.44</v>
      </c>
      <c r="H94" s="13">
        <f t="shared" si="102"/>
        <v>926.5</v>
      </c>
      <c r="I94" s="13">
        <f t="shared" si="103"/>
        <v>304.98</v>
      </c>
      <c r="J94" s="14">
        <f t="shared" si="104"/>
        <v>1231.48</v>
      </c>
      <c r="M94" s="54"/>
      <c r="N94" s="56"/>
      <c r="V94" s="74">
        <v>17</v>
      </c>
      <c r="W94" s="74" t="s">
        <v>76</v>
      </c>
      <c r="X94" s="13">
        <v>66.62</v>
      </c>
      <c r="Y94" s="13">
        <v>18.79</v>
      </c>
      <c r="Z94" s="13">
        <f t="shared" si="105"/>
        <v>85.41</v>
      </c>
      <c r="AB94" s="74">
        <v>17</v>
      </c>
      <c r="AC94" s="74" t="s">
        <v>76</v>
      </c>
      <c r="AD94" s="13">
        <v>85.82</v>
      </c>
      <c r="AE94" s="13">
        <v>24.21</v>
      </c>
      <c r="AF94" s="13">
        <f t="shared" si="106"/>
        <v>110.03</v>
      </c>
      <c r="AH94" s="89">
        <f t="shared" si="82"/>
        <v>-0.3649498951293404</v>
      </c>
      <c r="AI94" s="89">
        <f t="shared" si="83"/>
        <v>-0.2589838909541512</v>
      </c>
      <c r="AJ94" s="89">
        <f t="shared" si="84"/>
        <v>-0.34163409979096615</v>
      </c>
    </row>
    <row r="95" spans="1:36" x14ac:dyDescent="0.3">
      <c r="A95" s="17" t="s">
        <v>207</v>
      </c>
      <c r="B95" s="11" t="s">
        <v>208</v>
      </c>
      <c r="C95" s="12">
        <f t="shared" si="99"/>
        <v>1</v>
      </c>
      <c r="D95" s="41" t="str">
        <f t="shared" si="100"/>
        <v>m²</v>
      </c>
      <c r="E95" s="41">
        <v>447.07</v>
      </c>
      <c r="F95" s="41">
        <v>38.979999999999997</v>
      </c>
      <c r="G95" s="41">
        <f t="shared" si="101"/>
        <v>486.05</v>
      </c>
      <c r="H95" s="13">
        <f t="shared" si="102"/>
        <v>447.07</v>
      </c>
      <c r="I95" s="13">
        <f t="shared" si="103"/>
        <v>38.979999999999997</v>
      </c>
      <c r="J95" s="14">
        <f t="shared" si="104"/>
        <v>486.05</v>
      </c>
      <c r="M95" s="54"/>
      <c r="N95" s="56"/>
      <c r="V95" s="74">
        <v>1</v>
      </c>
      <c r="W95" s="74" t="s">
        <v>60</v>
      </c>
      <c r="X95" s="13">
        <v>546.73</v>
      </c>
      <c r="Y95" s="13">
        <v>40.82</v>
      </c>
      <c r="Z95" s="13">
        <f t="shared" si="105"/>
        <v>587.55000000000007</v>
      </c>
      <c r="AB95" s="74">
        <v>1</v>
      </c>
      <c r="AC95" s="74" t="s">
        <v>60</v>
      </c>
      <c r="AD95" s="13">
        <v>704.3</v>
      </c>
      <c r="AE95" s="13">
        <v>52.58</v>
      </c>
      <c r="AF95" s="13">
        <f t="shared" si="106"/>
        <v>756.88</v>
      </c>
      <c r="AH95" s="89">
        <f t="shared" si="82"/>
        <v>-0.36522788584410049</v>
      </c>
      <c r="AI95" s="89">
        <f t="shared" si="83"/>
        <v>-0.25865348041080261</v>
      </c>
      <c r="AJ95" s="89">
        <f t="shared" si="84"/>
        <v>-0.35782422576894624</v>
      </c>
    </row>
    <row r="96" spans="1:36" x14ac:dyDescent="0.3">
      <c r="A96" s="17" t="s">
        <v>209</v>
      </c>
      <c r="B96" s="11" t="s">
        <v>210</v>
      </c>
      <c r="C96" s="12">
        <f t="shared" si="99"/>
        <v>1</v>
      </c>
      <c r="D96" s="41" t="str">
        <f t="shared" si="100"/>
        <v>m</v>
      </c>
      <c r="E96" s="41">
        <v>42.82</v>
      </c>
      <c r="F96" s="41">
        <v>9.82</v>
      </c>
      <c r="G96" s="41">
        <f t="shared" si="101"/>
        <v>52.64</v>
      </c>
      <c r="H96" s="13">
        <f t="shared" si="102"/>
        <v>42.82</v>
      </c>
      <c r="I96" s="13">
        <f t="shared" si="103"/>
        <v>9.82</v>
      </c>
      <c r="J96" s="14">
        <f t="shared" si="104"/>
        <v>52.64</v>
      </c>
      <c r="M96" s="54"/>
      <c r="N96" s="56"/>
      <c r="V96" s="74">
        <v>1</v>
      </c>
      <c r="W96" s="74" t="s">
        <v>76</v>
      </c>
      <c r="X96" s="13">
        <v>52.35</v>
      </c>
      <c r="Y96" s="13">
        <v>10.28</v>
      </c>
      <c r="Z96" s="13">
        <f t="shared" si="105"/>
        <v>62.63</v>
      </c>
      <c r="AB96" s="74">
        <v>1</v>
      </c>
      <c r="AC96" s="74" t="s">
        <v>76</v>
      </c>
      <c r="AD96" s="13">
        <v>67.44</v>
      </c>
      <c r="AE96" s="13">
        <v>13.24</v>
      </c>
      <c r="AF96" s="13">
        <f t="shared" si="106"/>
        <v>80.679999999999993</v>
      </c>
      <c r="AH96" s="89">
        <f t="shared" si="82"/>
        <v>-0.36506524317912215</v>
      </c>
      <c r="AI96" s="89">
        <f t="shared" si="83"/>
        <v>-0.2583081570996979</v>
      </c>
      <c r="AJ96" s="89">
        <f t="shared" si="84"/>
        <v>-0.3475458601883985</v>
      </c>
    </row>
    <row r="97" spans="1:36" x14ac:dyDescent="0.3">
      <c r="A97" s="17" t="s">
        <v>211</v>
      </c>
      <c r="B97" s="11" t="s">
        <v>212</v>
      </c>
      <c r="C97" s="12">
        <f t="shared" si="99"/>
        <v>1</v>
      </c>
      <c r="D97" s="41" t="str">
        <f t="shared" si="100"/>
        <v>m²</v>
      </c>
      <c r="E97" s="41">
        <v>58.07</v>
      </c>
      <c r="F97" s="41">
        <v>5.6</v>
      </c>
      <c r="G97" s="41">
        <f t="shared" si="101"/>
        <v>63.67</v>
      </c>
      <c r="H97" s="13">
        <f t="shared" si="102"/>
        <v>58.07</v>
      </c>
      <c r="I97" s="13">
        <f t="shared" si="103"/>
        <v>5.6</v>
      </c>
      <c r="J97" s="14">
        <f t="shared" si="104"/>
        <v>63.67</v>
      </c>
      <c r="M97" s="54"/>
      <c r="N97" s="55"/>
      <c r="V97" s="74">
        <v>1</v>
      </c>
      <c r="W97" s="74" t="s">
        <v>60</v>
      </c>
      <c r="X97" s="13">
        <v>57.27</v>
      </c>
      <c r="Y97" s="13">
        <v>5.91</v>
      </c>
      <c r="Z97" s="13">
        <f t="shared" si="105"/>
        <v>63.180000000000007</v>
      </c>
      <c r="AB97" s="74">
        <v>1</v>
      </c>
      <c r="AC97" s="74" t="s">
        <v>60</v>
      </c>
      <c r="AD97" s="13">
        <v>73.78</v>
      </c>
      <c r="AE97" s="13">
        <v>7.61</v>
      </c>
      <c r="AF97" s="13">
        <f t="shared" si="106"/>
        <v>81.39</v>
      </c>
      <c r="AH97" s="89">
        <f t="shared" si="82"/>
        <v>-0.21293033342369205</v>
      </c>
      <c r="AI97" s="89">
        <f t="shared" si="83"/>
        <v>-0.26412614980289106</v>
      </c>
      <c r="AJ97" s="89">
        <f t="shared" si="84"/>
        <v>-0.21771716427079491</v>
      </c>
    </row>
    <row r="98" spans="1:36" x14ac:dyDescent="0.3">
      <c r="A98" s="17" t="s">
        <v>213</v>
      </c>
      <c r="B98" s="11" t="s">
        <v>214</v>
      </c>
      <c r="C98" s="12">
        <f t="shared" si="99"/>
        <v>20</v>
      </c>
      <c r="D98" s="41" t="str">
        <f t="shared" si="100"/>
        <v>m²</v>
      </c>
      <c r="E98" s="41">
        <v>144.13999999999999</v>
      </c>
      <c r="F98" s="41">
        <v>35.130000000000003</v>
      </c>
      <c r="G98" s="41">
        <f t="shared" si="101"/>
        <v>179.26999999999998</v>
      </c>
      <c r="H98" s="13">
        <f t="shared" si="102"/>
        <v>2882.7999999999997</v>
      </c>
      <c r="I98" s="13">
        <f t="shared" si="103"/>
        <v>702.6</v>
      </c>
      <c r="J98" s="14">
        <f t="shared" si="104"/>
        <v>3585.3999999999996</v>
      </c>
      <c r="M98" s="54"/>
      <c r="N98" s="55"/>
      <c r="V98" s="74">
        <v>20</v>
      </c>
      <c r="W98" s="74" t="s">
        <v>60</v>
      </c>
      <c r="X98" s="13">
        <v>139.88999999999999</v>
      </c>
      <c r="Y98" s="13">
        <v>37.08</v>
      </c>
      <c r="Z98" s="13">
        <f t="shared" si="105"/>
        <v>176.96999999999997</v>
      </c>
      <c r="AB98" s="74">
        <v>20</v>
      </c>
      <c r="AC98" s="74" t="s">
        <v>60</v>
      </c>
      <c r="AD98" s="13">
        <v>180.21</v>
      </c>
      <c r="AE98" s="13">
        <v>47.77</v>
      </c>
      <c r="AF98" s="13">
        <f t="shared" si="106"/>
        <v>227.98000000000002</v>
      </c>
      <c r="AH98" s="89">
        <f t="shared" si="82"/>
        <v>-0.20015537428555585</v>
      </c>
      <c r="AI98" s="89">
        <f t="shared" si="83"/>
        <v>-0.26460121415114091</v>
      </c>
      <c r="AJ98" s="89">
        <f t="shared" si="84"/>
        <v>-0.21365909290288632</v>
      </c>
    </row>
    <row r="99" spans="1:36" x14ac:dyDescent="0.3">
      <c r="A99" s="17" t="s">
        <v>215</v>
      </c>
      <c r="B99" s="11" t="s">
        <v>216</v>
      </c>
      <c r="C99" s="12">
        <f t="shared" si="99"/>
        <v>1</v>
      </c>
      <c r="D99" s="41" t="str">
        <f t="shared" si="100"/>
        <v>m²</v>
      </c>
      <c r="E99" s="41">
        <v>328.21</v>
      </c>
      <c r="F99" s="41">
        <v>38.979999999999997</v>
      </c>
      <c r="G99" s="41">
        <f t="shared" si="101"/>
        <v>367.19</v>
      </c>
      <c r="H99" s="13">
        <f t="shared" si="102"/>
        <v>328.21</v>
      </c>
      <c r="I99" s="13">
        <f t="shared" si="103"/>
        <v>38.979999999999997</v>
      </c>
      <c r="J99" s="14">
        <f t="shared" si="104"/>
        <v>367.19</v>
      </c>
      <c r="M99" s="54"/>
      <c r="N99" s="56"/>
      <c r="V99" s="74">
        <v>1</v>
      </c>
      <c r="W99" s="74" t="s">
        <v>60</v>
      </c>
      <c r="X99" s="13">
        <v>361.67</v>
      </c>
      <c r="Y99" s="13">
        <v>40.82</v>
      </c>
      <c r="Z99" s="13">
        <f t="shared" si="105"/>
        <v>402.49</v>
      </c>
      <c r="AB99" s="74">
        <v>1</v>
      </c>
      <c r="AC99" s="74" t="s">
        <v>60</v>
      </c>
      <c r="AD99" s="13">
        <v>465.9</v>
      </c>
      <c r="AE99" s="13">
        <v>52.58</v>
      </c>
      <c r="AF99" s="13">
        <f t="shared" si="106"/>
        <v>518.48</v>
      </c>
      <c r="AH99" s="89">
        <f t="shared" si="82"/>
        <v>-0.29553552264434424</v>
      </c>
      <c r="AI99" s="89">
        <f t="shared" si="83"/>
        <v>-0.25865348041080261</v>
      </c>
      <c r="AJ99" s="89">
        <f t="shared" si="84"/>
        <v>-0.29179524764696807</v>
      </c>
    </row>
    <row r="100" spans="1:36" x14ac:dyDescent="0.3">
      <c r="A100" s="17" t="s">
        <v>217</v>
      </c>
      <c r="B100" s="11" t="s">
        <v>218</v>
      </c>
      <c r="C100" s="12">
        <f t="shared" si="99"/>
        <v>8</v>
      </c>
      <c r="D100" s="41" t="str">
        <f t="shared" si="100"/>
        <v>m²</v>
      </c>
      <c r="E100" s="41">
        <v>77.55</v>
      </c>
      <c r="F100" s="41">
        <v>73.13</v>
      </c>
      <c r="G100" s="41">
        <f t="shared" si="101"/>
        <v>150.68</v>
      </c>
      <c r="H100" s="13">
        <f t="shared" si="102"/>
        <v>620.4</v>
      </c>
      <c r="I100" s="13">
        <f t="shared" si="103"/>
        <v>585.04</v>
      </c>
      <c r="J100" s="14">
        <f t="shared" si="104"/>
        <v>1205.44</v>
      </c>
      <c r="M100" s="54"/>
      <c r="N100" s="56"/>
      <c r="V100" s="74">
        <v>8</v>
      </c>
      <c r="W100" s="74" t="s">
        <v>60</v>
      </c>
      <c r="X100" s="13">
        <v>75.260000000000005</v>
      </c>
      <c r="Y100" s="13">
        <v>76.599999999999994</v>
      </c>
      <c r="Z100" s="13">
        <f t="shared" si="105"/>
        <v>151.86000000000001</v>
      </c>
      <c r="AB100" s="74">
        <v>8</v>
      </c>
      <c r="AC100" s="74" t="s">
        <v>60</v>
      </c>
      <c r="AD100" s="13">
        <v>96.95</v>
      </c>
      <c r="AE100" s="13">
        <v>98.68</v>
      </c>
      <c r="AF100" s="13">
        <f t="shared" si="106"/>
        <v>195.63</v>
      </c>
      <c r="AH100" s="89">
        <f t="shared" si="82"/>
        <v>-0.20010314595152146</v>
      </c>
      <c r="AI100" s="89">
        <f t="shared" si="83"/>
        <v>-0.25891771382245654</v>
      </c>
      <c r="AJ100" s="89">
        <f t="shared" si="84"/>
        <v>-0.22977048509942233</v>
      </c>
    </row>
    <row r="101" spans="1:36" x14ac:dyDescent="0.3">
      <c r="A101" s="17" t="s">
        <v>219</v>
      </c>
      <c r="B101" s="11" t="s">
        <v>220</v>
      </c>
      <c r="C101" s="12">
        <f t="shared" si="99"/>
        <v>47</v>
      </c>
      <c r="D101" s="41" t="str">
        <f t="shared" si="100"/>
        <v>m²</v>
      </c>
      <c r="E101" s="41">
        <v>31.7</v>
      </c>
      <c r="F101" s="41">
        <v>12.4</v>
      </c>
      <c r="G101" s="41">
        <f t="shared" si="101"/>
        <v>44.1</v>
      </c>
      <c r="H101" s="13">
        <f t="shared" si="102"/>
        <v>1489.8999999999999</v>
      </c>
      <c r="I101" s="13">
        <f t="shared" si="103"/>
        <v>582.80000000000007</v>
      </c>
      <c r="J101" s="14">
        <f t="shared" si="104"/>
        <v>2072.7000000000003</v>
      </c>
      <c r="M101" s="54"/>
      <c r="N101" s="56"/>
      <c r="V101" s="74">
        <v>47</v>
      </c>
      <c r="W101" s="74" t="s">
        <v>60</v>
      </c>
      <c r="X101" s="13">
        <v>30.76</v>
      </c>
      <c r="Y101" s="13">
        <v>13.01</v>
      </c>
      <c r="Z101" s="13">
        <f t="shared" si="105"/>
        <v>43.77</v>
      </c>
      <c r="AB101" s="74">
        <v>47</v>
      </c>
      <c r="AC101" s="74" t="s">
        <v>60</v>
      </c>
      <c r="AD101" s="13">
        <v>39.630000000000003</v>
      </c>
      <c r="AE101" s="13">
        <v>16.760000000000002</v>
      </c>
      <c r="AF101" s="13">
        <f t="shared" si="106"/>
        <v>56.39</v>
      </c>
      <c r="AH101" s="89">
        <f t="shared" si="82"/>
        <v>-0.20010093363613435</v>
      </c>
      <c r="AI101" s="89">
        <f t="shared" si="83"/>
        <v>-0.2601431980906922</v>
      </c>
      <c r="AJ101" s="89">
        <f t="shared" si="84"/>
        <v>-0.2179464444050363</v>
      </c>
    </row>
    <row r="102" spans="1:36" x14ac:dyDescent="0.3">
      <c r="A102" s="17" t="s">
        <v>221</v>
      </c>
      <c r="B102" s="18" t="s">
        <v>222</v>
      </c>
      <c r="C102" s="12">
        <f t="shared" si="99"/>
        <v>133</v>
      </c>
      <c r="D102" s="41" t="str">
        <f t="shared" si="100"/>
        <v>m²</v>
      </c>
      <c r="E102" s="41">
        <v>33.729999999999997</v>
      </c>
      <c r="F102" s="41">
        <v>20.25</v>
      </c>
      <c r="G102" s="41">
        <f t="shared" si="101"/>
        <v>53.98</v>
      </c>
      <c r="H102" s="13">
        <f t="shared" si="102"/>
        <v>4486.0899999999992</v>
      </c>
      <c r="I102" s="13">
        <f t="shared" si="103"/>
        <v>2693.25</v>
      </c>
      <c r="J102" s="14">
        <f t="shared" si="104"/>
        <v>7179.3399999999992</v>
      </c>
      <c r="M102" s="54"/>
      <c r="N102" s="56"/>
      <c r="V102" s="74">
        <v>133</v>
      </c>
      <c r="W102" s="74" t="s">
        <v>60</v>
      </c>
      <c r="X102" s="13">
        <v>40.340000000000003</v>
      </c>
      <c r="Y102" s="13">
        <v>21.2</v>
      </c>
      <c r="Z102" s="13">
        <f t="shared" si="105"/>
        <v>61.540000000000006</v>
      </c>
      <c r="AB102" s="74">
        <v>133</v>
      </c>
      <c r="AC102" s="74" t="s">
        <v>60</v>
      </c>
      <c r="AD102" s="13">
        <v>51.97</v>
      </c>
      <c r="AE102" s="13">
        <v>27.31</v>
      </c>
      <c r="AF102" s="13">
        <f t="shared" si="106"/>
        <v>79.28</v>
      </c>
      <c r="AH102" s="89">
        <f t="shared" si="82"/>
        <v>-0.35097171445064468</v>
      </c>
      <c r="AI102" s="89">
        <f t="shared" si="83"/>
        <v>-0.2585133650677407</v>
      </c>
      <c r="AJ102" s="89">
        <f t="shared" si="84"/>
        <v>-0.31912209889001009</v>
      </c>
    </row>
    <row r="103" spans="1:36" x14ac:dyDescent="0.3">
      <c r="A103" s="17" t="s">
        <v>223</v>
      </c>
      <c r="B103" s="11" t="s">
        <v>224</v>
      </c>
      <c r="C103" s="12">
        <f t="shared" si="99"/>
        <v>23</v>
      </c>
      <c r="D103" s="41" t="str">
        <f t="shared" si="100"/>
        <v>m²</v>
      </c>
      <c r="E103" s="41">
        <v>102.27</v>
      </c>
      <c r="F103" s="41">
        <v>32.51</v>
      </c>
      <c r="G103" s="41">
        <f t="shared" si="101"/>
        <v>134.78</v>
      </c>
      <c r="H103" s="13">
        <f t="shared" si="102"/>
        <v>2352.21</v>
      </c>
      <c r="I103" s="13">
        <f t="shared" si="103"/>
        <v>747.7299999999999</v>
      </c>
      <c r="J103" s="14">
        <f t="shared" si="104"/>
        <v>3099.94</v>
      </c>
      <c r="M103" s="54"/>
      <c r="N103" s="56"/>
      <c r="V103" s="74">
        <v>23</v>
      </c>
      <c r="W103" s="74" t="s">
        <v>60</v>
      </c>
      <c r="X103" s="13">
        <v>129.44999999999999</v>
      </c>
      <c r="Y103" s="13">
        <v>34.020000000000003</v>
      </c>
      <c r="Z103" s="13">
        <f t="shared" si="105"/>
        <v>163.47</v>
      </c>
      <c r="AB103" s="74">
        <v>23</v>
      </c>
      <c r="AC103" s="74" t="s">
        <v>60</v>
      </c>
      <c r="AD103" s="13">
        <v>166.76</v>
      </c>
      <c r="AE103" s="13">
        <v>43.82</v>
      </c>
      <c r="AF103" s="13">
        <f t="shared" si="106"/>
        <v>210.57999999999998</v>
      </c>
      <c r="AH103" s="89">
        <f t="shared" si="82"/>
        <v>-0.38672343487646921</v>
      </c>
      <c r="AI103" s="89">
        <f t="shared" si="83"/>
        <v>-0.25810132359653126</v>
      </c>
      <c r="AJ103" s="89">
        <f t="shared" si="84"/>
        <v>-0.35995821065628264</v>
      </c>
    </row>
    <row r="104" spans="1:36" x14ac:dyDescent="0.3">
      <c r="A104" s="17" t="s">
        <v>225</v>
      </c>
      <c r="B104" s="11" t="s">
        <v>226</v>
      </c>
      <c r="C104" s="12">
        <f t="shared" si="99"/>
        <v>167</v>
      </c>
      <c r="D104" s="41" t="str">
        <f t="shared" si="100"/>
        <v>m²</v>
      </c>
      <c r="E104" s="41">
        <v>3.53</v>
      </c>
      <c r="F104" s="41">
        <v>4.26</v>
      </c>
      <c r="G104" s="41">
        <f t="shared" si="101"/>
        <v>7.7899999999999991</v>
      </c>
      <c r="H104" s="13">
        <f t="shared" si="102"/>
        <v>589.51</v>
      </c>
      <c r="I104" s="13">
        <f t="shared" si="103"/>
        <v>711.42</v>
      </c>
      <c r="J104" s="14">
        <f t="shared" si="104"/>
        <v>1300.9299999999998</v>
      </c>
      <c r="M104" s="54"/>
      <c r="N104" s="56"/>
      <c r="V104" s="74">
        <v>167</v>
      </c>
      <c r="W104" s="74" t="s">
        <v>60</v>
      </c>
      <c r="X104" s="13">
        <v>4.3099999999999996</v>
      </c>
      <c r="Y104" s="13">
        <v>4.53</v>
      </c>
      <c r="Z104" s="13">
        <f t="shared" si="105"/>
        <v>8.84</v>
      </c>
      <c r="AB104" s="74">
        <v>167</v>
      </c>
      <c r="AC104" s="74" t="s">
        <v>60</v>
      </c>
      <c r="AD104" s="13">
        <v>5.55</v>
      </c>
      <c r="AE104" s="13">
        <v>5.84</v>
      </c>
      <c r="AF104" s="13">
        <f t="shared" si="106"/>
        <v>11.39</v>
      </c>
      <c r="AH104" s="89">
        <f t="shared" si="82"/>
        <v>-0.36396396396396402</v>
      </c>
      <c r="AI104" s="89">
        <f t="shared" si="83"/>
        <v>-0.27054794520547942</v>
      </c>
      <c r="AJ104" s="89">
        <f t="shared" si="84"/>
        <v>-0.31606672519754186</v>
      </c>
    </row>
    <row r="105" spans="1:36" x14ac:dyDescent="0.3">
      <c r="A105" s="17" t="s">
        <v>227</v>
      </c>
      <c r="B105" s="11" t="s">
        <v>228</v>
      </c>
      <c r="C105" s="12">
        <f t="shared" si="99"/>
        <v>180</v>
      </c>
      <c r="D105" s="41" t="str">
        <f t="shared" si="100"/>
        <v>m²</v>
      </c>
      <c r="E105" s="41">
        <v>207.97</v>
      </c>
      <c r="F105" s="41">
        <v>6.06</v>
      </c>
      <c r="G105" s="41">
        <f t="shared" si="101"/>
        <v>214.03</v>
      </c>
      <c r="H105" s="13">
        <f t="shared" si="102"/>
        <v>37434.6</v>
      </c>
      <c r="I105" s="13">
        <f t="shared" si="103"/>
        <v>1090.8</v>
      </c>
      <c r="J105" s="14">
        <f t="shared" si="104"/>
        <v>38525.4</v>
      </c>
      <c r="M105" s="54"/>
      <c r="N105" s="56"/>
      <c r="V105" s="74">
        <v>180</v>
      </c>
      <c r="W105" s="74" t="s">
        <v>60</v>
      </c>
      <c r="X105" s="13">
        <v>253.84</v>
      </c>
      <c r="Y105" s="13">
        <v>6.37</v>
      </c>
      <c r="Z105" s="13">
        <f t="shared" si="105"/>
        <v>260.20999999999998</v>
      </c>
      <c r="AB105" s="74">
        <v>180</v>
      </c>
      <c r="AC105" s="74" t="s">
        <v>60</v>
      </c>
      <c r="AD105" s="13">
        <v>327</v>
      </c>
      <c r="AE105" s="13">
        <v>8.2100000000000009</v>
      </c>
      <c r="AF105" s="13">
        <f t="shared" si="106"/>
        <v>335.21</v>
      </c>
      <c r="AH105" s="89">
        <f t="shared" si="82"/>
        <v>-0.36400611620795109</v>
      </c>
      <c r="AI105" s="89">
        <f t="shared" si="83"/>
        <v>-0.26187576126674794</v>
      </c>
      <c r="AJ105" s="89">
        <f t="shared" si="84"/>
        <v>-0.36150472837922487</v>
      </c>
    </row>
    <row r="106" spans="1:36" x14ac:dyDescent="0.3">
      <c r="A106" s="17" t="s">
        <v>229</v>
      </c>
      <c r="B106" s="11" t="s">
        <v>230</v>
      </c>
      <c r="C106" s="12">
        <f t="shared" si="99"/>
        <v>9</v>
      </c>
      <c r="D106" s="41" t="str">
        <f t="shared" si="100"/>
        <v>m²</v>
      </c>
      <c r="E106" s="41">
        <v>115.34</v>
      </c>
      <c r="F106" s="41">
        <v>6.87</v>
      </c>
      <c r="G106" s="41">
        <f t="shared" si="101"/>
        <v>122.21000000000001</v>
      </c>
      <c r="H106" s="13">
        <f t="shared" si="102"/>
        <v>1038.06</v>
      </c>
      <c r="I106" s="13">
        <f t="shared" si="103"/>
        <v>61.83</v>
      </c>
      <c r="J106" s="14">
        <f t="shared" si="104"/>
        <v>1099.8900000000001</v>
      </c>
      <c r="M106" s="54"/>
      <c r="N106" s="56"/>
      <c r="V106" s="74">
        <v>9</v>
      </c>
      <c r="W106" s="74" t="s">
        <v>60</v>
      </c>
      <c r="X106" s="13">
        <v>141.02000000000001</v>
      </c>
      <c r="Y106" s="13">
        <v>7.22</v>
      </c>
      <c r="Z106" s="13">
        <f t="shared" si="105"/>
        <v>148.24</v>
      </c>
      <c r="AB106" s="74">
        <v>9</v>
      </c>
      <c r="AC106" s="74" t="s">
        <v>60</v>
      </c>
      <c r="AD106" s="13">
        <v>181.66</v>
      </c>
      <c r="AE106" s="13">
        <v>9.3000000000000007</v>
      </c>
      <c r="AF106" s="13">
        <f t="shared" si="106"/>
        <v>190.96</v>
      </c>
      <c r="AH106" s="89">
        <f t="shared" si="82"/>
        <v>-0.36507761752724865</v>
      </c>
      <c r="AI106" s="89">
        <f t="shared" si="83"/>
        <v>-0.26129032258064522</v>
      </c>
      <c r="AJ106" s="89">
        <f t="shared" si="84"/>
        <v>-0.36002304147465436</v>
      </c>
    </row>
    <row r="107" spans="1:36" x14ac:dyDescent="0.3">
      <c r="A107" s="17" t="s">
        <v>231</v>
      </c>
      <c r="B107" s="11" t="s">
        <v>232</v>
      </c>
      <c r="C107" s="12">
        <f t="shared" si="99"/>
        <v>3428</v>
      </c>
      <c r="D107" s="41" t="str">
        <f t="shared" si="100"/>
        <v>m²</v>
      </c>
      <c r="E107" s="41">
        <v>221.41</v>
      </c>
      <c r="F107" s="41">
        <v>4.03</v>
      </c>
      <c r="G107" s="41">
        <f t="shared" ref="G107" si="107">F107+E107</f>
        <v>225.44</v>
      </c>
      <c r="H107" s="13">
        <f t="shared" ref="H107" si="108">C107*E107</f>
        <v>758993.48</v>
      </c>
      <c r="I107" s="13">
        <f t="shared" ref="I107" si="109">C107*F107</f>
        <v>13814.84</v>
      </c>
      <c r="J107" s="14">
        <f t="shared" ref="J107" si="110">SUM(E107:F107)*C107</f>
        <v>772808.32</v>
      </c>
      <c r="M107" s="54"/>
      <c r="N107" s="56"/>
      <c r="V107" s="74">
        <v>3428</v>
      </c>
      <c r="W107" s="74" t="s">
        <v>60</v>
      </c>
      <c r="X107" s="13">
        <v>225.15</v>
      </c>
      <c r="Y107" s="13">
        <v>4.25</v>
      </c>
      <c r="Z107" s="13">
        <f t="shared" ref="Z107" si="111">SUM(X107:Y107)</f>
        <v>229.4</v>
      </c>
      <c r="AB107" s="74">
        <v>3428</v>
      </c>
      <c r="AC107" s="74" t="s">
        <v>60</v>
      </c>
      <c r="AD107" s="13">
        <v>290.04000000000002</v>
      </c>
      <c r="AE107" s="13">
        <v>5.47</v>
      </c>
      <c r="AF107" s="13">
        <f t="shared" si="106"/>
        <v>295.51000000000005</v>
      </c>
      <c r="AH107" s="89">
        <f t="shared" si="82"/>
        <v>-0.23662253482278317</v>
      </c>
      <c r="AI107" s="89">
        <f t="shared" si="83"/>
        <v>-0.26325411334552096</v>
      </c>
      <c r="AJ107" s="89">
        <f t="shared" si="84"/>
        <v>-0.2371154952455079</v>
      </c>
    </row>
    <row r="108" spans="1:36" x14ac:dyDescent="0.3">
      <c r="A108" s="17" t="s">
        <v>233</v>
      </c>
      <c r="B108" s="11" t="s">
        <v>234</v>
      </c>
      <c r="C108" s="12">
        <f t="shared" si="99"/>
        <v>28</v>
      </c>
      <c r="D108" s="41" t="str">
        <f t="shared" si="100"/>
        <v>m</v>
      </c>
      <c r="E108" s="41">
        <v>21.7</v>
      </c>
      <c r="F108" s="41">
        <v>6</v>
      </c>
      <c r="G108" s="41">
        <f t="shared" si="101"/>
        <v>27.7</v>
      </c>
      <c r="H108" s="13">
        <f t="shared" si="102"/>
        <v>607.6</v>
      </c>
      <c r="I108" s="13">
        <f t="shared" si="103"/>
        <v>168</v>
      </c>
      <c r="J108" s="14">
        <f t="shared" si="104"/>
        <v>775.6</v>
      </c>
      <c r="M108" s="54"/>
      <c r="N108" s="56"/>
      <c r="V108" s="74">
        <v>28</v>
      </c>
      <c r="W108" s="74" t="s">
        <v>76</v>
      </c>
      <c r="X108" s="13">
        <v>21.06</v>
      </c>
      <c r="Y108" s="13">
        <v>6.32</v>
      </c>
      <c r="Z108" s="13">
        <f t="shared" si="105"/>
        <v>27.38</v>
      </c>
      <c r="AB108" s="74">
        <v>28</v>
      </c>
      <c r="AC108" s="74" t="s">
        <v>76</v>
      </c>
      <c r="AD108" s="13">
        <v>27.13</v>
      </c>
      <c r="AE108" s="13">
        <v>8.14</v>
      </c>
      <c r="AF108" s="13">
        <f t="shared" si="106"/>
        <v>35.269999999999996</v>
      </c>
      <c r="AH108" s="89">
        <f t="shared" si="82"/>
        <v>-0.20014743826022852</v>
      </c>
      <c r="AI108" s="89">
        <f t="shared" si="83"/>
        <v>-0.26289926289926291</v>
      </c>
      <c r="AJ108" s="89">
        <f t="shared" si="84"/>
        <v>-0.21462999716472919</v>
      </c>
    </row>
    <row r="109" spans="1:36" x14ac:dyDescent="0.3">
      <c r="A109" s="17" t="s">
        <v>235</v>
      </c>
      <c r="B109" s="11" t="s">
        <v>236</v>
      </c>
      <c r="C109" s="12">
        <f t="shared" si="99"/>
        <v>1</v>
      </c>
      <c r="D109" s="41" t="str">
        <f t="shared" si="100"/>
        <v>m²</v>
      </c>
      <c r="E109" s="41">
        <v>141.77000000000001</v>
      </c>
      <c r="F109" s="41">
        <v>1.7</v>
      </c>
      <c r="G109" s="41">
        <f t="shared" si="101"/>
        <v>143.47</v>
      </c>
      <c r="H109" s="13">
        <f t="shared" si="102"/>
        <v>141.77000000000001</v>
      </c>
      <c r="I109" s="13">
        <f t="shared" si="103"/>
        <v>1.7</v>
      </c>
      <c r="J109" s="14">
        <f t="shared" si="104"/>
        <v>143.47</v>
      </c>
      <c r="M109" s="54"/>
      <c r="N109" s="56"/>
      <c r="V109" s="74">
        <v>1</v>
      </c>
      <c r="W109" s="74" t="s">
        <v>60</v>
      </c>
      <c r="X109" s="13">
        <v>204.75</v>
      </c>
      <c r="Y109" s="13">
        <v>1.81</v>
      </c>
      <c r="Z109" s="13">
        <f t="shared" si="105"/>
        <v>206.56</v>
      </c>
      <c r="AB109" s="74">
        <v>1</v>
      </c>
      <c r="AC109" s="74" t="s">
        <v>60</v>
      </c>
      <c r="AD109" s="13">
        <v>263.76</v>
      </c>
      <c r="AE109" s="13">
        <v>2.33</v>
      </c>
      <c r="AF109" s="13">
        <f t="shared" ref="AF109:AF110" si="112">SUM(AD109:AE109)</f>
        <v>266.08999999999997</v>
      </c>
      <c r="AH109" s="89">
        <f t="shared" ref="AH109:AH110" si="113">IF(E109=0,0,(E109/AD109)-1)</f>
        <v>-0.46250379132544728</v>
      </c>
      <c r="AI109" s="89">
        <f t="shared" ref="AI109:AI110" si="114">IF(F109=0,0,(F109/AE109)-1)</f>
        <v>-0.27038626609442062</v>
      </c>
      <c r="AJ109" s="89">
        <f t="shared" ref="AJ109:AJ110" si="115">IF(G109=0,0,(G109/AF109)-1)</f>
        <v>-0.46082152655116682</v>
      </c>
    </row>
    <row r="110" spans="1:36" x14ac:dyDescent="0.3">
      <c r="A110" s="17" t="s">
        <v>237</v>
      </c>
      <c r="B110" s="11" t="s">
        <v>238</v>
      </c>
      <c r="C110" s="12">
        <f t="shared" ref="C110" si="116">V110</f>
        <v>1</v>
      </c>
      <c r="D110" s="41" t="str">
        <f t="shared" ref="D110" si="117">W110</f>
        <v>m</v>
      </c>
      <c r="E110" s="41">
        <v>18.84</v>
      </c>
      <c r="F110" s="41">
        <v>4.03</v>
      </c>
      <c r="G110" s="41">
        <f t="shared" ref="G110" si="118">F110+E110</f>
        <v>22.87</v>
      </c>
      <c r="H110" s="13">
        <f t="shared" ref="H110" si="119">C110*E110</f>
        <v>18.84</v>
      </c>
      <c r="I110" s="13">
        <f t="shared" ref="I110" si="120">C110*F110</f>
        <v>4.03</v>
      </c>
      <c r="J110" s="14">
        <f t="shared" ref="J110" si="121">SUM(E110:F110)*C110</f>
        <v>22.87</v>
      </c>
      <c r="M110" s="54"/>
      <c r="N110" s="56"/>
      <c r="V110" s="74">
        <v>1</v>
      </c>
      <c r="W110" s="74" t="s">
        <v>76</v>
      </c>
      <c r="X110" s="13">
        <v>22.54</v>
      </c>
      <c r="Y110" s="13">
        <v>4.25</v>
      </c>
      <c r="Z110" s="13">
        <f t="shared" ref="Z110" si="122">SUM(X110:Y110)</f>
        <v>26.79</v>
      </c>
      <c r="AB110" s="74">
        <v>1</v>
      </c>
      <c r="AC110" s="74" t="s">
        <v>76</v>
      </c>
      <c r="AD110" s="13">
        <v>29.04</v>
      </c>
      <c r="AE110" s="13">
        <v>5.47</v>
      </c>
      <c r="AF110" s="13">
        <f t="shared" si="112"/>
        <v>34.51</v>
      </c>
      <c r="AH110" s="89">
        <f t="shared" si="113"/>
        <v>-0.35123966942148754</v>
      </c>
      <c r="AI110" s="89">
        <f t="shared" si="114"/>
        <v>-0.26325411334552096</v>
      </c>
      <c r="AJ110" s="89">
        <f t="shared" si="115"/>
        <v>-0.33729353810489704</v>
      </c>
    </row>
    <row r="111" spans="1:36" x14ac:dyDescent="0.3">
      <c r="A111" s="17" t="s">
        <v>239</v>
      </c>
      <c r="B111" s="11" t="s">
        <v>240</v>
      </c>
      <c r="C111" s="12">
        <f t="shared" ref="C111" si="123">V111</f>
        <v>1</v>
      </c>
      <c r="D111" s="41" t="str">
        <f t="shared" ref="D111" si="124">W111</f>
        <v>m²</v>
      </c>
      <c r="E111" s="41">
        <v>6.65</v>
      </c>
      <c r="F111" s="41">
        <v>5.6</v>
      </c>
      <c r="G111" s="41">
        <f t="shared" ref="G111" si="125">F111+E111</f>
        <v>12.25</v>
      </c>
      <c r="H111" s="13">
        <f t="shared" ref="H111" si="126">C111*E111</f>
        <v>6.65</v>
      </c>
      <c r="I111" s="13">
        <f t="shared" ref="I111" si="127">C111*F111</f>
        <v>5.6</v>
      </c>
      <c r="J111" s="14">
        <f t="shared" ref="J111" si="128">SUM(E111:F111)*C111</f>
        <v>12.25</v>
      </c>
      <c r="M111" s="54"/>
      <c r="N111" s="56"/>
      <c r="V111" s="74">
        <v>1</v>
      </c>
      <c r="W111" s="74" t="s">
        <v>60</v>
      </c>
      <c r="X111" s="13">
        <v>6.45</v>
      </c>
      <c r="Y111" s="13">
        <v>5.91</v>
      </c>
      <c r="Z111" s="13">
        <f t="shared" ref="Z111" si="129">SUM(X111:Y111)</f>
        <v>12.36</v>
      </c>
      <c r="AB111" s="74">
        <v>1</v>
      </c>
      <c r="AC111" s="74" t="s">
        <v>60</v>
      </c>
      <c r="AD111" s="13">
        <v>8.31</v>
      </c>
      <c r="AE111" s="13">
        <v>7.61</v>
      </c>
      <c r="AF111" s="13">
        <f t="shared" si="106"/>
        <v>15.920000000000002</v>
      </c>
      <c r="AH111" s="89">
        <f t="shared" si="82"/>
        <v>-0.19975932611311675</v>
      </c>
      <c r="AI111" s="89">
        <f t="shared" si="83"/>
        <v>-0.26412614980289106</v>
      </c>
      <c r="AJ111" s="89">
        <f t="shared" si="84"/>
        <v>-0.2305276381909549</v>
      </c>
    </row>
    <row r="112" spans="1:36" x14ac:dyDescent="0.3">
      <c r="A112" s="17" t="s">
        <v>241</v>
      </c>
      <c r="B112" s="11" t="s">
        <v>242</v>
      </c>
      <c r="C112" s="12">
        <f t="shared" si="99"/>
        <v>1</v>
      </c>
      <c r="D112" s="41" t="str">
        <f t="shared" si="100"/>
        <v>m²</v>
      </c>
      <c r="E112" s="41">
        <v>17.53</v>
      </c>
      <c r="F112" s="41">
        <v>8.07</v>
      </c>
      <c r="G112" s="41">
        <f t="shared" si="101"/>
        <v>25.6</v>
      </c>
      <c r="H112" s="13">
        <f t="shared" si="102"/>
        <v>17.53</v>
      </c>
      <c r="I112" s="13">
        <f t="shared" si="103"/>
        <v>8.07</v>
      </c>
      <c r="J112" s="14">
        <f t="shared" si="104"/>
        <v>25.6</v>
      </c>
      <c r="M112" s="54"/>
      <c r="N112" s="56"/>
      <c r="V112" s="74">
        <v>1</v>
      </c>
      <c r="W112" s="74" t="s">
        <v>60</v>
      </c>
      <c r="X112" s="13">
        <v>18.8</v>
      </c>
      <c r="Y112" s="13">
        <v>8.5</v>
      </c>
      <c r="Z112" s="13">
        <f t="shared" si="105"/>
        <v>27.3</v>
      </c>
      <c r="AB112" s="74">
        <v>1</v>
      </c>
      <c r="AC112" s="74" t="s">
        <v>60</v>
      </c>
      <c r="AD112" s="13">
        <v>24.22</v>
      </c>
      <c r="AE112" s="13">
        <v>10.95</v>
      </c>
      <c r="AF112" s="13">
        <f t="shared" si="106"/>
        <v>35.17</v>
      </c>
      <c r="AH112" s="89">
        <f t="shared" si="82"/>
        <v>-0.27621800165152754</v>
      </c>
      <c r="AI112" s="89">
        <f t="shared" si="83"/>
        <v>-0.26301369863013691</v>
      </c>
      <c r="AJ112" s="89">
        <f t="shared" si="84"/>
        <v>-0.27210690929769688</v>
      </c>
    </row>
    <row r="113" spans="1:36" x14ac:dyDescent="0.3">
      <c r="A113" s="15">
        <v>11</v>
      </c>
      <c r="B113" s="16" t="s">
        <v>243</v>
      </c>
      <c r="C113" s="76"/>
      <c r="D113" s="58"/>
      <c r="E113" s="58">
        <v>0</v>
      </c>
      <c r="F113" s="58">
        <v>0</v>
      </c>
      <c r="G113" s="58"/>
      <c r="H113" s="24">
        <f t="shared" ref="H113:I113" si="130">SUM(H114:H122)</f>
        <v>25255.61</v>
      </c>
      <c r="I113" s="24">
        <f t="shared" si="130"/>
        <v>15740.2</v>
      </c>
      <c r="J113" s="24">
        <f>SUM(J114:J122)</f>
        <v>40995.810000000005</v>
      </c>
      <c r="M113" s="54"/>
      <c r="N113" s="56"/>
      <c r="V113" s="75"/>
      <c r="W113" s="75"/>
      <c r="X113" s="23"/>
      <c r="Y113" s="23"/>
      <c r="Z113" s="23"/>
      <c r="AB113" s="75"/>
      <c r="AC113" s="75"/>
      <c r="AD113" s="23"/>
      <c r="AE113" s="23"/>
      <c r="AF113" s="23"/>
      <c r="AH113" s="89">
        <f t="shared" si="82"/>
        <v>0</v>
      </c>
      <c r="AI113" s="89">
        <f t="shared" si="83"/>
        <v>0</v>
      </c>
      <c r="AJ113" s="89">
        <f t="shared" si="84"/>
        <v>0</v>
      </c>
    </row>
    <row r="114" spans="1:36" x14ac:dyDescent="0.3">
      <c r="A114" s="17" t="s">
        <v>244</v>
      </c>
      <c r="B114" s="11" t="s">
        <v>245</v>
      </c>
      <c r="C114" s="12">
        <f t="shared" ref="C114:D122" si="131">V114</f>
        <v>1</v>
      </c>
      <c r="D114" s="41" t="str">
        <f t="shared" si="131"/>
        <v>m²</v>
      </c>
      <c r="E114" s="41">
        <v>140.63999999999999</v>
      </c>
      <c r="F114" s="41">
        <v>47.05</v>
      </c>
      <c r="G114" s="41">
        <f t="shared" si="101"/>
        <v>187.69</v>
      </c>
      <c r="H114" s="13">
        <f t="shared" ref="H114:H122" si="132">C114*E114</f>
        <v>140.63999999999999</v>
      </c>
      <c r="I114" s="13">
        <f t="shared" ref="I114:I122" si="133">C114*F114</f>
        <v>47.05</v>
      </c>
      <c r="J114" s="14">
        <f t="shared" si="104"/>
        <v>187.69</v>
      </c>
      <c r="M114" s="54"/>
      <c r="N114" s="56"/>
      <c r="V114" s="74">
        <v>1</v>
      </c>
      <c r="W114" s="74" t="s">
        <v>60</v>
      </c>
      <c r="X114" s="13">
        <v>169.67</v>
      </c>
      <c r="Y114" s="13">
        <v>49.43</v>
      </c>
      <c r="Z114" s="13">
        <f t="shared" ref="Z114:Z122" si="134">SUM(X114:Y114)</f>
        <v>219.1</v>
      </c>
      <c r="AB114" s="74">
        <v>1</v>
      </c>
      <c r="AC114" s="74" t="s">
        <v>60</v>
      </c>
      <c r="AD114" s="13">
        <v>218.57</v>
      </c>
      <c r="AE114" s="13">
        <v>63.68</v>
      </c>
      <c r="AF114" s="13">
        <f t="shared" ref="AF114:AF122" si="135">SUM(AD114:AE114)</f>
        <v>282.25</v>
      </c>
      <c r="AH114" s="89">
        <f t="shared" si="82"/>
        <v>-0.35654481401839233</v>
      </c>
      <c r="AI114" s="89">
        <f t="shared" si="83"/>
        <v>-0.26114949748743721</v>
      </c>
      <c r="AJ114" s="89">
        <f t="shared" si="84"/>
        <v>-0.33502214348981396</v>
      </c>
    </row>
    <row r="115" spans="1:36" x14ac:dyDescent="0.3">
      <c r="A115" s="17" t="s">
        <v>246</v>
      </c>
      <c r="B115" s="11" t="s">
        <v>247</v>
      </c>
      <c r="C115" s="12">
        <f t="shared" si="131"/>
        <v>507</v>
      </c>
      <c r="D115" s="41" t="str">
        <f t="shared" si="131"/>
        <v>m²</v>
      </c>
      <c r="E115" s="41">
        <v>2.4</v>
      </c>
      <c r="F115" s="41">
        <v>4.03</v>
      </c>
      <c r="G115" s="41">
        <f t="shared" si="101"/>
        <v>6.43</v>
      </c>
      <c r="H115" s="13">
        <f t="shared" si="132"/>
        <v>1216.8</v>
      </c>
      <c r="I115" s="13">
        <f t="shared" si="133"/>
        <v>2043.21</v>
      </c>
      <c r="J115" s="14">
        <f t="shared" si="104"/>
        <v>3260.0099999999998</v>
      </c>
      <c r="M115" s="54"/>
      <c r="N115" s="56"/>
      <c r="V115" s="74">
        <v>507</v>
      </c>
      <c r="W115" s="74" t="s">
        <v>60</v>
      </c>
      <c r="X115" s="13">
        <v>2.59</v>
      </c>
      <c r="Y115" s="13">
        <v>4.25</v>
      </c>
      <c r="Z115" s="13">
        <f t="shared" si="134"/>
        <v>6.84</v>
      </c>
      <c r="AB115" s="74">
        <v>507</v>
      </c>
      <c r="AC115" s="74" t="s">
        <v>60</v>
      </c>
      <c r="AD115" s="13">
        <v>3.34</v>
      </c>
      <c r="AE115" s="13">
        <v>5.47</v>
      </c>
      <c r="AF115" s="13">
        <f t="shared" si="135"/>
        <v>8.8099999999999987</v>
      </c>
      <c r="AH115" s="89">
        <f t="shared" si="82"/>
        <v>-0.28143712574850299</v>
      </c>
      <c r="AI115" s="89">
        <f t="shared" si="83"/>
        <v>-0.26325411334552096</v>
      </c>
      <c r="AJ115" s="89">
        <f t="shared" si="84"/>
        <v>-0.27014755959137338</v>
      </c>
    </row>
    <row r="116" spans="1:36" x14ac:dyDescent="0.3">
      <c r="A116" s="17" t="s">
        <v>248</v>
      </c>
      <c r="B116" s="11" t="s">
        <v>249</v>
      </c>
      <c r="C116" s="12">
        <f t="shared" si="131"/>
        <v>566</v>
      </c>
      <c r="D116" s="41" t="str">
        <f t="shared" si="131"/>
        <v>m²</v>
      </c>
      <c r="E116" s="41">
        <v>17.53</v>
      </c>
      <c r="F116" s="41">
        <v>19.100000000000001</v>
      </c>
      <c r="G116" s="41">
        <f t="shared" si="101"/>
        <v>36.630000000000003</v>
      </c>
      <c r="H116" s="13">
        <f t="shared" si="132"/>
        <v>9921.9800000000014</v>
      </c>
      <c r="I116" s="13">
        <f t="shared" si="133"/>
        <v>10810.6</v>
      </c>
      <c r="J116" s="14">
        <f t="shared" si="104"/>
        <v>20732.580000000002</v>
      </c>
      <c r="M116" s="54"/>
      <c r="N116" s="56"/>
      <c r="V116" s="74">
        <v>566</v>
      </c>
      <c r="W116" s="74" t="s">
        <v>60</v>
      </c>
      <c r="X116" s="13">
        <v>18.8</v>
      </c>
      <c r="Y116" s="13">
        <v>20.05</v>
      </c>
      <c r="Z116" s="13">
        <f t="shared" si="134"/>
        <v>38.85</v>
      </c>
      <c r="AB116" s="74">
        <v>566</v>
      </c>
      <c r="AC116" s="74" t="s">
        <v>60</v>
      </c>
      <c r="AD116" s="13">
        <v>24.22</v>
      </c>
      <c r="AE116" s="13">
        <v>25.83</v>
      </c>
      <c r="AF116" s="13">
        <f t="shared" si="135"/>
        <v>50.05</v>
      </c>
      <c r="AH116" s="89">
        <f t="shared" si="82"/>
        <v>-0.27621800165152754</v>
      </c>
      <c r="AI116" s="89">
        <f t="shared" si="83"/>
        <v>-0.2605497483546263</v>
      </c>
      <c r="AJ116" s="89">
        <f t="shared" si="84"/>
        <v>-0.26813186813186807</v>
      </c>
    </row>
    <row r="117" spans="1:36" x14ac:dyDescent="0.3">
      <c r="A117" s="17" t="s">
        <v>250</v>
      </c>
      <c r="B117" s="11" t="s">
        <v>251</v>
      </c>
      <c r="C117" s="12">
        <f t="shared" si="131"/>
        <v>56</v>
      </c>
      <c r="D117" s="41" t="str">
        <f t="shared" si="131"/>
        <v>m²</v>
      </c>
      <c r="E117" s="41">
        <v>30.31</v>
      </c>
      <c r="F117" s="41">
        <v>32.159999999999997</v>
      </c>
      <c r="G117" s="41">
        <f t="shared" si="101"/>
        <v>62.47</v>
      </c>
      <c r="H117" s="13">
        <f t="shared" si="132"/>
        <v>1697.36</v>
      </c>
      <c r="I117" s="13">
        <f t="shared" si="133"/>
        <v>1800.9599999999998</v>
      </c>
      <c r="J117" s="14">
        <f t="shared" si="104"/>
        <v>3498.3199999999997</v>
      </c>
      <c r="M117" s="54"/>
      <c r="N117" s="56"/>
      <c r="V117" s="74">
        <v>56</v>
      </c>
      <c r="W117" s="74" t="s">
        <v>60</v>
      </c>
      <c r="X117" s="13">
        <v>37.49</v>
      </c>
      <c r="Y117" s="13">
        <v>33.69</v>
      </c>
      <c r="Z117" s="13">
        <f t="shared" si="134"/>
        <v>71.180000000000007</v>
      </c>
      <c r="AB117" s="74">
        <v>56</v>
      </c>
      <c r="AC117" s="74" t="s">
        <v>60</v>
      </c>
      <c r="AD117" s="13">
        <v>48.29</v>
      </c>
      <c r="AE117" s="13">
        <v>43.4</v>
      </c>
      <c r="AF117" s="13">
        <f t="shared" si="135"/>
        <v>91.69</v>
      </c>
      <c r="AH117" s="89">
        <f t="shared" si="82"/>
        <v>-0.37233381652516051</v>
      </c>
      <c r="AI117" s="89">
        <f t="shared" si="83"/>
        <v>-0.25898617511520738</v>
      </c>
      <c r="AJ117" s="89">
        <f t="shared" si="84"/>
        <v>-0.31868251717744578</v>
      </c>
    </row>
    <row r="118" spans="1:36" x14ac:dyDescent="0.3">
      <c r="A118" s="17" t="s">
        <v>252</v>
      </c>
      <c r="B118" s="11" t="s">
        <v>253</v>
      </c>
      <c r="C118" s="12">
        <f t="shared" si="131"/>
        <v>8</v>
      </c>
      <c r="D118" s="41" t="str">
        <f t="shared" si="131"/>
        <v>m²</v>
      </c>
      <c r="E118" s="41">
        <v>237.69</v>
      </c>
      <c r="F118" s="41">
        <v>34.159999999999997</v>
      </c>
      <c r="G118" s="41">
        <f t="shared" si="101"/>
        <v>271.85000000000002</v>
      </c>
      <c r="H118" s="13">
        <f t="shared" si="132"/>
        <v>1901.52</v>
      </c>
      <c r="I118" s="13">
        <f t="shared" si="133"/>
        <v>273.27999999999997</v>
      </c>
      <c r="J118" s="14">
        <f t="shared" si="104"/>
        <v>2174.8000000000002</v>
      </c>
      <c r="M118" s="54"/>
      <c r="N118" s="56"/>
      <c r="V118" s="74">
        <v>8</v>
      </c>
      <c r="W118" s="74" t="s">
        <v>60</v>
      </c>
      <c r="X118" s="13">
        <v>230.68</v>
      </c>
      <c r="Y118" s="13">
        <v>35.78</v>
      </c>
      <c r="Z118" s="13">
        <f t="shared" si="134"/>
        <v>266.46000000000004</v>
      </c>
      <c r="AB118" s="74">
        <v>8</v>
      </c>
      <c r="AC118" s="74" t="s">
        <v>60</v>
      </c>
      <c r="AD118" s="13">
        <v>297.16000000000003</v>
      </c>
      <c r="AE118" s="13">
        <v>46.09</v>
      </c>
      <c r="AF118" s="13">
        <f t="shared" si="135"/>
        <v>343.25</v>
      </c>
      <c r="AH118" s="89">
        <f t="shared" si="82"/>
        <v>-0.20012787723785175</v>
      </c>
      <c r="AI118" s="89">
        <f t="shared" si="83"/>
        <v>-0.25884139726621835</v>
      </c>
      <c r="AJ118" s="89">
        <f t="shared" si="84"/>
        <v>-0.20801165331391103</v>
      </c>
    </row>
    <row r="119" spans="1:36" x14ac:dyDescent="0.3">
      <c r="A119" s="17" t="s">
        <v>254</v>
      </c>
      <c r="B119" s="11" t="s">
        <v>255</v>
      </c>
      <c r="C119" s="12">
        <f t="shared" si="131"/>
        <v>86</v>
      </c>
      <c r="D119" s="41" t="str">
        <f t="shared" si="131"/>
        <v>m²</v>
      </c>
      <c r="E119" s="41">
        <v>111.45</v>
      </c>
      <c r="F119" s="41">
        <v>7.72</v>
      </c>
      <c r="G119" s="41">
        <f t="shared" si="101"/>
        <v>119.17</v>
      </c>
      <c r="H119" s="13">
        <f t="shared" si="132"/>
        <v>9584.7000000000007</v>
      </c>
      <c r="I119" s="13">
        <f t="shared" si="133"/>
        <v>663.92</v>
      </c>
      <c r="J119" s="14">
        <f t="shared" si="104"/>
        <v>10248.620000000001</v>
      </c>
      <c r="M119" s="54"/>
      <c r="N119" s="56"/>
      <c r="V119" s="74">
        <v>86</v>
      </c>
      <c r="W119" s="74" t="s">
        <v>60</v>
      </c>
      <c r="X119" s="13">
        <v>160.96</v>
      </c>
      <c r="Y119" s="13">
        <v>8.1199999999999992</v>
      </c>
      <c r="Z119" s="13">
        <f t="shared" si="134"/>
        <v>169.08</v>
      </c>
      <c r="AB119" s="74">
        <v>86</v>
      </c>
      <c r="AC119" s="74" t="s">
        <v>60</v>
      </c>
      <c r="AD119" s="13">
        <v>207.35</v>
      </c>
      <c r="AE119" s="13">
        <v>10.46</v>
      </c>
      <c r="AF119" s="13">
        <f t="shared" si="135"/>
        <v>217.81</v>
      </c>
      <c r="AH119" s="89">
        <f t="shared" si="82"/>
        <v>-0.46250301422715212</v>
      </c>
      <c r="AI119" s="89">
        <f t="shared" si="83"/>
        <v>-0.26195028680688348</v>
      </c>
      <c r="AJ119" s="89">
        <f t="shared" si="84"/>
        <v>-0.45287176897295811</v>
      </c>
    </row>
    <row r="120" spans="1:36" x14ac:dyDescent="0.3">
      <c r="A120" s="17" t="s">
        <v>256</v>
      </c>
      <c r="B120" s="11" t="s">
        <v>257</v>
      </c>
      <c r="C120" s="12">
        <f t="shared" si="131"/>
        <v>1</v>
      </c>
      <c r="D120" s="41" t="str">
        <f t="shared" si="131"/>
        <v>m²</v>
      </c>
      <c r="E120" s="41">
        <v>245.23</v>
      </c>
      <c r="F120" s="41">
        <v>28.04</v>
      </c>
      <c r="G120" s="41">
        <f t="shared" si="101"/>
        <v>273.27</v>
      </c>
      <c r="H120" s="13">
        <f t="shared" si="132"/>
        <v>245.23</v>
      </c>
      <c r="I120" s="13">
        <f t="shared" si="133"/>
        <v>28.04</v>
      </c>
      <c r="J120" s="14">
        <f t="shared" si="104"/>
        <v>273.27</v>
      </c>
      <c r="M120" s="54"/>
      <c r="N120" s="56"/>
      <c r="V120" s="74">
        <v>1</v>
      </c>
      <c r="W120" s="74" t="s">
        <v>60</v>
      </c>
      <c r="X120" s="13">
        <v>238</v>
      </c>
      <c r="Y120" s="13">
        <v>29.41</v>
      </c>
      <c r="Z120" s="13">
        <f t="shared" si="134"/>
        <v>267.41000000000003</v>
      </c>
      <c r="AB120" s="74">
        <v>1</v>
      </c>
      <c r="AC120" s="74" t="s">
        <v>60</v>
      </c>
      <c r="AD120" s="13">
        <v>306.58999999999997</v>
      </c>
      <c r="AE120" s="13">
        <v>37.89</v>
      </c>
      <c r="AF120" s="13">
        <f t="shared" si="135"/>
        <v>344.47999999999996</v>
      </c>
      <c r="AH120" s="89">
        <f t="shared" si="82"/>
        <v>-0.20013699076943148</v>
      </c>
      <c r="AI120" s="89">
        <f t="shared" si="83"/>
        <v>-0.25996305093692273</v>
      </c>
      <c r="AJ120" s="89">
        <f t="shared" si="84"/>
        <v>-0.20671737111007893</v>
      </c>
    </row>
    <row r="121" spans="1:36" x14ac:dyDescent="0.3">
      <c r="A121" s="17" t="s">
        <v>258</v>
      </c>
      <c r="B121" s="11" t="s">
        <v>259</v>
      </c>
      <c r="C121" s="12">
        <f t="shared" ref="C121" si="136">V121</f>
        <v>1</v>
      </c>
      <c r="D121" s="41" t="str">
        <f t="shared" ref="D121" si="137">W121</f>
        <v>m²</v>
      </c>
      <c r="E121" s="41">
        <v>328.21</v>
      </c>
      <c r="F121" s="41">
        <v>38.979999999999997</v>
      </c>
      <c r="G121" s="41">
        <f t="shared" ref="G121" si="138">F121+E121</f>
        <v>367.19</v>
      </c>
      <c r="H121" s="13">
        <f t="shared" ref="H121" si="139">C121*E121</f>
        <v>328.21</v>
      </c>
      <c r="I121" s="13">
        <f t="shared" ref="I121" si="140">C121*F121</f>
        <v>38.979999999999997</v>
      </c>
      <c r="J121" s="14">
        <f t="shared" ref="J121" si="141">SUM(E121:F121)*C121</f>
        <v>367.19</v>
      </c>
      <c r="M121" s="54"/>
      <c r="N121" s="56"/>
      <c r="V121" s="74">
        <v>1</v>
      </c>
      <c r="W121" s="74" t="s">
        <v>60</v>
      </c>
      <c r="X121" s="13">
        <v>361.67</v>
      </c>
      <c r="Y121" s="13">
        <v>40.82</v>
      </c>
      <c r="Z121" s="13">
        <f t="shared" ref="Z121" si="142">SUM(X121:Y121)</f>
        <v>402.49</v>
      </c>
      <c r="AB121" s="74">
        <v>1</v>
      </c>
      <c r="AC121" s="74" t="s">
        <v>60</v>
      </c>
      <c r="AD121" s="13">
        <v>465.9</v>
      </c>
      <c r="AE121" s="13">
        <v>52.58</v>
      </c>
      <c r="AF121" s="13">
        <f t="shared" ref="AF121" si="143">SUM(AD121:AE121)</f>
        <v>518.48</v>
      </c>
      <c r="AH121" s="89">
        <f t="shared" ref="AH121" si="144">IF(E121=0,0,(E121/AD121)-1)</f>
        <v>-0.29553552264434424</v>
      </c>
      <c r="AI121" s="89">
        <f t="shared" ref="AI121" si="145">IF(F121=0,0,(F121/AE121)-1)</f>
        <v>-0.25865348041080261</v>
      </c>
      <c r="AJ121" s="89">
        <f t="shared" ref="AJ121" si="146">IF(G121=0,0,(G121/AF121)-1)</f>
        <v>-0.29179524764696807</v>
      </c>
    </row>
    <row r="122" spans="1:36" x14ac:dyDescent="0.3">
      <c r="A122" s="17" t="s">
        <v>260</v>
      </c>
      <c r="B122" s="11" t="s">
        <v>261</v>
      </c>
      <c r="C122" s="12">
        <f t="shared" si="131"/>
        <v>1</v>
      </c>
      <c r="D122" s="41" t="str">
        <f t="shared" si="131"/>
        <v>m²</v>
      </c>
      <c r="E122" s="41">
        <v>219.17</v>
      </c>
      <c r="F122" s="41">
        <v>34.159999999999997</v>
      </c>
      <c r="G122" s="41">
        <f t="shared" si="101"/>
        <v>253.32999999999998</v>
      </c>
      <c r="H122" s="13">
        <f t="shared" si="132"/>
        <v>219.17</v>
      </c>
      <c r="I122" s="13">
        <f t="shared" si="133"/>
        <v>34.159999999999997</v>
      </c>
      <c r="J122" s="14">
        <f t="shared" si="104"/>
        <v>253.32999999999998</v>
      </c>
      <c r="M122" s="54"/>
      <c r="N122" s="56"/>
      <c r="V122" s="74">
        <v>1</v>
      </c>
      <c r="W122" s="74" t="s">
        <v>60</v>
      </c>
      <c r="X122" s="13">
        <v>212.7</v>
      </c>
      <c r="Y122" s="13">
        <v>35.78</v>
      </c>
      <c r="Z122" s="13">
        <f t="shared" si="134"/>
        <v>248.48</v>
      </c>
      <c r="AB122" s="74">
        <v>1</v>
      </c>
      <c r="AC122" s="74" t="s">
        <v>60</v>
      </c>
      <c r="AD122" s="13">
        <v>274</v>
      </c>
      <c r="AE122" s="13">
        <v>46.09</v>
      </c>
      <c r="AF122" s="13">
        <f t="shared" si="135"/>
        <v>320.09000000000003</v>
      </c>
      <c r="AH122" s="89">
        <f t="shared" si="82"/>
        <v>-0.20010948905109494</v>
      </c>
      <c r="AI122" s="89">
        <f t="shared" si="83"/>
        <v>-0.25884139726621835</v>
      </c>
      <c r="AJ122" s="89">
        <f t="shared" si="84"/>
        <v>-0.20856634071667357</v>
      </c>
    </row>
    <row r="123" spans="1:36" x14ac:dyDescent="0.3">
      <c r="A123" s="15">
        <v>12</v>
      </c>
      <c r="B123" s="16" t="s">
        <v>262</v>
      </c>
      <c r="C123" s="76"/>
      <c r="D123" s="58"/>
      <c r="E123" s="58">
        <v>0</v>
      </c>
      <c r="F123" s="58">
        <v>0</v>
      </c>
      <c r="G123" s="58"/>
      <c r="H123" s="24">
        <f t="shared" ref="H123:I123" si="147">SUM(H124:H137)</f>
        <v>462040.88000000006</v>
      </c>
      <c r="I123" s="24">
        <f t="shared" si="147"/>
        <v>87205.159999999989</v>
      </c>
      <c r="J123" s="24">
        <f>SUM(J124:J137)</f>
        <v>549246.03999999992</v>
      </c>
      <c r="M123" s="54"/>
      <c r="N123" s="55"/>
      <c r="V123" s="75"/>
      <c r="W123" s="75"/>
      <c r="X123" s="23"/>
      <c r="Y123" s="23"/>
      <c r="Z123" s="23"/>
      <c r="AB123" s="75"/>
      <c r="AC123" s="75"/>
      <c r="AD123" s="23"/>
      <c r="AE123" s="23"/>
      <c r="AF123" s="23"/>
      <c r="AH123" s="89">
        <f t="shared" si="82"/>
        <v>0</v>
      </c>
      <c r="AI123" s="89">
        <f t="shared" si="83"/>
        <v>0</v>
      </c>
      <c r="AJ123" s="89">
        <f t="shared" si="84"/>
        <v>0</v>
      </c>
    </row>
    <row r="124" spans="1:36" x14ac:dyDescent="0.3">
      <c r="A124" s="17" t="s">
        <v>263</v>
      </c>
      <c r="B124" s="11" t="s">
        <v>264</v>
      </c>
      <c r="C124" s="12">
        <f t="shared" ref="C124:C137" si="148">V124</f>
        <v>515</v>
      </c>
      <c r="D124" s="41" t="str">
        <f t="shared" ref="D124:D137" si="149">W124</f>
        <v>m²</v>
      </c>
      <c r="E124" s="41">
        <v>146.63</v>
      </c>
      <c r="F124" s="41">
        <v>35.659999999999997</v>
      </c>
      <c r="G124" s="41">
        <f t="shared" si="101"/>
        <v>182.29</v>
      </c>
      <c r="H124" s="13">
        <f t="shared" ref="H124:H137" si="150">C124*E124</f>
        <v>75514.45</v>
      </c>
      <c r="I124" s="13">
        <f t="shared" ref="I124:I137" si="151">C124*F124</f>
        <v>18364.899999999998</v>
      </c>
      <c r="J124" s="14">
        <f t="shared" si="104"/>
        <v>93879.349999999991</v>
      </c>
      <c r="M124" s="54"/>
      <c r="N124" s="56"/>
      <c r="V124" s="74">
        <v>515</v>
      </c>
      <c r="W124" s="74" t="s">
        <v>60</v>
      </c>
      <c r="X124" s="13">
        <v>142.30000000000001</v>
      </c>
      <c r="Y124" s="13">
        <v>37.479999999999997</v>
      </c>
      <c r="Z124" s="13">
        <f t="shared" ref="Z124:Z137" si="152">SUM(X124:Y124)</f>
        <v>179.78</v>
      </c>
      <c r="AB124" s="74">
        <v>515</v>
      </c>
      <c r="AC124" s="74" t="s">
        <v>60</v>
      </c>
      <c r="AD124" s="13">
        <v>183.31</v>
      </c>
      <c r="AE124" s="13">
        <v>48.28</v>
      </c>
      <c r="AF124" s="13">
        <f t="shared" ref="AF124:AF133" si="153">SUM(AD124:AE124)</f>
        <v>231.59</v>
      </c>
      <c r="AH124" s="89">
        <f t="shared" si="82"/>
        <v>-0.20009819431564024</v>
      </c>
      <c r="AI124" s="89">
        <f t="shared" si="83"/>
        <v>-0.26139188069594044</v>
      </c>
      <c r="AJ124" s="89">
        <f t="shared" si="84"/>
        <v>-0.21287620363573556</v>
      </c>
    </row>
    <row r="125" spans="1:36" x14ac:dyDescent="0.3">
      <c r="A125" s="17" t="s">
        <v>265</v>
      </c>
      <c r="B125" s="11" t="s">
        <v>266</v>
      </c>
      <c r="C125" s="12">
        <f t="shared" si="148"/>
        <v>1</v>
      </c>
      <c r="D125" s="41" t="str">
        <f t="shared" si="149"/>
        <v>m²</v>
      </c>
      <c r="E125" s="41">
        <v>137.99</v>
      </c>
      <c r="F125" s="41">
        <v>50.73</v>
      </c>
      <c r="G125" s="41">
        <f t="shared" si="101"/>
        <v>188.72</v>
      </c>
      <c r="H125" s="13">
        <f t="shared" si="150"/>
        <v>137.99</v>
      </c>
      <c r="I125" s="13">
        <f t="shared" si="151"/>
        <v>50.73</v>
      </c>
      <c r="J125" s="14">
        <f t="shared" si="104"/>
        <v>188.72</v>
      </c>
      <c r="M125" s="54"/>
      <c r="N125" s="56"/>
      <c r="V125" s="74">
        <v>1</v>
      </c>
      <c r="W125" s="74" t="s">
        <v>60</v>
      </c>
      <c r="X125" s="13">
        <v>142.19</v>
      </c>
      <c r="Y125" s="13">
        <v>53.28</v>
      </c>
      <c r="Z125" s="13">
        <f t="shared" si="152"/>
        <v>195.47</v>
      </c>
      <c r="AB125" s="74">
        <v>1</v>
      </c>
      <c r="AC125" s="74" t="s">
        <v>60</v>
      </c>
      <c r="AD125" s="13">
        <v>183.17</v>
      </c>
      <c r="AE125" s="13">
        <v>68.64</v>
      </c>
      <c r="AF125" s="13">
        <f t="shared" si="153"/>
        <v>251.81</v>
      </c>
      <c r="AH125" s="89">
        <f t="shared" si="82"/>
        <v>-0.24665611180870217</v>
      </c>
      <c r="AI125" s="89">
        <f t="shared" si="83"/>
        <v>-0.26092657342657344</v>
      </c>
      <c r="AJ125" s="89">
        <f t="shared" si="84"/>
        <v>-0.2505460466224535</v>
      </c>
    </row>
    <row r="126" spans="1:36" x14ac:dyDescent="0.3">
      <c r="A126" s="17" t="s">
        <v>267</v>
      </c>
      <c r="B126" s="11" t="s">
        <v>268</v>
      </c>
      <c r="C126" s="12">
        <f t="shared" si="148"/>
        <v>33</v>
      </c>
      <c r="D126" s="41" t="str">
        <f t="shared" si="149"/>
        <v>un</v>
      </c>
      <c r="E126" s="41">
        <v>395.71</v>
      </c>
      <c r="F126" s="41">
        <v>35.659999999999997</v>
      </c>
      <c r="G126" s="41">
        <f t="shared" si="101"/>
        <v>431.37</v>
      </c>
      <c r="H126" s="13">
        <f t="shared" si="150"/>
        <v>13058.429999999998</v>
      </c>
      <c r="I126" s="13">
        <f t="shared" si="151"/>
        <v>1176.78</v>
      </c>
      <c r="J126" s="14">
        <f t="shared" si="104"/>
        <v>14235.210000000001</v>
      </c>
      <c r="M126" s="54"/>
      <c r="N126" s="56"/>
      <c r="V126" s="74">
        <v>33</v>
      </c>
      <c r="W126" s="74" t="s">
        <v>110</v>
      </c>
      <c r="X126" s="13">
        <v>455.73</v>
      </c>
      <c r="Y126" s="13">
        <v>37.479999999999997</v>
      </c>
      <c r="Z126" s="13">
        <f t="shared" si="152"/>
        <v>493.21000000000004</v>
      </c>
      <c r="AB126" s="74">
        <v>33</v>
      </c>
      <c r="AC126" s="74" t="s">
        <v>110</v>
      </c>
      <c r="AD126" s="13">
        <v>587.07000000000005</v>
      </c>
      <c r="AE126" s="13">
        <v>48.28</v>
      </c>
      <c r="AF126" s="13">
        <f t="shared" si="153"/>
        <v>635.35</v>
      </c>
      <c r="AH126" s="89">
        <f t="shared" si="82"/>
        <v>-0.32595772224777297</v>
      </c>
      <c r="AI126" s="89">
        <f t="shared" si="83"/>
        <v>-0.26139188069594044</v>
      </c>
      <c r="AJ126" s="89">
        <f t="shared" si="84"/>
        <v>-0.32105138899818997</v>
      </c>
    </row>
    <row r="127" spans="1:36" x14ac:dyDescent="0.3">
      <c r="A127" s="17" t="s">
        <v>269</v>
      </c>
      <c r="B127" s="11" t="s">
        <v>270</v>
      </c>
      <c r="C127" s="12">
        <f t="shared" si="148"/>
        <v>735</v>
      </c>
      <c r="D127" s="41" t="str">
        <f t="shared" si="149"/>
        <v>m²</v>
      </c>
      <c r="E127" s="41">
        <v>124.97</v>
      </c>
      <c r="F127" s="41">
        <v>10.98</v>
      </c>
      <c r="G127" s="41">
        <f t="shared" si="101"/>
        <v>135.94999999999999</v>
      </c>
      <c r="H127" s="13">
        <f t="shared" si="150"/>
        <v>91852.95</v>
      </c>
      <c r="I127" s="13">
        <f t="shared" si="151"/>
        <v>8070.3</v>
      </c>
      <c r="J127" s="14">
        <f t="shared" si="104"/>
        <v>99923.249999999985</v>
      </c>
      <c r="M127" s="54"/>
      <c r="N127" s="56"/>
      <c r="V127" s="74">
        <v>735</v>
      </c>
      <c r="W127" s="74" t="s">
        <v>60</v>
      </c>
      <c r="X127" s="13">
        <v>152.58000000000001</v>
      </c>
      <c r="Y127" s="13">
        <v>11.54</v>
      </c>
      <c r="Z127" s="13">
        <f t="shared" si="152"/>
        <v>164.12</v>
      </c>
      <c r="AB127" s="74">
        <v>735</v>
      </c>
      <c r="AC127" s="74" t="s">
        <v>60</v>
      </c>
      <c r="AD127" s="13">
        <v>196.55</v>
      </c>
      <c r="AE127" s="13">
        <v>14.87</v>
      </c>
      <c r="AF127" s="13">
        <f t="shared" si="153"/>
        <v>211.42000000000002</v>
      </c>
      <c r="AH127" s="89">
        <f t="shared" si="82"/>
        <v>-0.36418214194861365</v>
      </c>
      <c r="AI127" s="89">
        <f t="shared" si="83"/>
        <v>-0.26160053799596494</v>
      </c>
      <c r="AJ127" s="89">
        <f t="shared" si="84"/>
        <v>-0.35696717434490599</v>
      </c>
    </row>
    <row r="128" spans="1:36" x14ac:dyDescent="0.3">
      <c r="A128" s="17" t="s">
        <v>271</v>
      </c>
      <c r="B128" s="11" t="s">
        <v>272</v>
      </c>
      <c r="C128" s="12">
        <f t="shared" si="148"/>
        <v>1026</v>
      </c>
      <c r="D128" s="41" t="str">
        <f t="shared" si="149"/>
        <v>m²</v>
      </c>
      <c r="E128" s="41">
        <v>47.97</v>
      </c>
      <c r="F128" s="41">
        <v>32.369999999999997</v>
      </c>
      <c r="G128" s="41">
        <f t="shared" si="101"/>
        <v>80.34</v>
      </c>
      <c r="H128" s="13">
        <f t="shared" si="150"/>
        <v>49217.22</v>
      </c>
      <c r="I128" s="13">
        <f t="shared" si="151"/>
        <v>33211.619999999995</v>
      </c>
      <c r="J128" s="14">
        <f t="shared" si="104"/>
        <v>82428.84</v>
      </c>
      <c r="M128" s="54"/>
      <c r="N128" s="56"/>
      <c r="V128" s="74">
        <v>1026</v>
      </c>
      <c r="W128" s="74" t="s">
        <v>60</v>
      </c>
      <c r="X128" s="13">
        <v>61.65</v>
      </c>
      <c r="Y128" s="13">
        <v>33.979999999999997</v>
      </c>
      <c r="Z128" s="13">
        <f t="shared" si="152"/>
        <v>95.63</v>
      </c>
      <c r="AB128" s="74">
        <v>1026</v>
      </c>
      <c r="AC128" s="74" t="s">
        <v>60</v>
      </c>
      <c r="AD128" s="13">
        <v>79.42</v>
      </c>
      <c r="AE128" s="13">
        <v>43.77</v>
      </c>
      <c r="AF128" s="13">
        <f t="shared" si="153"/>
        <v>123.19</v>
      </c>
      <c r="AH128" s="89">
        <f t="shared" si="82"/>
        <v>-0.39599597078821458</v>
      </c>
      <c r="AI128" s="89">
        <f t="shared" si="83"/>
        <v>-0.26045236463331056</v>
      </c>
      <c r="AJ128" s="89">
        <f t="shared" si="84"/>
        <v>-0.34783667505479332</v>
      </c>
    </row>
    <row r="129" spans="1:36" x14ac:dyDescent="0.3">
      <c r="A129" s="17" t="s">
        <v>273</v>
      </c>
      <c r="B129" s="11" t="s">
        <v>274</v>
      </c>
      <c r="C129" s="12">
        <f t="shared" si="148"/>
        <v>116</v>
      </c>
      <c r="D129" s="41" t="str">
        <f t="shared" si="149"/>
        <v>m²</v>
      </c>
      <c r="E129" s="41">
        <v>12.4</v>
      </c>
      <c r="F129" s="41">
        <v>20.350000000000001</v>
      </c>
      <c r="G129" s="41">
        <f t="shared" si="101"/>
        <v>32.75</v>
      </c>
      <c r="H129" s="13">
        <f t="shared" si="150"/>
        <v>1438.4</v>
      </c>
      <c r="I129" s="13">
        <f t="shared" si="151"/>
        <v>2360.6000000000004</v>
      </c>
      <c r="J129" s="14">
        <f t="shared" si="104"/>
        <v>3799</v>
      </c>
      <c r="M129" s="54"/>
      <c r="N129" s="56"/>
      <c r="V129" s="74">
        <v>116</v>
      </c>
      <c r="W129" s="74" t="s">
        <v>60</v>
      </c>
      <c r="X129" s="13">
        <v>15.56</v>
      </c>
      <c r="Y129" s="13">
        <v>21.31</v>
      </c>
      <c r="Z129" s="13">
        <f t="shared" si="152"/>
        <v>36.869999999999997</v>
      </c>
      <c r="AB129" s="74">
        <v>116</v>
      </c>
      <c r="AC129" s="74" t="s">
        <v>60</v>
      </c>
      <c r="AD129" s="13">
        <v>20.04</v>
      </c>
      <c r="AE129" s="13">
        <v>27.45</v>
      </c>
      <c r="AF129" s="13">
        <f t="shared" si="153"/>
        <v>47.489999999999995</v>
      </c>
      <c r="AH129" s="89">
        <f t="shared" si="82"/>
        <v>-0.38123752495009977</v>
      </c>
      <c r="AI129" s="89">
        <f t="shared" si="83"/>
        <v>-0.25865209471766837</v>
      </c>
      <c r="AJ129" s="89">
        <f t="shared" si="84"/>
        <v>-0.31038113287007785</v>
      </c>
    </row>
    <row r="130" spans="1:36" x14ac:dyDescent="0.3">
      <c r="A130" s="17" t="s">
        <v>275</v>
      </c>
      <c r="B130" s="11" t="s">
        <v>276</v>
      </c>
      <c r="C130" s="12">
        <f t="shared" si="148"/>
        <v>8</v>
      </c>
      <c r="D130" s="41" t="str">
        <f t="shared" si="149"/>
        <v>m</v>
      </c>
      <c r="E130" s="41">
        <v>7.8</v>
      </c>
      <c r="F130" s="41">
        <v>6.4</v>
      </c>
      <c r="G130" s="41">
        <f t="shared" si="101"/>
        <v>14.2</v>
      </c>
      <c r="H130" s="13">
        <f t="shared" si="150"/>
        <v>62.4</v>
      </c>
      <c r="I130" s="13">
        <f t="shared" si="151"/>
        <v>51.2</v>
      </c>
      <c r="J130" s="14">
        <f t="shared" si="104"/>
        <v>113.6</v>
      </c>
      <c r="M130" s="54"/>
      <c r="N130" s="56"/>
      <c r="V130" s="74">
        <v>8</v>
      </c>
      <c r="W130" s="74" t="s">
        <v>76</v>
      </c>
      <c r="X130" s="13">
        <v>10.7</v>
      </c>
      <c r="Y130" s="13">
        <v>6.72</v>
      </c>
      <c r="Z130" s="13">
        <f t="shared" si="152"/>
        <v>17.419999999999998</v>
      </c>
      <c r="AB130" s="74">
        <v>8</v>
      </c>
      <c r="AC130" s="74" t="s">
        <v>76</v>
      </c>
      <c r="AD130" s="13">
        <v>13.78</v>
      </c>
      <c r="AE130" s="13">
        <v>8.66</v>
      </c>
      <c r="AF130" s="13">
        <f t="shared" si="153"/>
        <v>22.439999999999998</v>
      </c>
      <c r="AH130" s="89">
        <f t="shared" si="82"/>
        <v>-0.43396226415094341</v>
      </c>
      <c r="AI130" s="89">
        <f t="shared" si="83"/>
        <v>-0.26096997690531176</v>
      </c>
      <c r="AJ130" s="89">
        <f t="shared" si="84"/>
        <v>-0.36720142602495542</v>
      </c>
    </row>
    <row r="131" spans="1:36" x14ac:dyDescent="0.3">
      <c r="A131" s="17" t="s">
        <v>277</v>
      </c>
      <c r="B131" s="11" t="s">
        <v>278</v>
      </c>
      <c r="C131" s="12">
        <f t="shared" si="148"/>
        <v>745</v>
      </c>
      <c r="D131" s="41" t="str">
        <f t="shared" si="149"/>
        <v>m²</v>
      </c>
      <c r="E131" s="41">
        <v>301.18</v>
      </c>
      <c r="F131" s="41">
        <v>27.48</v>
      </c>
      <c r="G131" s="41">
        <f t="shared" si="101"/>
        <v>328.66</v>
      </c>
      <c r="H131" s="13">
        <f t="shared" si="150"/>
        <v>224379.1</v>
      </c>
      <c r="I131" s="13">
        <f t="shared" si="151"/>
        <v>20472.599999999999</v>
      </c>
      <c r="J131" s="14">
        <f t="shared" si="104"/>
        <v>244851.7</v>
      </c>
      <c r="M131" s="54"/>
      <c r="N131" s="56"/>
      <c r="V131" s="74">
        <v>745</v>
      </c>
      <c r="W131" s="74" t="s">
        <v>60</v>
      </c>
      <c r="X131" s="13">
        <v>373.82</v>
      </c>
      <c r="Y131" s="13">
        <v>28.85</v>
      </c>
      <c r="Z131" s="13">
        <f t="shared" si="152"/>
        <v>402.67</v>
      </c>
      <c r="AB131" s="74">
        <v>745</v>
      </c>
      <c r="AC131" s="74" t="s">
        <v>60</v>
      </c>
      <c r="AD131" s="13">
        <v>481.55</v>
      </c>
      <c r="AE131" s="13">
        <v>37.159999999999997</v>
      </c>
      <c r="AF131" s="13">
        <f t="shared" si="153"/>
        <v>518.71</v>
      </c>
      <c r="AH131" s="89">
        <f t="shared" si="82"/>
        <v>-0.3745613124286159</v>
      </c>
      <c r="AI131" s="89">
        <f t="shared" si="83"/>
        <v>-0.26049515608180829</v>
      </c>
      <c r="AJ131" s="89">
        <f t="shared" si="84"/>
        <v>-0.36638969751884487</v>
      </c>
    </row>
    <row r="132" spans="1:36" x14ac:dyDescent="0.3">
      <c r="A132" s="17" t="s">
        <v>279</v>
      </c>
      <c r="B132" s="11" t="s">
        <v>280</v>
      </c>
      <c r="C132" s="12">
        <f t="shared" si="148"/>
        <v>134</v>
      </c>
      <c r="D132" s="41" t="str">
        <f t="shared" si="149"/>
        <v>m²</v>
      </c>
      <c r="E132" s="41">
        <v>10.98</v>
      </c>
      <c r="F132" s="41">
        <v>10.17</v>
      </c>
      <c r="G132" s="41">
        <f t="shared" si="101"/>
        <v>21.15</v>
      </c>
      <c r="H132" s="13">
        <f t="shared" si="150"/>
        <v>1471.3200000000002</v>
      </c>
      <c r="I132" s="13">
        <f t="shared" si="151"/>
        <v>1362.78</v>
      </c>
      <c r="J132" s="14">
        <f t="shared" si="104"/>
        <v>2834.1</v>
      </c>
      <c r="M132" s="54"/>
      <c r="N132" s="55"/>
      <c r="V132" s="74">
        <v>134</v>
      </c>
      <c r="W132" s="74" t="s">
        <v>60</v>
      </c>
      <c r="X132" s="13">
        <v>13.45</v>
      </c>
      <c r="Y132" s="13">
        <v>10.66</v>
      </c>
      <c r="Z132" s="13">
        <f t="shared" si="152"/>
        <v>24.11</v>
      </c>
      <c r="AB132" s="74">
        <v>134</v>
      </c>
      <c r="AC132" s="74" t="s">
        <v>60</v>
      </c>
      <c r="AD132" s="13">
        <v>17.329999999999998</v>
      </c>
      <c r="AE132" s="13">
        <v>13.73</v>
      </c>
      <c r="AF132" s="13">
        <f t="shared" si="153"/>
        <v>31.06</v>
      </c>
      <c r="AH132" s="89">
        <f t="shared" si="82"/>
        <v>-0.36641661858049612</v>
      </c>
      <c r="AI132" s="89">
        <f t="shared" si="83"/>
        <v>-0.25928623452294253</v>
      </c>
      <c r="AJ132" s="89">
        <f t="shared" si="84"/>
        <v>-0.3190598840952994</v>
      </c>
    </row>
    <row r="133" spans="1:36" x14ac:dyDescent="0.3">
      <c r="A133" s="17" t="s">
        <v>281</v>
      </c>
      <c r="B133" s="11" t="s">
        <v>282</v>
      </c>
      <c r="C133" s="12">
        <f t="shared" si="148"/>
        <v>82</v>
      </c>
      <c r="D133" s="41" t="str">
        <f t="shared" si="149"/>
        <v>m²</v>
      </c>
      <c r="E133" s="41">
        <v>56.77</v>
      </c>
      <c r="F133" s="41">
        <v>24.89</v>
      </c>
      <c r="G133" s="41">
        <f t="shared" si="101"/>
        <v>81.66</v>
      </c>
      <c r="H133" s="13">
        <f t="shared" si="150"/>
        <v>4655.1400000000003</v>
      </c>
      <c r="I133" s="13">
        <f t="shared" si="151"/>
        <v>2040.98</v>
      </c>
      <c r="J133" s="14">
        <f t="shared" si="104"/>
        <v>6696.12</v>
      </c>
      <c r="M133" s="54"/>
      <c r="N133" s="56"/>
      <c r="V133" s="74">
        <v>82</v>
      </c>
      <c r="W133" s="74" t="s">
        <v>60</v>
      </c>
      <c r="X133" s="13">
        <v>68.16</v>
      </c>
      <c r="Y133" s="13">
        <v>26.36</v>
      </c>
      <c r="Z133" s="13">
        <f t="shared" si="152"/>
        <v>94.52</v>
      </c>
      <c r="AB133" s="74">
        <v>82</v>
      </c>
      <c r="AC133" s="74" t="s">
        <v>60</v>
      </c>
      <c r="AD133" s="13">
        <v>87.8</v>
      </c>
      <c r="AE133" s="13">
        <v>33.96</v>
      </c>
      <c r="AF133" s="13">
        <f t="shared" si="153"/>
        <v>121.75999999999999</v>
      </c>
      <c r="AH133" s="89">
        <f t="shared" si="82"/>
        <v>-0.35341685649202725</v>
      </c>
      <c r="AI133" s="89">
        <f t="shared" si="83"/>
        <v>-0.2670789163722026</v>
      </c>
      <c r="AJ133" s="89">
        <f t="shared" si="84"/>
        <v>-0.32933639947437576</v>
      </c>
    </row>
    <row r="134" spans="1:36" x14ac:dyDescent="0.3">
      <c r="A134" s="17" t="s">
        <v>283</v>
      </c>
      <c r="B134" s="11" t="s">
        <v>284</v>
      </c>
      <c r="C134" s="12">
        <f t="shared" si="148"/>
        <v>1</v>
      </c>
      <c r="D134" s="41" t="str">
        <f t="shared" si="149"/>
        <v>m²</v>
      </c>
      <c r="E134" s="41">
        <v>192.3</v>
      </c>
      <c r="F134" s="41">
        <v>13.74</v>
      </c>
      <c r="G134" s="41">
        <f t="shared" si="101"/>
        <v>206.04000000000002</v>
      </c>
      <c r="H134" s="13">
        <f t="shared" si="150"/>
        <v>192.3</v>
      </c>
      <c r="I134" s="13">
        <f t="shared" si="151"/>
        <v>13.74</v>
      </c>
      <c r="J134" s="14">
        <f t="shared" si="104"/>
        <v>206.04000000000002</v>
      </c>
      <c r="M134" s="54"/>
      <c r="N134" s="56"/>
      <c r="V134" s="74">
        <v>1</v>
      </c>
      <c r="W134" s="74" t="s">
        <v>60</v>
      </c>
      <c r="X134" s="13">
        <v>215.36</v>
      </c>
      <c r="Y134" s="13">
        <v>14.43</v>
      </c>
      <c r="Z134" s="13">
        <f t="shared" ref="Z134" si="154">SUM(X134:Y134)</f>
        <v>229.79000000000002</v>
      </c>
      <c r="AB134" s="74">
        <v>1</v>
      </c>
      <c r="AC134" s="74" t="s">
        <v>60</v>
      </c>
      <c r="AD134" s="13">
        <v>277.43</v>
      </c>
      <c r="AE134" s="13">
        <v>18.59</v>
      </c>
      <c r="AF134" s="13">
        <f t="shared" ref="AF134" si="155">SUM(AD134:AE134)</f>
        <v>296.02</v>
      </c>
      <c r="AH134" s="89">
        <f t="shared" ref="AH134:AH135" si="156">IF(E134=0,0,(E134/AD134)-1)</f>
        <v>-0.30685217892801786</v>
      </c>
      <c r="AI134" s="89">
        <f t="shared" ref="AI134:AI135" si="157">IF(F134=0,0,(F134/AE134)-1)</f>
        <v>-0.26089295320064554</v>
      </c>
      <c r="AJ134" s="89">
        <f t="shared" ref="AJ134:AJ135" si="158">IF(G134=0,0,(G134/AF134)-1)</f>
        <v>-0.30396594824673995</v>
      </c>
    </row>
    <row r="135" spans="1:36" x14ac:dyDescent="0.3">
      <c r="A135" s="17" t="s">
        <v>285</v>
      </c>
      <c r="B135" s="11" t="s">
        <v>286</v>
      </c>
      <c r="C135" s="12">
        <f t="shared" ref="C135" si="159">V135</f>
        <v>1</v>
      </c>
      <c r="D135" s="41" t="str">
        <f t="shared" ref="D135" si="160">W135</f>
        <v>m²</v>
      </c>
      <c r="E135" s="41">
        <v>8.2799999999999994</v>
      </c>
      <c r="F135" s="41">
        <v>5.49</v>
      </c>
      <c r="G135" s="41">
        <f t="shared" ref="G135" si="161">F135+E135</f>
        <v>13.77</v>
      </c>
      <c r="H135" s="13">
        <f t="shared" ref="H135" si="162">C135*E135</f>
        <v>8.2799999999999994</v>
      </c>
      <c r="I135" s="13">
        <f t="shared" ref="I135" si="163">C135*F135</f>
        <v>5.49</v>
      </c>
      <c r="J135" s="14">
        <f t="shared" ref="J135" si="164">SUM(E135:F135)*C135</f>
        <v>13.77</v>
      </c>
      <c r="M135" s="54"/>
      <c r="N135" s="56"/>
      <c r="V135" s="74">
        <v>1</v>
      </c>
      <c r="W135" s="74" t="s">
        <v>60</v>
      </c>
      <c r="X135" s="13">
        <v>11.23</v>
      </c>
      <c r="Y135" s="13">
        <v>5.77</v>
      </c>
      <c r="Z135" s="13">
        <f t="shared" ref="Z135" si="165">SUM(X135:Y135)</f>
        <v>17</v>
      </c>
      <c r="AB135" s="74">
        <v>1</v>
      </c>
      <c r="AC135" s="74" t="s">
        <v>60</v>
      </c>
      <c r="AD135" s="13">
        <v>14.47</v>
      </c>
      <c r="AE135" s="13">
        <v>7.43</v>
      </c>
      <c r="AF135" s="13">
        <f t="shared" ref="AF135" si="166">SUM(AD135:AE135)</f>
        <v>21.9</v>
      </c>
      <c r="AH135" s="89">
        <f t="shared" si="156"/>
        <v>-0.42778161713890817</v>
      </c>
      <c r="AI135" s="89">
        <f t="shared" si="157"/>
        <v>-0.26110363391655445</v>
      </c>
      <c r="AJ135" s="89">
        <f t="shared" si="158"/>
        <v>-0.37123287671232874</v>
      </c>
    </row>
    <row r="136" spans="1:36" x14ac:dyDescent="0.3">
      <c r="A136" s="17" t="s">
        <v>287</v>
      </c>
      <c r="B136" s="11" t="s">
        <v>288</v>
      </c>
      <c r="C136" s="12">
        <f t="shared" ref="C136" si="167">V136</f>
        <v>1</v>
      </c>
      <c r="D136" s="41" t="str">
        <f t="shared" ref="D136" si="168">W136</f>
        <v>m²</v>
      </c>
      <c r="E136" s="41">
        <v>27.39</v>
      </c>
      <c r="F136" s="41">
        <v>11.72</v>
      </c>
      <c r="G136" s="41">
        <f t="shared" ref="G136" si="169">F136+E136</f>
        <v>39.11</v>
      </c>
      <c r="H136" s="13">
        <f t="shared" ref="H136" si="170">C136*E136</f>
        <v>27.39</v>
      </c>
      <c r="I136" s="13">
        <f t="shared" ref="I136" si="171">C136*F136</f>
        <v>11.72</v>
      </c>
      <c r="J136" s="14">
        <f t="shared" ref="J136" si="172">SUM(E136:F136)*C136</f>
        <v>39.11</v>
      </c>
      <c r="M136" s="54"/>
      <c r="N136" s="56"/>
      <c r="V136" s="74">
        <v>1</v>
      </c>
      <c r="W136" s="74" t="s">
        <v>60</v>
      </c>
      <c r="X136" s="13">
        <v>34.01</v>
      </c>
      <c r="Y136" s="13">
        <v>12.39</v>
      </c>
      <c r="Z136" s="13">
        <f t="shared" ref="Z136" si="173">SUM(X136:Y136)</f>
        <v>46.4</v>
      </c>
      <c r="AB136" s="74">
        <v>1</v>
      </c>
      <c r="AC136" s="74" t="s">
        <v>60</v>
      </c>
      <c r="AD136" s="13">
        <v>43.81</v>
      </c>
      <c r="AE136" s="13">
        <v>15.96</v>
      </c>
      <c r="AF136" s="13">
        <f t="shared" ref="AF136" si="174">SUM(AD136:AE136)</f>
        <v>59.77</v>
      </c>
      <c r="AH136" s="89">
        <f t="shared" si="82"/>
        <v>-0.37480027391006621</v>
      </c>
      <c r="AI136" s="89">
        <f t="shared" si="83"/>
        <v>-0.26566416040100249</v>
      </c>
      <c r="AJ136" s="89">
        <f t="shared" si="84"/>
        <v>-0.34565835703530201</v>
      </c>
    </row>
    <row r="137" spans="1:36" x14ac:dyDescent="0.3">
      <c r="A137" s="17" t="s">
        <v>289</v>
      </c>
      <c r="B137" s="11" t="s">
        <v>290</v>
      </c>
      <c r="C137" s="12">
        <f t="shared" si="148"/>
        <v>1</v>
      </c>
      <c r="D137" s="41" t="str">
        <f t="shared" si="149"/>
        <v>m²</v>
      </c>
      <c r="E137" s="41">
        <v>25.51</v>
      </c>
      <c r="F137" s="41">
        <v>11.72</v>
      </c>
      <c r="G137" s="41">
        <f t="shared" si="101"/>
        <v>37.230000000000004</v>
      </c>
      <c r="H137" s="13">
        <f t="shared" si="150"/>
        <v>25.51</v>
      </c>
      <c r="I137" s="13">
        <f t="shared" si="151"/>
        <v>11.72</v>
      </c>
      <c r="J137" s="14">
        <f t="shared" si="104"/>
        <v>37.230000000000004</v>
      </c>
      <c r="M137" s="54"/>
      <c r="N137" s="56"/>
      <c r="V137" s="74">
        <v>1</v>
      </c>
      <c r="W137" s="74" t="s">
        <v>60</v>
      </c>
      <c r="X137" s="13">
        <v>31.27</v>
      </c>
      <c r="Y137" s="13">
        <v>12.39</v>
      </c>
      <c r="Z137" s="13">
        <f t="shared" si="152"/>
        <v>43.66</v>
      </c>
      <c r="AB137" s="74">
        <v>1</v>
      </c>
      <c r="AC137" s="74" t="s">
        <v>60</v>
      </c>
      <c r="AD137" s="13">
        <v>40.28</v>
      </c>
      <c r="AE137" s="13">
        <v>15.96</v>
      </c>
      <c r="AF137" s="13">
        <f t="shared" ref="AF137" si="175">SUM(AD137:AE137)</f>
        <v>56.24</v>
      </c>
      <c r="AH137" s="89">
        <f t="shared" si="82"/>
        <v>-0.36668321747765642</v>
      </c>
      <c r="AI137" s="89">
        <f t="shared" si="83"/>
        <v>-0.26566416040100249</v>
      </c>
      <c r="AJ137" s="89">
        <f t="shared" si="84"/>
        <v>-0.3380156472261735</v>
      </c>
    </row>
    <row r="138" spans="1:36" x14ac:dyDescent="0.3">
      <c r="A138" s="15">
        <v>13</v>
      </c>
      <c r="B138" s="16" t="s">
        <v>291</v>
      </c>
      <c r="C138" s="76"/>
      <c r="D138" s="58"/>
      <c r="E138" s="58">
        <v>0</v>
      </c>
      <c r="F138" s="58">
        <v>0</v>
      </c>
      <c r="G138" s="58"/>
      <c r="H138" s="24">
        <f t="shared" ref="H138:I138" si="176">SUM(H139:H160)</f>
        <v>94233.37</v>
      </c>
      <c r="I138" s="24">
        <f t="shared" si="176"/>
        <v>90420.309999999983</v>
      </c>
      <c r="J138" s="24">
        <f>SUM(J139:J160)</f>
        <v>184653.68000000002</v>
      </c>
      <c r="M138" s="54"/>
      <c r="N138" s="56"/>
      <c r="V138" s="75"/>
      <c r="W138" s="75"/>
      <c r="X138" s="23"/>
      <c r="Y138" s="23"/>
      <c r="Z138" s="23"/>
      <c r="AB138" s="75"/>
      <c r="AC138" s="75"/>
      <c r="AD138" s="23"/>
      <c r="AE138" s="23"/>
      <c r="AF138" s="23"/>
      <c r="AH138" s="89">
        <f t="shared" si="82"/>
        <v>0</v>
      </c>
      <c r="AI138" s="89">
        <f t="shared" si="83"/>
        <v>0</v>
      </c>
      <c r="AJ138" s="89">
        <f t="shared" si="84"/>
        <v>0</v>
      </c>
    </row>
    <row r="139" spans="1:36" x14ac:dyDescent="0.3">
      <c r="A139" s="17" t="s">
        <v>292</v>
      </c>
      <c r="B139" s="11" t="s">
        <v>293</v>
      </c>
      <c r="C139" s="12">
        <f t="shared" ref="C139:C160" si="177">V139</f>
        <v>144</v>
      </c>
      <c r="D139" s="41" t="str">
        <f t="shared" ref="D139:D160" si="178">W139</f>
        <v>un</v>
      </c>
      <c r="E139" s="41">
        <v>117.81</v>
      </c>
      <c r="F139" s="41">
        <v>110.86</v>
      </c>
      <c r="G139" s="41">
        <f t="shared" si="101"/>
        <v>228.67000000000002</v>
      </c>
      <c r="H139" s="13">
        <f t="shared" ref="H139:H160" si="179">C139*E139</f>
        <v>16964.64</v>
      </c>
      <c r="I139" s="13">
        <f t="shared" ref="I139:I160" si="180">C139*F139</f>
        <v>15963.84</v>
      </c>
      <c r="J139" s="14">
        <f t="shared" si="104"/>
        <v>32928.480000000003</v>
      </c>
      <c r="M139" s="54"/>
      <c r="N139" s="56"/>
      <c r="V139" s="74">
        <v>144</v>
      </c>
      <c r="W139" s="74" t="s">
        <v>110</v>
      </c>
      <c r="X139" s="13">
        <v>142.57</v>
      </c>
      <c r="Y139" s="13">
        <v>116.13</v>
      </c>
      <c r="Z139" s="13">
        <f t="shared" ref="Z139:Z160" si="181">SUM(X139:Y139)</f>
        <v>258.7</v>
      </c>
      <c r="AB139" s="74">
        <v>144</v>
      </c>
      <c r="AC139" s="74" t="s">
        <v>110</v>
      </c>
      <c r="AD139" s="13">
        <v>183.66</v>
      </c>
      <c r="AE139" s="13">
        <v>149.6</v>
      </c>
      <c r="AF139" s="13">
        <f t="shared" ref="AF139:AF155" si="182">SUM(AD139:AE139)</f>
        <v>333.26</v>
      </c>
      <c r="AH139" s="89">
        <f t="shared" si="82"/>
        <v>-0.3585429598170532</v>
      </c>
      <c r="AI139" s="89">
        <f t="shared" si="83"/>
        <v>-0.25895721925133686</v>
      </c>
      <c r="AJ139" s="89">
        <f t="shared" si="84"/>
        <v>-0.31383904458980971</v>
      </c>
    </row>
    <row r="140" spans="1:36" x14ac:dyDescent="0.3">
      <c r="A140" s="17" t="s">
        <v>294</v>
      </c>
      <c r="B140" s="11" t="s">
        <v>295</v>
      </c>
      <c r="C140" s="12">
        <f t="shared" si="177"/>
        <v>18</v>
      </c>
      <c r="D140" s="41" t="str">
        <f t="shared" si="178"/>
        <v>un</v>
      </c>
      <c r="E140" s="41">
        <v>180.95</v>
      </c>
      <c r="F140" s="41">
        <v>54.45</v>
      </c>
      <c r="G140" s="41">
        <f t="shared" si="101"/>
        <v>235.39999999999998</v>
      </c>
      <c r="H140" s="13">
        <f t="shared" si="179"/>
        <v>3257.1</v>
      </c>
      <c r="I140" s="13">
        <f t="shared" si="180"/>
        <v>980.1</v>
      </c>
      <c r="J140" s="14">
        <f t="shared" si="104"/>
        <v>4237.2</v>
      </c>
      <c r="M140" s="54"/>
      <c r="N140" s="56"/>
      <c r="V140" s="74">
        <v>18</v>
      </c>
      <c r="W140" s="74" t="s">
        <v>110</v>
      </c>
      <c r="X140" s="13">
        <v>207.85</v>
      </c>
      <c r="Y140" s="13">
        <v>57.08</v>
      </c>
      <c r="Z140" s="13">
        <f t="shared" si="181"/>
        <v>264.93</v>
      </c>
      <c r="AB140" s="74">
        <v>18</v>
      </c>
      <c r="AC140" s="74" t="s">
        <v>110</v>
      </c>
      <c r="AD140" s="13">
        <v>267.75</v>
      </c>
      <c r="AE140" s="13">
        <v>73.53</v>
      </c>
      <c r="AF140" s="13">
        <f t="shared" si="182"/>
        <v>341.28</v>
      </c>
      <c r="AH140" s="89">
        <f t="shared" si="82"/>
        <v>-0.32418300653594778</v>
      </c>
      <c r="AI140" s="89">
        <f t="shared" si="83"/>
        <v>-0.25948592411260707</v>
      </c>
      <c r="AJ140" s="89">
        <f t="shared" si="84"/>
        <v>-0.31024378809188935</v>
      </c>
    </row>
    <row r="141" spans="1:36" x14ac:dyDescent="0.3">
      <c r="A141" s="17" t="s">
        <v>296</v>
      </c>
      <c r="B141" s="11" t="s">
        <v>297</v>
      </c>
      <c r="C141" s="12">
        <f t="shared" si="177"/>
        <v>24</v>
      </c>
      <c r="D141" s="41" t="str">
        <f t="shared" si="178"/>
        <v>un</v>
      </c>
      <c r="E141" s="41">
        <v>247.91</v>
      </c>
      <c r="F141" s="41">
        <v>59.11</v>
      </c>
      <c r="G141" s="41">
        <f t="shared" si="101"/>
        <v>307.02</v>
      </c>
      <c r="H141" s="13">
        <f t="shared" si="179"/>
        <v>5949.84</v>
      </c>
      <c r="I141" s="13">
        <f t="shared" si="180"/>
        <v>1418.6399999999999</v>
      </c>
      <c r="J141" s="14">
        <f t="shared" si="104"/>
        <v>7368.48</v>
      </c>
      <c r="M141" s="54"/>
      <c r="N141" s="56"/>
      <c r="V141" s="74">
        <v>24</v>
      </c>
      <c r="W141" s="74" t="s">
        <v>110</v>
      </c>
      <c r="X141" s="13">
        <v>284.79000000000002</v>
      </c>
      <c r="Y141" s="13">
        <v>61.95</v>
      </c>
      <c r="Z141" s="13">
        <f t="shared" si="181"/>
        <v>346.74</v>
      </c>
      <c r="AB141" s="74">
        <v>24</v>
      </c>
      <c r="AC141" s="74" t="s">
        <v>110</v>
      </c>
      <c r="AD141" s="13">
        <v>366.87</v>
      </c>
      <c r="AE141" s="13">
        <v>79.8</v>
      </c>
      <c r="AF141" s="13">
        <f t="shared" si="182"/>
        <v>446.67</v>
      </c>
      <c r="AH141" s="89">
        <f t="shared" si="82"/>
        <v>-0.32425654864120812</v>
      </c>
      <c r="AI141" s="89">
        <f t="shared" si="83"/>
        <v>-0.25927318295739343</v>
      </c>
      <c r="AJ141" s="89">
        <f t="shared" si="84"/>
        <v>-0.31264692054536913</v>
      </c>
    </row>
    <row r="142" spans="1:36" x14ac:dyDescent="0.3">
      <c r="A142" s="17" t="s">
        <v>298</v>
      </c>
      <c r="B142" s="18" t="s">
        <v>299</v>
      </c>
      <c r="C142" s="12">
        <f t="shared" si="177"/>
        <v>476</v>
      </c>
      <c r="D142" s="41" t="str">
        <f t="shared" si="178"/>
        <v>m²</v>
      </c>
      <c r="E142" s="41">
        <v>0</v>
      </c>
      <c r="F142" s="41">
        <v>13.54</v>
      </c>
      <c r="G142" s="41">
        <f t="shared" si="101"/>
        <v>13.54</v>
      </c>
      <c r="H142" s="13">
        <f t="shared" si="179"/>
        <v>0</v>
      </c>
      <c r="I142" s="13">
        <f t="shared" si="180"/>
        <v>6445.04</v>
      </c>
      <c r="J142" s="14">
        <f t="shared" si="104"/>
        <v>6445.04</v>
      </c>
      <c r="M142" s="54"/>
      <c r="N142" s="56"/>
      <c r="V142" s="74">
        <v>476</v>
      </c>
      <c r="W142" s="74" t="s">
        <v>60</v>
      </c>
      <c r="X142" s="13">
        <v>0</v>
      </c>
      <c r="Y142" s="13">
        <v>14.52</v>
      </c>
      <c r="Z142" s="13">
        <f t="shared" si="181"/>
        <v>14.52</v>
      </c>
      <c r="AB142" s="74">
        <v>476</v>
      </c>
      <c r="AC142" s="74" t="s">
        <v>60</v>
      </c>
      <c r="AD142" s="13">
        <v>0</v>
      </c>
      <c r="AE142" s="13">
        <v>18.7</v>
      </c>
      <c r="AF142" s="13">
        <f t="shared" si="182"/>
        <v>18.7</v>
      </c>
      <c r="AH142" s="89">
        <f t="shared" si="82"/>
        <v>0</v>
      </c>
      <c r="AI142" s="89">
        <f t="shared" si="83"/>
        <v>-0.27593582887700541</v>
      </c>
      <c r="AJ142" s="89">
        <f t="shared" si="84"/>
        <v>-0.27593582887700541</v>
      </c>
    </row>
    <row r="143" spans="1:36" x14ac:dyDescent="0.3">
      <c r="A143" s="17" t="s">
        <v>300</v>
      </c>
      <c r="B143" s="11" t="s">
        <v>301</v>
      </c>
      <c r="C143" s="12">
        <f t="shared" si="177"/>
        <v>63</v>
      </c>
      <c r="D143" s="41" t="str">
        <f t="shared" si="178"/>
        <v>un</v>
      </c>
      <c r="E143" s="41">
        <v>0</v>
      </c>
      <c r="F143" s="41">
        <v>38.799999999999997</v>
      </c>
      <c r="G143" s="41">
        <f t="shared" si="101"/>
        <v>38.799999999999997</v>
      </c>
      <c r="H143" s="13">
        <f t="shared" si="179"/>
        <v>0</v>
      </c>
      <c r="I143" s="13">
        <f t="shared" si="180"/>
        <v>2444.3999999999996</v>
      </c>
      <c r="J143" s="14">
        <f t="shared" si="104"/>
        <v>2444.3999999999996</v>
      </c>
      <c r="M143" s="54"/>
      <c r="N143" s="56"/>
      <c r="V143" s="74">
        <v>63</v>
      </c>
      <c r="W143" s="74" t="s">
        <v>110</v>
      </c>
      <c r="X143" s="13">
        <v>0</v>
      </c>
      <c r="Y143" s="13">
        <v>40.729999999999997</v>
      </c>
      <c r="Z143" s="13">
        <f t="shared" si="181"/>
        <v>40.729999999999997</v>
      </c>
      <c r="AB143" s="74">
        <v>63</v>
      </c>
      <c r="AC143" s="74" t="s">
        <v>110</v>
      </c>
      <c r="AD143" s="13">
        <v>0</v>
      </c>
      <c r="AE143" s="13">
        <v>52.47</v>
      </c>
      <c r="AF143" s="13">
        <f t="shared" si="182"/>
        <v>52.47</v>
      </c>
      <c r="AH143" s="89">
        <f t="shared" si="82"/>
        <v>0</v>
      </c>
      <c r="AI143" s="89">
        <f t="shared" si="83"/>
        <v>-0.26052982656756241</v>
      </c>
      <c r="AJ143" s="89">
        <f t="shared" si="84"/>
        <v>-0.26052982656756241</v>
      </c>
    </row>
    <row r="144" spans="1:36" x14ac:dyDescent="0.3">
      <c r="A144" s="17" t="s">
        <v>302</v>
      </c>
      <c r="B144" s="11" t="s">
        <v>303</v>
      </c>
      <c r="C144" s="12">
        <f t="shared" si="177"/>
        <v>45</v>
      </c>
      <c r="D144" s="41" t="str">
        <f t="shared" si="178"/>
        <v>un</v>
      </c>
      <c r="E144" s="41">
        <v>0</v>
      </c>
      <c r="F144" s="41">
        <v>43.11</v>
      </c>
      <c r="G144" s="41">
        <f t="shared" si="101"/>
        <v>43.11</v>
      </c>
      <c r="H144" s="13">
        <f t="shared" si="179"/>
        <v>0</v>
      </c>
      <c r="I144" s="13">
        <f t="shared" si="180"/>
        <v>1939.95</v>
      </c>
      <c r="J144" s="14">
        <f t="shared" si="104"/>
        <v>1939.95</v>
      </c>
      <c r="M144" s="54"/>
      <c r="N144" s="56"/>
      <c r="V144" s="74">
        <v>45</v>
      </c>
      <c r="W144" s="74" t="s">
        <v>110</v>
      </c>
      <c r="X144" s="13">
        <v>0</v>
      </c>
      <c r="Y144" s="13">
        <v>45.25</v>
      </c>
      <c r="Z144" s="13">
        <f t="shared" si="181"/>
        <v>45.25</v>
      </c>
      <c r="AB144" s="74">
        <v>45</v>
      </c>
      <c r="AC144" s="74" t="s">
        <v>110</v>
      </c>
      <c r="AD144" s="13">
        <v>0</v>
      </c>
      <c r="AE144" s="13">
        <v>58.29</v>
      </c>
      <c r="AF144" s="13">
        <f t="shared" si="182"/>
        <v>58.29</v>
      </c>
      <c r="AH144" s="89">
        <f t="shared" si="82"/>
        <v>0</v>
      </c>
      <c r="AI144" s="89">
        <f t="shared" si="83"/>
        <v>-0.26042202779207413</v>
      </c>
      <c r="AJ144" s="89">
        <f t="shared" si="84"/>
        <v>-0.26042202779207413</v>
      </c>
    </row>
    <row r="145" spans="1:36" x14ac:dyDescent="0.3">
      <c r="A145" s="17" t="s">
        <v>304</v>
      </c>
      <c r="B145" s="11" t="s">
        <v>305</v>
      </c>
      <c r="C145" s="12">
        <f t="shared" si="177"/>
        <v>65</v>
      </c>
      <c r="D145" s="41" t="str">
        <f t="shared" si="178"/>
        <v>m²</v>
      </c>
      <c r="E145" s="41">
        <v>0.81</v>
      </c>
      <c r="F145" s="41">
        <v>11.14</v>
      </c>
      <c r="G145" s="41">
        <f t="shared" si="101"/>
        <v>11.950000000000001</v>
      </c>
      <c r="H145" s="13">
        <f t="shared" si="179"/>
        <v>52.650000000000006</v>
      </c>
      <c r="I145" s="13">
        <f t="shared" si="180"/>
        <v>724.1</v>
      </c>
      <c r="J145" s="14">
        <f t="shared" si="104"/>
        <v>776.75000000000011</v>
      </c>
      <c r="M145" s="54"/>
      <c r="N145" s="56"/>
      <c r="V145" s="74">
        <v>65</v>
      </c>
      <c r="W145" s="74" t="s">
        <v>60</v>
      </c>
      <c r="X145" s="13">
        <v>0.9</v>
      </c>
      <c r="Y145" s="13">
        <v>11.71</v>
      </c>
      <c r="Z145" s="13">
        <f t="shared" si="181"/>
        <v>12.610000000000001</v>
      </c>
      <c r="AB145" s="74">
        <v>65</v>
      </c>
      <c r="AC145" s="74" t="s">
        <v>60</v>
      </c>
      <c r="AD145" s="13">
        <v>1.1599999999999999</v>
      </c>
      <c r="AE145" s="13">
        <v>15.08</v>
      </c>
      <c r="AF145" s="13">
        <f t="shared" si="182"/>
        <v>16.239999999999998</v>
      </c>
      <c r="AH145" s="89">
        <f t="shared" si="82"/>
        <v>-0.30172413793103436</v>
      </c>
      <c r="AI145" s="89">
        <f t="shared" si="83"/>
        <v>-0.26127320954907163</v>
      </c>
      <c r="AJ145" s="89">
        <f t="shared" si="84"/>
        <v>-0.26416256157635454</v>
      </c>
    </row>
    <row r="146" spans="1:36" x14ac:dyDescent="0.3">
      <c r="A146" s="17" t="s">
        <v>306</v>
      </c>
      <c r="B146" s="11" t="s">
        <v>307</v>
      </c>
      <c r="C146" s="12">
        <f t="shared" si="177"/>
        <v>174</v>
      </c>
      <c r="D146" s="41" t="str">
        <f t="shared" si="178"/>
        <v xml:space="preserve">un </v>
      </c>
      <c r="E146" s="41">
        <v>3.98</v>
      </c>
      <c r="F146" s="41">
        <v>44.56</v>
      </c>
      <c r="G146" s="41">
        <f t="shared" si="101"/>
        <v>48.54</v>
      </c>
      <c r="H146" s="13">
        <f t="shared" si="179"/>
        <v>692.52</v>
      </c>
      <c r="I146" s="13">
        <f t="shared" si="180"/>
        <v>7753.4400000000005</v>
      </c>
      <c r="J146" s="14">
        <f t="shared" si="104"/>
        <v>8445.9599999999991</v>
      </c>
      <c r="M146" s="54"/>
      <c r="N146" s="56"/>
      <c r="V146" s="74">
        <v>174</v>
      </c>
      <c r="W146" s="74" t="s">
        <v>30</v>
      </c>
      <c r="X146" s="13">
        <v>8.69</v>
      </c>
      <c r="Y146" s="13">
        <v>46.85</v>
      </c>
      <c r="Z146" s="13">
        <f t="shared" si="181"/>
        <v>55.54</v>
      </c>
      <c r="AB146" s="74">
        <v>174</v>
      </c>
      <c r="AC146" s="74" t="s">
        <v>30</v>
      </c>
      <c r="AD146" s="13">
        <v>11.19</v>
      </c>
      <c r="AE146" s="13">
        <v>60.35</v>
      </c>
      <c r="AF146" s="13">
        <f t="shared" si="182"/>
        <v>71.540000000000006</v>
      </c>
      <c r="AH146" s="89">
        <f t="shared" ref="AH146:AH210" si="183">IF(E146=0,0,(E146/AD146)-1)</f>
        <v>-0.64432529043789089</v>
      </c>
      <c r="AI146" s="89">
        <f t="shared" si="83"/>
        <v>-0.26164043082021538</v>
      </c>
      <c r="AJ146" s="89">
        <f t="shared" si="84"/>
        <v>-0.3214984623986582</v>
      </c>
    </row>
    <row r="147" spans="1:36" x14ac:dyDescent="0.3">
      <c r="A147" s="17" t="s">
        <v>308</v>
      </c>
      <c r="B147" s="18" t="s">
        <v>309</v>
      </c>
      <c r="C147" s="12">
        <f t="shared" si="177"/>
        <v>57</v>
      </c>
      <c r="D147" s="41" t="str">
        <f t="shared" si="178"/>
        <v>un</v>
      </c>
      <c r="E147" s="41">
        <v>0.81</v>
      </c>
      <c r="F147" s="41">
        <v>64.67</v>
      </c>
      <c r="G147" s="41">
        <f t="shared" si="101"/>
        <v>65.48</v>
      </c>
      <c r="H147" s="13">
        <f t="shared" si="179"/>
        <v>46.17</v>
      </c>
      <c r="I147" s="13">
        <f t="shared" si="180"/>
        <v>3686.19</v>
      </c>
      <c r="J147" s="14">
        <f t="shared" si="104"/>
        <v>3732.36</v>
      </c>
      <c r="M147" s="54"/>
      <c r="N147" s="55"/>
      <c r="V147" s="74">
        <v>57</v>
      </c>
      <c r="W147" s="74" t="s">
        <v>110</v>
      </c>
      <c r="X147" s="13">
        <v>0.9</v>
      </c>
      <c r="Y147" s="13">
        <v>67.88</v>
      </c>
      <c r="Z147" s="13">
        <f t="shared" si="181"/>
        <v>68.78</v>
      </c>
      <c r="AB147" s="74">
        <v>57</v>
      </c>
      <c r="AC147" s="74" t="s">
        <v>110</v>
      </c>
      <c r="AD147" s="13">
        <v>1.1599999999999999</v>
      </c>
      <c r="AE147" s="13">
        <v>87.44</v>
      </c>
      <c r="AF147" s="13">
        <f t="shared" si="182"/>
        <v>88.6</v>
      </c>
      <c r="AH147" s="89">
        <f t="shared" si="183"/>
        <v>-0.30172413793103436</v>
      </c>
      <c r="AI147" s="89">
        <f t="shared" ref="AI147:AI211" si="184">IF(F147=0,0,(F147/AE147)-1)</f>
        <v>-0.26040713632204937</v>
      </c>
      <c r="AJ147" s="89">
        <f t="shared" ref="AJ147:AJ211" si="185">IF(G147=0,0,(G147/AF147)-1)</f>
        <v>-0.26094808126410829</v>
      </c>
    </row>
    <row r="148" spans="1:36" x14ac:dyDescent="0.3">
      <c r="A148" s="17" t="s">
        <v>310</v>
      </c>
      <c r="B148" s="18" t="s">
        <v>311</v>
      </c>
      <c r="C148" s="12">
        <f t="shared" si="177"/>
        <v>1</v>
      </c>
      <c r="D148" s="41" t="str">
        <f t="shared" si="178"/>
        <v>m²</v>
      </c>
      <c r="E148" s="41">
        <v>1.1200000000000001</v>
      </c>
      <c r="F148" s="41">
        <v>49.84</v>
      </c>
      <c r="G148" s="41">
        <f t="shared" si="101"/>
        <v>50.96</v>
      </c>
      <c r="H148" s="13">
        <f t="shared" si="179"/>
        <v>1.1200000000000001</v>
      </c>
      <c r="I148" s="13">
        <f t="shared" si="180"/>
        <v>49.84</v>
      </c>
      <c r="J148" s="14">
        <f t="shared" si="104"/>
        <v>50.96</v>
      </c>
      <c r="M148" s="54"/>
      <c r="N148" s="56"/>
      <c r="V148" s="74">
        <v>1</v>
      </c>
      <c r="W148" s="74" t="s">
        <v>60</v>
      </c>
      <c r="X148" s="13">
        <v>1.51</v>
      </c>
      <c r="Y148" s="13">
        <v>52.48</v>
      </c>
      <c r="Z148" s="13">
        <f t="shared" si="181"/>
        <v>53.989999999999995</v>
      </c>
      <c r="AB148" s="74">
        <v>1</v>
      </c>
      <c r="AC148" s="74" t="s">
        <v>60</v>
      </c>
      <c r="AD148" s="13">
        <v>1.95</v>
      </c>
      <c r="AE148" s="13">
        <v>67.599999999999994</v>
      </c>
      <c r="AF148" s="13">
        <f t="shared" si="182"/>
        <v>69.55</v>
      </c>
      <c r="AH148" s="89">
        <f t="shared" si="183"/>
        <v>-0.42564102564102557</v>
      </c>
      <c r="AI148" s="89">
        <f t="shared" si="184"/>
        <v>-0.26272189349112418</v>
      </c>
      <c r="AJ148" s="89">
        <f t="shared" si="185"/>
        <v>-0.26728971962616821</v>
      </c>
    </row>
    <row r="149" spans="1:36" x14ac:dyDescent="0.3">
      <c r="A149" s="17" t="s">
        <v>312</v>
      </c>
      <c r="B149" s="11" t="s">
        <v>313</v>
      </c>
      <c r="C149" s="12">
        <f t="shared" si="177"/>
        <v>48</v>
      </c>
      <c r="D149" s="41" t="str">
        <f t="shared" si="178"/>
        <v>un</v>
      </c>
      <c r="E149" s="41">
        <v>0.97</v>
      </c>
      <c r="F149" s="41">
        <v>64.67</v>
      </c>
      <c r="G149" s="41">
        <f t="shared" si="101"/>
        <v>65.64</v>
      </c>
      <c r="H149" s="13">
        <f t="shared" si="179"/>
        <v>46.56</v>
      </c>
      <c r="I149" s="13">
        <f t="shared" si="180"/>
        <v>3104.16</v>
      </c>
      <c r="J149" s="14">
        <f t="shared" si="104"/>
        <v>3150.7200000000003</v>
      </c>
      <c r="M149" s="54"/>
      <c r="N149" s="56"/>
      <c r="V149" s="74">
        <v>48</v>
      </c>
      <c r="W149" s="74" t="s">
        <v>110</v>
      </c>
      <c r="X149" s="13">
        <v>1.08</v>
      </c>
      <c r="Y149" s="13">
        <v>67.88</v>
      </c>
      <c r="Z149" s="13">
        <f t="shared" si="181"/>
        <v>68.959999999999994</v>
      </c>
      <c r="AB149" s="74">
        <v>48</v>
      </c>
      <c r="AC149" s="74" t="s">
        <v>110</v>
      </c>
      <c r="AD149" s="13">
        <v>1.39</v>
      </c>
      <c r="AE149" s="13">
        <v>87.44</v>
      </c>
      <c r="AF149" s="13">
        <f t="shared" si="182"/>
        <v>88.83</v>
      </c>
      <c r="AH149" s="89">
        <f t="shared" si="183"/>
        <v>-0.30215827338129497</v>
      </c>
      <c r="AI149" s="89">
        <f t="shared" si="184"/>
        <v>-0.26040713632204937</v>
      </c>
      <c r="AJ149" s="89">
        <f t="shared" si="185"/>
        <v>-0.26106045254981425</v>
      </c>
    </row>
    <row r="150" spans="1:36" x14ac:dyDescent="0.3">
      <c r="A150" s="17" t="s">
        <v>314</v>
      </c>
      <c r="B150" s="11" t="s">
        <v>315</v>
      </c>
      <c r="C150" s="12">
        <f t="shared" si="177"/>
        <v>3921</v>
      </c>
      <c r="D150" s="41" t="str">
        <f t="shared" si="178"/>
        <v>un</v>
      </c>
      <c r="E150" s="41">
        <v>1.97</v>
      </c>
      <c r="F150" s="41">
        <v>7.18</v>
      </c>
      <c r="G150" s="41">
        <f t="shared" si="101"/>
        <v>9.15</v>
      </c>
      <c r="H150" s="13">
        <f t="shared" si="179"/>
        <v>7724.37</v>
      </c>
      <c r="I150" s="13">
        <f t="shared" si="180"/>
        <v>28152.78</v>
      </c>
      <c r="J150" s="14">
        <f t="shared" si="104"/>
        <v>35877.15</v>
      </c>
      <c r="M150" s="54"/>
      <c r="N150" s="56"/>
      <c r="V150" s="74">
        <v>3921</v>
      </c>
      <c r="W150" s="74" t="s">
        <v>110</v>
      </c>
      <c r="X150" s="13">
        <v>2.17</v>
      </c>
      <c r="Y150" s="13">
        <v>7.62</v>
      </c>
      <c r="Z150" s="13">
        <f t="shared" si="181"/>
        <v>9.7899999999999991</v>
      </c>
      <c r="AB150" s="74">
        <v>3921</v>
      </c>
      <c r="AC150" s="74" t="s">
        <v>110</v>
      </c>
      <c r="AD150" s="13">
        <v>2.8</v>
      </c>
      <c r="AE150" s="13">
        <v>9.82</v>
      </c>
      <c r="AF150" s="13">
        <f t="shared" si="182"/>
        <v>12.620000000000001</v>
      </c>
      <c r="AH150" s="89">
        <f t="shared" si="183"/>
        <v>-0.29642857142857137</v>
      </c>
      <c r="AI150" s="89">
        <f t="shared" si="184"/>
        <v>-0.26883910386965382</v>
      </c>
      <c r="AJ150" s="89">
        <f t="shared" si="185"/>
        <v>-0.274960380348653</v>
      </c>
    </row>
    <row r="151" spans="1:36" x14ac:dyDescent="0.3">
      <c r="A151" s="17" t="s">
        <v>316</v>
      </c>
      <c r="B151" s="11" t="s">
        <v>317</v>
      </c>
      <c r="C151" s="12">
        <f t="shared" si="177"/>
        <v>11</v>
      </c>
      <c r="D151" s="41" t="str">
        <f t="shared" si="178"/>
        <v>m²</v>
      </c>
      <c r="E151" s="41">
        <v>299.25</v>
      </c>
      <c r="F151" s="41">
        <v>208.36</v>
      </c>
      <c r="G151" s="41">
        <f t="shared" si="101"/>
        <v>507.61</v>
      </c>
      <c r="H151" s="13">
        <f t="shared" si="179"/>
        <v>3291.75</v>
      </c>
      <c r="I151" s="13">
        <f t="shared" si="180"/>
        <v>2291.96</v>
      </c>
      <c r="J151" s="14">
        <f t="shared" si="104"/>
        <v>5583.71</v>
      </c>
      <c r="M151" s="54"/>
      <c r="N151" s="56"/>
      <c r="V151" s="74">
        <v>11</v>
      </c>
      <c r="W151" s="74" t="s">
        <v>60</v>
      </c>
      <c r="X151" s="13">
        <v>432.18</v>
      </c>
      <c r="Y151" s="13">
        <v>219.4</v>
      </c>
      <c r="Z151" s="13">
        <f t="shared" si="181"/>
        <v>651.58000000000004</v>
      </c>
      <c r="AB151" s="74">
        <v>11</v>
      </c>
      <c r="AC151" s="74" t="s">
        <v>60</v>
      </c>
      <c r="AD151" s="13">
        <v>556.73</v>
      </c>
      <c r="AE151" s="13">
        <v>282.63</v>
      </c>
      <c r="AF151" s="13">
        <f t="shared" si="182"/>
        <v>839.36</v>
      </c>
      <c r="AH151" s="89">
        <f t="shared" si="183"/>
        <v>-0.46248630395344248</v>
      </c>
      <c r="AI151" s="89">
        <f t="shared" si="184"/>
        <v>-0.26278172876198558</v>
      </c>
      <c r="AJ151" s="89">
        <f t="shared" si="185"/>
        <v>-0.39524161265726265</v>
      </c>
    </row>
    <row r="152" spans="1:36" x14ac:dyDescent="0.3">
      <c r="A152" s="17" t="s">
        <v>318</v>
      </c>
      <c r="B152" s="11" t="s">
        <v>319</v>
      </c>
      <c r="C152" s="12">
        <f t="shared" si="177"/>
        <v>36</v>
      </c>
      <c r="D152" s="41" t="str">
        <f t="shared" si="178"/>
        <v>un</v>
      </c>
      <c r="E152" s="41">
        <v>14.48</v>
      </c>
      <c r="F152" s="41">
        <v>62.51</v>
      </c>
      <c r="G152" s="41">
        <f t="shared" si="101"/>
        <v>76.989999999999995</v>
      </c>
      <c r="H152" s="13">
        <f t="shared" si="179"/>
        <v>521.28</v>
      </c>
      <c r="I152" s="13">
        <f t="shared" si="180"/>
        <v>2250.36</v>
      </c>
      <c r="J152" s="14">
        <f t="shared" si="104"/>
        <v>2771.64</v>
      </c>
      <c r="M152" s="54"/>
      <c r="N152" s="56"/>
      <c r="V152" s="74">
        <v>36</v>
      </c>
      <c r="W152" s="74" t="s">
        <v>110</v>
      </c>
      <c r="X152" s="13">
        <v>18.68</v>
      </c>
      <c r="Y152" s="13">
        <v>65.819999999999993</v>
      </c>
      <c r="Z152" s="13">
        <f t="shared" si="181"/>
        <v>84.5</v>
      </c>
      <c r="AB152" s="74">
        <v>36</v>
      </c>
      <c r="AC152" s="74" t="s">
        <v>110</v>
      </c>
      <c r="AD152" s="13">
        <v>24.06</v>
      </c>
      <c r="AE152" s="13">
        <v>84.79</v>
      </c>
      <c r="AF152" s="13">
        <f t="shared" si="182"/>
        <v>108.85000000000001</v>
      </c>
      <c r="AH152" s="89">
        <f t="shared" si="183"/>
        <v>-0.39817123857024106</v>
      </c>
      <c r="AI152" s="89">
        <f t="shared" si="184"/>
        <v>-0.26276683571175852</v>
      </c>
      <c r="AJ152" s="89">
        <f t="shared" si="185"/>
        <v>-0.29269637115296288</v>
      </c>
    </row>
    <row r="153" spans="1:36" x14ac:dyDescent="0.3">
      <c r="A153" s="17" t="s">
        <v>320</v>
      </c>
      <c r="B153" s="11" t="s">
        <v>321</v>
      </c>
      <c r="C153" s="12">
        <f t="shared" si="177"/>
        <v>42</v>
      </c>
      <c r="D153" s="41" t="str">
        <f t="shared" si="178"/>
        <v>un</v>
      </c>
      <c r="E153" s="41">
        <v>2.8</v>
      </c>
      <c r="F153" s="41">
        <v>18.04</v>
      </c>
      <c r="G153" s="41">
        <f t="shared" si="101"/>
        <v>20.84</v>
      </c>
      <c r="H153" s="13">
        <f t="shared" si="179"/>
        <v>117.6</v>
      </c>
      <c r="I153" s="13">
        <f t="shared" si="180"/>
        <v>757.68</v>
      </c>
      <c r="J153" s="14">
        <f t="shared" si="104"/>
        <v>875.28</v>
      </c>
      <c r="M153" s="54"/>
      <c r="N153" s="56"/>
      <c r="V153" s="74">
        <v>42</v>
      </c>
      <c r="W153" s="74" t="s">
        <v>110</v>
      </c>
      <c r="X153" s="13">
        <v>2.92</v>
      </c>
      <c r="Y153" s="13">
        <v>19.010000000000002</v>
      </c>
      <c r="Z153" s="13">
        <f t="shared" si="181"/>
        <v>21.93</v>
      </c>
      <c r="AB153" s="74">
        <v>42</v>
      </c>
      <c r="AC153" s="74" t="s">
        <v>110</v>
      </c>
      <c r="AD153" s="13">
        <v>3.76</v>
      </c>
      <c r="AE153" s="13">
        <v>24.49</v>
      </c>
      <c r="AF153" s="13">
        <f t="shared" si="182"/>
        <v>28.25</v>
      </c>
      <c r="AH153" s="89">
        <f t="shared" si="183"/>
        <v>-0.25531914893617025</v>
      </c>
      <c r="AI153" s="89">
        <f t="shared" si="184"/>
        <v>-0.2633728052266231</v>
      </c>
      <c r="AJ153" s="89">
        <f t="shared" si="185"/>
        <v>-0.26230088495575221</v>
      </c>
    </row>
    <row r="154" spans="1:36" x14ac:dyDescent="0.3">
      <c r="A154" s="17" t="s">
        <v>322</v>
      </c>
      <c r="B154" s="11" t="s">
        <v>323</v>
      </c>
      <c r="C154" s="12">
        <f t="shared" si="177"/>
        <v>129</v>
      </c>
      <c r="D154" s="41" t="str">
        <f t="shared" si="178"/>
        <v>m²</v>
      </c>
      <c r="E154" s="41">
        <v>230.93</v>
      </c>
      <c r="F154" s="41">
        <v>20.83</v>
      </c>
      <c r="G154" s="41">
        <f t="shared" si="101"/>
        <v>251.76</v>
      </c>
      <c r="H154" s="13">
        <f t="shared" si="179"/>
        <v>29789.97</v>
      </c>
      <c r="I154" s="13">
        <f t="shared" si="180"/>
        <v>2687.0699999999997</v>
      </c>
      <c r="J154" s="14">
        <f t="shared" si="104"/>
        <v>32477.039999999997</v>
      </c>
      <c r="M154" s="54"/>
      <c r="N154" s="56"/>
      <c r="V154" s="74">
        <v>129</v>
      </c>
      <c r="W154" s="74" t="s">
        <v>60</v>
      </c>
      <c r="X154" s="13">
        <v>255.94</v>
      </c>
      <c r="Y154" s="13">
        <v>21.94</v>
      </c>
      <c r="Z154" s="13">
        <f t="shared" si="181"/>
        <v>277.88</v>
      </c>
      <c r="AB154" s="74">
        <v>129</v>
      </c>
      <c r="AC154" s="74" t="s">
        <v>60</v>
      </c>
      <c r="AD154" s="13">
        <v>329.7</v>
      </c>
      <c r="AE154" s="13">
        <v>28.26</v>
      </c>
      <c r="AF154" s="13">
        <f t="shared" si="182"/>
        <v>357.96</v>
      </c>
      <c r="AH154" s="89">
        <f t="shared" si="183"/>
        <v>-0.29957537154989378</v>
      </c>
      <c r="AI154" s="89">
        <f t="shared" si="184"/>
        <v>-0.26291578202406241</v>
      </c>
      <c r="AJ154" s="89">
        <f t="shared" si="185"/>
        <v>-0.29668119342943344</v>
      </c>
    </row>
    <row r="155" spans="1:36" x14ac:dyDescent="0.3">
      <c r="A155" s="17" t="s">
        <v>324</v>
      </c>
      <c r="B155" s="11" t="s">
        <v>325</v>
      </c>
      <c r="C155" s="12">
        <f t="shared" si="177"/>
        <v>45</v>
      </c>
      <c r="D155" s="41" t="str">
        <f t="shared" si="178"/>
        <v>un</v>
      </c>
      <c r="E155" s="41">
        <v>128.44999999999999</v>
      </c>
      <c r="F155" s="41">
        <v>3.44</v>
      </c>
      <c r="G155" s="41">
        <f t="shared" si="101"/>
        <v>131.88999999999999</v>
      </c>
      <c r="H155" s="13">
        <f t="shared" si="179"/>
        <v>5780.2499999999991</v>
      </c>
      <c r="I155" s="13">
        <f t="shared" si="180"/>
        <v>154.80000000000001</v>
      </c>
      <c r="J155" s="14">
        <f t="shared" si="104"/>
        <v>5935.0499999999993</v>
      </c>
      <c r="M155" s="54"/>
      <c r="N155" s="56"/>
      <c r="V155" s="74">
        <v>45</v>
      </c>
      <c r="W155" s="74" t="s">
        <v>110</v>
      </c>
      <c r="X155" s="13">
        <v>168.04</v>
      </c>
      <c r="Y155" s="13">
        <v>3.65</v>
      </c>
      <c r="Z155" s="13">
        <f t="shared" si="181"/>
        <v>171.69</v>
      </c>
      <c r="AB155" s="74">
        <v>45</v>
      </c>
      <c r="AC155" s="74" t="s">
        <v>110</v>
      </c>
      <c r="AD155" s="13">
        <v>216.47</v>
      </c>
      <c r="AE155" s="13">
        <v>4.7</v>
      </c>
      <c r="AF155" s="13">
        <f t="shared" si="182"/>
        <v>221.17</v>
      </c>
      <c r="AH155" s="89">
        <f t="shared" si="183"/>
        <v>-0.40661523536748745</v>
      </c>
      <c r="AI155" s="89">
        <f t="shared" si="184"/>
        <v>-0.26808510638297878</v>
      </c>
      <c r="AJ155" s="89">
        <f t="shared" si="185"/>
        <v>-0.40367138400325542</v>
      </c>
    </row>
    <row r="156" spans="1:36" x14ac:dyDescent="0.3">
      <c r="A156" s="17" t="s">
        <v>326</v>
      </c>
      <c r="B156" s="11" t="s">
        <v>327</v>
      </c>
      <c r="C156" s="12">
        <f t="shared" ref="C156:C158" si="186">V156</f>
        <v>90</v>
      </c>
      <c r="D156" s="41" t="str">
        <f t="shared" ref="D156:D158" si="187">W156</f>
        <v>m²</v>
      </c>
      <c r="E156" s="41">
        <v>219.18</v>
      </c>
      <c r="F156" s="41">
        <v>104.18</v>
      </c>
      <c r="G156" s="41">
        <f t="shared" ref="G156:G158" si="188">F156+E156</f>
        <v>323.36</v>
      </c>
      <c r="H156" s="13">
        <f t="shared" ref="H156:H158" si="189">C156*E156</f>
        <v>19726.2</v>
      </c>
      <c r="I156" s="13">
        <f t="shared" ref="I156:I158" si="190">C156*F156</f>
        <v>9376.2000000000007</v>
      </c>
      <c r="J156" s="14">
        <f t="shared" ref="J156:J158" si="191">SUM(E156:F156)*C156</f>
        <v>29102.400000000001</v>
      </c>
      <c r="M156" s="54"/>
      <c r="N156" s="56"/>
      <c r="V156" s="74">
        <v>90</v>
      </c>
      <c r="W156" s="74" t="s">
        <v>60</v>
      </c>
      <c r="X156" s="13">
        <v>316.55</v>
      </c>
      <c r="Y156" s="13">
        <v>109.7</v>
      </c>
      <c r="Z156" s="13">
        <f t="shared" ref="Z156:Z157" si="192">SUM(X156:Y156)</f>
        <v>426.25</v>
      </c>
      <c r="AB156" s="74">
        <v>90</v>
      </c>
      <c r="AC156" s="74" t="s">
        <v>60</v>
      </c>
      <c r="AD156" s="13">
        <v>407.78</v>
      </c>
      <c r="AE156" s="13">
        <v>141.32</v>
      </c>
      <c r="AF156" s="13">
        <f t="shared" ref="AF156:AF157" si="193">SUM(AD156:AE156)</f>
        <v>549.09999999999991</v>
      </c>
      <c r="AH156" s="89">
        <f t="shared" si="183"/>
        <v>-0.46250429152974637</v>
      </c>
      <c r="AI156" s="89">
        <f t="shared" si="184"/>
        <v>-0.26280781205774117</v>
      </c>
      <c r="AJ156" s="89">
        <f t="shared" si="185"/>
        <v>-0.41110908759788733</v>
      </c>
    </row>
    <row r="157" spans="1:36" x14ac:dyDescent="0.3">
      <c r="A157" s="17" t="s">
        <v>328</v>
      </c>
      <c r="B157" s="11" t="s">
        <v>329</v>
      </c>
      <c r="C157" s="12">
        <f t="shared" si="186"/>
        <v>1</v>
      </c>
      <c r="D157" s="41" t="str">
        <f t="shared" si="187"/>
        <v>m²</v>
      </c>
      <c r="E157" s="41">
        <v>259.58</v>
      </c>
      <c r="F157" s="41">
        <v>113.53</v>
      </c>
      <c r="G157" s="41">
        <f t="shared" si="188"/>
        <v>373.11</v>
      </c>
      <c r="H157" s="13">
        <f t="shared" si="189"/>
        <v>259.58</v>
      </c>
      <c r="I157" s="13">
        <f t="shared" si="190"/>
        <v>113.53</v>
      </c>
      <c r="J157" s="14">
        <f t="shared" si="191"/>
        <v>373.11</v>
      </c>
      <c r="M157" s="54"/>
      <c r="N157" s="56"/>
      <c r="V157" s="74">
        <v>1</v>
      </c>
      <c r="W157" s="74" t="s">
        <v>60</v>
      </c>
      <c r="X157" s="13">
        <v>300.08</v>
      </c>
      <c r="Y157" s="13">
        <v>119.68</v>
      </c>
      <c r="Z157" s="13">
        <f t="shared" si="192"/>
        <v>419.76</v>
      </c>
      <c r="AB157" s="74">
        <v>1</v>
      </c>
      <c r="AC157" s="74" t="s">
        <v>60</v>
      </c>
      <c r="AD157" s="13">
        <v>386.56</v>
      </c>
      <c r="AE157" s="13">
        <v>154.16999999999999</v>
      </c>
      <c r="AF157" s="13">
        <f t="shared" si="193"/>
        <v>540.73</v>
      </c>
      <c r="AH157" s="89">
        <f t="shared" si="183"/>
        <v>-0.32848716887417218</v>
      </c>
      <c r="AI157" s="89">
        <f t="shared" si="184"/>
        <v>-0.26360511124083796</v>
      </c>
      <c r="AJ157" s="89">
        <f t="shared" si="185"/>
        <v>-0.30998834908364614</v>
      </c>
    </row>
    <row r="158" spans="1:36" x14ac:dyDescent="0.3">
      <c r="A158" s="17" t="s">
        <v>330</v>
      </c>
      <c r="B158" s="11" t="s">
        <v>331</v>
      </c>
      <c r="C158" s="12">
        <f t="shared" si="186"/>
        <v>1</v>
      </c>
      <c r="D158" s="41" t="str">
        <f t="shared" si="187"/>
        <v xml:space="preserve">un </v>
      </c>
      <c r="E158" s="41">
        <v>3.65</v>
      </c>
      <c r="F158" s="41">
        <v>52.89</v>
      </c>
      <c r="G158" s="41">
        <f t="shared" si="188"/>
        <v>56.54</v>
      </c>
      <c r="H158" s="13">
        <f t="shared" si="189"/>
        <v>3.65</v>
      </c>
      <c r="I158" s="13">
        <f t="shared" si="190"/>
        <v>52.89</v>
      </c>
      <c r="J158" s="14">
        <f t="shared" si="191"/>
        <v>56.54</v>
      </c>
      <c r="M158" s="54"/>
      <c r="N158" s="56"/>
      <c r="V158" s="74">
        <v>1</v>
      </c>
      <c r="W158" s="74" t="s">
        <v>30</v>
      </c>
      <c r="X158" s="13">
        <v>8.33</v>
      </c>
      <c r="Y158" s="13">
        <v>55.51</v>
      </c>
      <c r="Z158" s="13">
        <f t="shared" ref="Z158" si="194">SUM(X158:Y158)</f>
        <v>63.839999999999996</v>
      </c>
      <c r="AB158" s="74">
        <v>1</v>
      </c>
      <c r="AC158" s="74" t="s">
        <v>30</v>
      </c>
      <c r="AD158" s="13">
        <v>10.73</v>
      </c>
      <c r="AE158" s="13">
        <v>71.510000000000005</v>
      </c>
      <c r="AF158" s="13">
        <f t="shared" ref="AF158" si="195">SUM(AD158:AE158)</f>
        <v>82.240000000000009</v>
      </c>
      <c r="AH158" s="89">
        <f t="shared" ref="AH158" si="196">IF(E158=0,0,(E158/AD158)-1)</f>
        <v>-0.65983224603914259</v>
      </c>
      <c r="AI158" s="89">
        <f t="shared" ref="AI158" si="197">IF(F158=0,0,(F158/AE158)-1)</f>
        <v>-0.26038316319395893</v>
      </c>
      <c r="AJ158" s="89">
        <f t="shared" ref="AJ158" si="198">IF(G158=0,0,(G158/AF158)-1)</f>
        <v>-0.31250000000000011</v>
      </c>
    </row>
    <row r="159" spans="1:36" x14ac:dyDescent="0.3">
      <c r="A159" s="17" t="s">
        <v>332</v>
      </c>
      <c r="B159" s="11" t="s">
        <v>333</v>
      </c>
      <c r="C159" s="12">
        <f t="shared" si="177"/>
        <v>1</v>
      </c>
      <c r="D159" s="41" t="str">
        <f t="shared" si="178"/>
        <v xml:space="preserve">un </v>
      </c>
      <c r="E159" s="41">
        <v>8.1199999999999992</v>
      </c>
      <c r="F159" s="41">
        <v>10.83</v>
      </c>
      <c r="G159" s="41">
        <f t="shared" si="101"/>
        <v>18.95</v>
      </c>
      <c r="H159" s="13">
        <f t="shared" si="179"/>
        <v>8.1199999999999992</v>
      </c>
      <c r="I159" s="13">
        <f t="shared" si="180"/>
        <v>10.83</v>
      </c>
      <c r="J159" s="14">
        <f t="shared" si="104"/>
        <v>18.95</v>
      </c>
      <c r="M159" s="54"/>
      <c r="N159" s="56"/>
      <c r="V159" s="74">
        <v>1</v>
      </c>
      <c r="W159" s="74" t="s">
        <v>30</v>
      </c>
      <c r="X159" s="13">
        <v>9.01</v>
      </c>
      <c r="Y159" s="13">
        <v>11.46</v>
      </c>
      <c r="Z159" s="13">
        <f t="shared" si="181"/>
        <v>20.47</v>
      </c>
      <c r="AB159" s="74">
        <v>1</v>
      </c>
      <c r="AC159" s="74" t="s">
        <v>30</v>
      </c>
      <c r="AD159" s="13">
        <v>11.61</v>
      </c>
      <c r="AE159" s="13">
        <v>14.76</v>
      </c>
      <c r="AF159" s="13">
        <f t="shared" ref="AF159:AF160" si="199">SUM(AD159:AE159)</f>
        <v>26.369999999999997</v>
      </c>
      <c r="AH159" s="89">
        <f t="shared" si="183"/>
        <v>-0.30060292850990533</v>
      </c>
      <c r="AI159" s="89">
        <f t="shared" si="184"/>
        <v>-0.26626016260162599</v>
      </c>
      <c r="AJ159" s="89">
        <f t="shared" si="185"/>
        <v>-0.2813803564656806</v>
      </c>
    </row>
    <row r="160" spans="1:36" x14ac:dyDescent="0.3">
      <c r="A160" s="17" t="s">
        <v>334</v>
      </c>
      <c r="B160" s="11" t="s">
        <v>335</v>
      </c>
      <c r="C160" s="12">
        <f t="shared" si="177"/>
        <v>1</v>
      </c>
      <c r="D160" s="41" t="str">
        <f t="shared" si="178"/>
        <v>un</v>
      </c>
      <c r="E160" s="41">
        <v>0</v>
      </c>
      <c r="F160" s="41">
        <v>62.51</v>
      </c>
      <c r="G160" s="41">
        <f t="shared" si="101"/>
        <v>62.51</v>
      </c>
      <c r="H160" s="13">
        <f t="shared" si="179"/>
        <v>0</v>
      </c>
      <c r="I160" s="13">
        <f t="shared" si="180"/>
        <v>62.51</v>
      </c>
      <c r="J160" s="14">
        <f t="shared" si="104"/>
        <v>62.51</v>
      </c>
      <c r="M160" s="54"/>
      <c r="N160" s="56"/>
      <c r="V160" s="74">
        <v>1</v>
      </c>
      <c r="W160" s="74" t="s">
        <v>110</v>
      </c>
      <c r="X160" s="13">
        <v>0</v>
      </c>
      <c r="Y160" s="13">
        <v>65.819999999999993</v>
      </c>
      <c r="Z160" s="13">
        <f t="shared" si="181"/>
        <v>65.819999999999993</v>
      </c>
      <c r="AB160" s="74">
        <v>1</v>
      </c>
      <c r="AC160" s="74" t="s">
        <v>110</v>
      </c>
      <c r="AD160" s="13">
        <v>0</v>
      </c>
      <c r="AE160" s="13">
        <v>84.79</v>
      </c>
      <c r="AF160" s="13">
        <f t="shared" si="199"/>
        <v>84.79</v>
      </c>
      <c r="AH160" s="89">
        <f t="shared" si="183"/>
        <v>0</v>
      </c>
      <c r="AI160" s="89">
        <f t="shared" si="184"/>
        <v>-0.26276683571175852</v>
      </c>
      <c r="AJ160" s="89">
        <f t="shared" si="185"/>
        <v>-0.26276683571175852</v>
      </c>
    </row>
    <row r="161" spans="1:36" x14ac:dyDescent="0.3">
      <c r="A161" s="15">
        <v>14</v>
      </c>
      <c r="B161" s="16" t="s">
        <v>336</v>
      </c>
      <c r="C161" s="76"/>
      <c r="D161" s="58"/>
      <c r="E161" s="58">
        <v>0</v>
      </c>
      <c r="F161" s="58">
        <v>0</v>
      </c>
      <c r="G161" s="58"/>
      <c r="H161" s="24">
        <f t="shared" ref="H161:I161" si="200">SUM(H162:H190)</f>
        <v>67769.750000000015</v>
      </c>
      <c r="I161" s="24">
        <f t="shared" si="200"/>
        <v>40915.130000000005</v>
      </c>
      <c r="J161" s="24">
        <f>SUM(J162:J190)</f>
        <v>108684.88000000002</v>
      </c>
      <c r="M161" s="54"/>
      <c r="N161" s="56"/>
      <c r="V161" s="75"/>
      <c r="W161" s="75"/>
      <c r="X161" s="23"/>
      <c r="Y161" s="23"/>
      <c r="Z161" s="23"/>
      <c r="AB161" s="75"/>
      <c r="AC161" s="75"/>
      <c r="AD161" s="23"/>
      <c r="AE161" s="23"/>
      <c r="AF161" s="23"/>
      <c r="AH161" s="89">
        <f t="shared" si="183"/>
        <v>0</v>
      </c>
      <c r="AI161" s="89">
        <f t="shared" si="184"/>
        <v>0</v>
      </c>
      <c r="AJ161" s="89">
        <f t="shared" si="185"/>
        <v>0</v>
      </c>
    </row>
    <row r="162" spans="1:36" x14ac:dyDescent="0.3">
      <c r="A162" s="17" t="s">
        <v>337</v>
      </c>
      <c r="B162" s="11" t="s">
        <v>338</v>
      </c>
      <c r="C162" s="12">
        <f t="shared" ref="C162:C190" si="201">V162</f>
        <v>1</v>
      </c>
      <c r="D162" s="41" t="str">
        <f t="shared" ref="D162:D190" si="202">W162</f>
        <v>m²</v>
      </c>
      <c r="E162" s="41">
        <v>344.98</v>
      </c>
      <c r="F162" s="41">
        <v>146.01</v>
      </c>
      <c r="G162" s="41">
        <f t="shared" si="101"/>
        <v>490.99</v>
      </c>
      <c r="H162" s="13">
        <f t="shared" ref="H162:H190" si="203">C162*E162</f>
        <v>344.98</v>
      </c>
      <c r="I162" s="13">
        <f t="shared" ref="I162:I190" si="204">C162*F162</f>
        <v>146.01</v>
      </c>
      <c r="J162" s="14">
        <f t="shared" si="104"/>
        <v>490.99</v>
      </c>
      <c r="M162" s="54"/>
      <c r="N162" s="56"/>
      <c r="V162" s="74">
        <v>1</v>
      </c>
      <c r="W162" s="74" t="s">
        <v>60</v>
      </c>
      <c r="X162" s="13">
        <v>386.17</v>
      </c>
      <c r="Y162" s="13">
        <v>153.11000000000001</v>
      </c>
      <c r="Z162" s="13">
        <f t="shared" ref="Z162:Z190" si="205">SUM(X162:Y162)</f>
        <v>539.28</v>
      </c>
      <c r="AB162" s="74">
        <v>1</v>
      </c>
      <c r="AC162" s="74" t="s">
        <v>60</v>
      </c>
      <c r="AD162" s="13">
        <v>497.46</v>
      </c>
      <c r="AE162" s="13">
        <v>197.24</v>
      </c>
      <c r="AF162" s="13">
        <f t="shared" ref="AF162:AF173" si="206">SUM(AD162:AE162)</f>
        <v>694.7</v>
      </c>
      <c r="AH162" s="89">
        <f t="shared" si="183"/>
        <v>-0.30651710690306755</v>
      </c>
      <c r="AI162" s="89">
        <f t="shared" si="184"/>
        <v>-0.25973433380653022</v>
      </c>
      <c r="AJ162" s="89">
        <f t="shared" si="185"/>
        <v>-0.29323448970778754</v>
      </c>
    </row>
    <row r="163" spans="1:36" x14ac:dyDescent="0.3">
      <c r="A163" s="17" t="s">
        <v>339</v>
      </c>
      <c r="B163" s="11" t="s">
        <v>340</v>
      </c>
      <c r="C163" s="12">
        <f t="shared" si="201"/>
        <v>1</v>
      </c>
      <c r="D163" s="41" t="str">
        <f t="shared" si="202"/>
        <v>m²</v>
      </c>
      <c r="E163" s="41">
        <v>474.29</v>
      </c>
      <c r="F163" s="41">
        <v>54.07</v>
      </c>
      <c r="G163" s="41">
        <f t="shared" si="101"/>
        <v>528.36</v>
      </c>
      <c r="H163" s="13">
        <f t="shared" si="203"/>
        <v>474.29</v>
      </c>
      <c r="I163" s="13">
        <f t="shared" si="204"/>
        <v>54.07</v>
      </c>
      <c r="J163" s="14">
        <f t="shared" si="104"/>
        <v>528.36</v>
      </c>
      <c r="M163" s="54"/>
      <c r="N163" s="56"/>
      <c r="V163" s="74">
        <v>1</v>
      </c>
      <c r="W163" s="74" t="s">
        <v>60</v>
      </c>
      <c r="X163" s="13">
        <v>531.46</v>
      </c>
      <c r="Y163" s="13">
        <v>56.7</v>
      </c>
      <c r="Z163" s="13">
        <f t="shared" si="205"/>
        <v>588.16000000000008</v>
      </c>
      <c r="AB163" s="74">
        <v>1</v>
      </c>
      <c r="AC163" s="74" t="s">
        <v>60</v>
      </c>
      <c r="AD163" s="13">
        <v>684.63</v>
      </c>
      <c r="AE163" s="13">
        <v>73.040000000000006</v>
      </c>
      <c r="AF163" s="13">
        <f t="shared" si="206"/>
        <v>757.67</v>
      </c>
      <c r="AH163" s="89">
        <f t="shared" si="183"/>
        <v>-0.30723164336941122</v>
      </c>
      <c r="AI163" s="89">
        <f t="shared" si="184"/>
        <v>-0.25972070098576128</v>
      </c>
      <c r="AJ163" s="89">
        <f t="shared" si="185"/>
        <v>-0.30265155014716161</v>
      </c>
    </row>
    <row r="164" spans="1:36" x14ac:dyDescent="0.3">
      <c r="A164" s="17" t="s">
        <v>341</v>
      </c>
      <c r="B164" s="11" t="s">
        <v>342</v>
      </c>
      <c r="C164" s="12">
        <f t="shared" si="201"/>
        <v>102</v>
      </c>
      <c r="D164" s="41" t="str">
        <f t="shared" si="202"/>
        <v>m</v>
      </c>
      <c r="E164" s="41">
        <v>3.89</v>
      </c>
      <c r="F164" s="41">
        <v>20.2</v>
      </c>
      <c r="G164" s="41">
        <f t="shared" si="101"/>
        <v>24.09</v>
      </c>
      <c r="H164" s="13">
        <f t="shared" si="203"/>
        <v>396.78000000000003</v>
      </c>
      <c r="I164" s="13">
        <f t="shared" si="204"/>
        <v>2060.4</v>
      </c>
      <c r="J164" s="14">
        <f t="shared" si="104"/>
        <v>2457.1799999999998</v>
      </c>
      <c r="M164" s="54"/>
      <c r="N164" s="56"/>
      <c r="V164" s="74">
        <v>102</v>
      </c>
      <c r="W164" s="74" t="s">
        <v>76</v>
      </c>
      <c r="X164" s="13">
        <v>4.22</v>
      </c>
      <c r="Y164" s="13">
        <v>21.21</v>
      </c>
      <c r="Z164" s="13">
        <f t="shared" si="205"/>
        <v>25.43</v>
      </c>
      <c r="AB164" s="74">
        <v>102</v>
      </c>
      <c r="AC164" s="74" t="s">
        <v>76</v>
      </c>
      <c r="AD164" s="13">
        <v>5.44</v>
      </c>
      <c r="AE164" s="13">
        <v>27.32</v>
      </c>
      <c r="AF164" s="13">
        <f t="shared" si="206"/>
        <v>32.76</v>
      </c>
      <c r="AH164" s="89">
        <f t="shared" si="183"/>
        <v>-0.28492647058823528</v>
      </c>
      <c r="AI164" s="89">
        <f t="shared" si="184"/>
        <v>-0.26061493411420211</v>
      </c>
      <c r="AJ164" s="89">
        <f t="shared" si="185"/>
        <v>-0.2646520146520146</v>
      </c>
    </row>
    <row r="165" spans="1:36" ht="28.8" x14ac:dyDescent="0.3">
      <c r="A165" s="17" t="s">
        <v>343</v>
      </c>
      <c r="B165" s="11" t="s">
        <v>344</v>
      </c>
      <c r="C165" s="12">
        <f t="shared" si="201"/>
        <v>8</v>
      </c>
      <c r="D165" s="41" t="str">
        <f t="shared" si="202"/>
        <v>m</v>
      </c>
      <c r="E165" s="41">
        <v>67.709999999999994</v>
      </c>
      <c r="F165" s="41">
        <v>70.02</v>
      </c>
      <c r="G165" s="41">
        <f t="shared" ref="G165:G252" si="207">F165+E165</f>
        <v>137.72999999999999</v>
      </c>
      <c r="H165" s="13">
        <f t="shared" si="203"/>
        <v>541.67999999999995</v>
      </c>
      <c r="I165" s="13">
        <f t="shared" si="204"/>
        <v>560.16</v>
      </c>
      <c r="J165" s="14">
        <f t="shared" ref="J165:J239" si="208">SUM(E165:F165)*C165</f>
        <v>1101.8399999999999</v>
      </c>
      <c r="M165" s="54"/>
      <c r="N165" s="56"/>
      <c r="V165" s="74">
        <v>8</v>
      </c>
      <c r="W165" s="74" t="s">
        <v>76</v>
      </c>
      <c r="X165" s="13">
        <v>75.239999999999995</v>
      </c>
      <c r="Y165" s="13">
        <v>73.62</v>
      </c>
      <c r="Z165" s="13">
        <f t="shared" si="205"/>
        <v>148.86000000000001</v>
      </c>
      <c r="AB165" s="74">
        <v>8</v>
      </c>
      <c r="AC165" s="74" t="s">
        <v>76</v>
      </c>
      <c r="AD165" s="13">
        <v>96.92</v>
      </c>
      <c r="AE165" s="13">
        <v>94.84</v>
      </c>
      <c r="AF165" s="13">
        <f t="shared" si="206"/>
        <v>191.76</v>
      </c>
      <c r="AH165" s="89">
        <f t="shared" si="183"/>
        <v>-0.30138258357408176</v>
      </c>
      <c r="AI165" s="89">
        <f t="shared" si="184"/>
        <v>-0.26170392239561369</v>
      </c>
      <c r="AJ165" s="89">
        <f t="shared" si="185"/>
        <v>-0.28175844806007511</v>
      </c>
    </row>
    <row r="166" spans="1:36" x14ac:dyDescent="0.3">
      <c r="A166" s="17" t="s">
        <v>345</v>
      </c>
      <c r="B166" s="11" t="s">
        <v>346</v>
      </c>
      <c r="C166" s="12">
        <f t="shared" si="201"/>
        <v>57</v>
      </c>
      <c r="D166" s="41" t="str">
        <f t="shared" si="202"/>
        <v>m</v>
      </c>
      <c r="E166" s="41">
        <v>206.51</v>
      </c>
      <c r="F166" s="41">
        <v>256.66000000000003</v>
      </c>
      <c r="G166" s="41">
        <f t="shared" si="207"/>
        <v>463.17</v>
      </c>
      <c r="H166" s="13">
        <f t="shared" si="203"/>
        <v>11771.07</v>
      </c>
      <c r="I166" s="13">
        <f t="shared" si="204"/>
        <v>14629.62</v>
      </c>
      <c r="J166" s="14">
        <f t="shared" si="208"/>
        <v>26400.690000000002</v>
      </c>
      <c r="M166" s="54"/>
      <c r="N166" s="56"/>
      <c r="V166" s="74">
        <v>57</v>
      </c>
      <c r="W166" s="74" t="s">
        <v>76</v>
      </c>
      <c r="X166" s="13">
        <v>223.47</v>
      </c>
      <c r="Y166" s="13">
        <v>269.56</v>
      </c>
      <c r="Z166" s="13">
        <f t="shared" si="205"/>
        <v>493.03</v>
      </c>
      <c r="AB166" s="74">
        <v>57</v>
      </c>
      <c r="AC166" s="74" t="s">
        <v>76</v>
      </c>
      <c r="AD166" s="13">
        <v>287.87</v>
      </c>
      <c r="AE166" s="13">
        <v>347.25</v>
      </c>
      <c r="AF166" s="13">
        <f t="shared" si="206"/>
        <v>635.12</v>
      </c>
      <c r="AH166" s="89">
        <f t="shared" si="183"/>
        <v>-0.28262757494702473</v>
      </c>
      <c r="AI166" s="89">
        <f t="shared" si="184"/>
        <v>-0.26087832973362124</v>
      </c>
      <c r="AJ166" s="89">
        <f t="shared" si="185"/>
        <v>-0.27073623882101017</v>
      </c>
    </row>
    <row r="167" spans="1:36" x14ac:dyDescent="0.3">
      <c r="A167" s="17" t="s">
        <v>347</v>
      </c>
      <c r="B167" s="11" t="s">
        <v>348</v>
      </c>
      <c r="C167" s="12">
        <f t="shared" si="201"/>
        <v>482</v>
      </c>
      <c r="D167" s="41" t="str">
        <f t="shared" si="202"/>
        <v>m²</v>
      </c>
      <c r="E167" s="41">
        <v>35.21</v>
      </c>
      <c r="F167" s="41">
        <v>20.94</v>
      </c>
      <c r="G167" s="41">
        <f t="shared" si="207"/>
        <v>56.150000000000006</v>
      </c>
      <c r="H167" s="13">
        <f t="shared" si="203"/>
        <v>16971.22</v>
      </c>
      <c r="I167" s="13">
        <f t="shared" si="204"/>
        <v>10093.08</v>
      </c>
      <c r="J167" s="14">
        <f t="shared" si="208"/>
        <v>27064.300000000003</v>
      </c>
      <c r="M167" s="54"/>
      <c r="N167" s="56"/>
      <c r="V167" s="74">
        <v>482</v>
      </c>
      <c r="W167" s="74" t="s">
        <v>60</v>
      </c>
      <c r="X167" s="13">
        <v>41.66</v>
      </c>
      <c r="Y167" s="13">
        <v>22.03</v>
      </c>
      <c r="Z167" s="13">
        <f t="shared" si="205"/>
        <v>63.69</v>
      </c>
      <c r="AB167" s="74">
        <v>482</v>
      </c>
      <c r="AC167" s="74" t="s">
        <v>60</v>
      </c>
      <c r="AD167" s="13">
        <v>53.67</v>
      </c>
      <c r="AE167" s="13">
        <v>28.38</v>
      </c>
      <c r="AF167" s="13">
        <f t="shared" si="206"/>
        <v>82.05</v>
      </c>
      <c r="AH167" s="89">
        <f t="shared" si="183"/>
        <v>-0.3439537916899571</v>
      </c>
      <c r="AI167" s="89">
        <f t="shared" si="184"/>
        <v>-0.2621564482029598</v>
      </c>
      <c r="AJ167" s="89">
        <f t="shared" si="185"/>
        <v>-0.31566118220597184</v>
      </c>
    </row>
    <row r="168" spans="1:36" ht="28.8" x14ac:dyDescent="0.3">
      <c r="A168" s="17" t="s">
        <v>349</v>
      </c>
      <c r="B168" s="11" t="s">
        <v>350</v>
      </c>
      <c r="C168" s="12">
        <f t="shared" si="201"/>
        <v>18</v>
      </c>
      <c r="D168" s="41" t="str">
        <f t="shared" si="202"/>
        <v>m²</v>
      </c>
      <c r="E168" s="41">
        <v>35.21</v>
      </c>
      <c r="F168" s="41">
        <v>59.82</v>
      </c>
      <c r="G168" s="41">
        <f t="shared" si="207"/>
        <v>95.03</v>
      </c>
      <c r="H168" s="13">
        <f t="shared" si="203"/>
        <v>633.78</v>
      </c>
      <c r="I168" s="13">
        <f t="shared" si="204"/>
        <v>1076.76</v>
      </c>
      <c r="J168" s="14">
        <f t="shared" si="208"/>
        <v>1710.54</v>
      </c>
      <c r="M168" s="54"/>
      <c r="N168" s="56"/>
      <c r="V168" s="74">
        <v>18</v>
      </c>
      <c r="W168" s="74" t="s">
        <v>60</v>
      </c>
      <c r="X168" s="13">
        <v>41.66</v>
      </c>
      <c r="Y168" s="13">
        <v>63.09</v>
      </c>
      <c r="Z168" s="13">
        <f t="shared" si="205"/>
        <v>104.75</v>
      </c>
      <c r="AB168" s="74">
        <v>18</v>
      </c>
      <c r="AC168" s="74" t="s">
        <v>60</v>
      </c>
      <c r="AD168" s="13">
        <v>53.67</v>
      </c>
      <c r="AE168" s="13">
        <v>81.27</v>
      </c>
      <c r="AF168" s="13">
        <f t="shared" si="206"/>
        <v>134.94</v>
      </c>
      <c r="AH168" s="89">
        <f t="shared" si="183"/>
        <v>-0.3439537916899571</v>
      </c>
      <c r="AI168" s="89">
        <f t="shared" si="184"/>
        <v>-0.26393503137689178</v>
      </c>
      <c r="AJ168" s="89">
        <f t="shared" si="185"/>
        <v>-0.29576107899807325</v>
      </c>
    </row>
    <row r="169" spans="1:36" x14ac:dyDescent="0.3">
      <c r="A169" s="17" t="s">
        <v>351</v>
      </c>
      <c r="B169" s="11" t="s">
        <v>352</v>
      </c>
      <c r="C169" s="12">
        <f t="shared" si="201"/>
        <v>54</v>
      </c>
      <c r="D169" s="41" t="str">
        <f t="shared" si="202"/>
        <v>m²</v>
      </c>
      <c r="E169" s="41">
        <v>464.16</v>
      </c>
      <c r="F169" s="41">
        <v>121.22</v>
      </c>
      <c r="G169" s="41">
        <f t="shared" si="207"/>
        <v>585.38</v>
      </c>
      <c r="H169" s="13">
        <f t="shared" si="203"/>
        <v>25064.640000000003</v>
      </c>
      <c r="I169" s="13">
        <f t="shared" si="204"/>
        <v>6545.88</v>
      </c>
      <c r="J169" s="14">
        <f t="shared" si="208"/>
        <v>31610.52</v>
      </c>
      <c r="M169" s="54"/>
      <c r="N169" s="56"/>
      <c r="V169" s="74">
        <v>54</v>
      </c>
      <c r="W169" s="74" t="s">
        <v>60</v>
      </c>
      <c r="X169" s="13">
        <v>597.33000000000004</v>
      </c>
      <c r="Y169" s="13">
        <v>127.44</v>
      </c>
      <c r="Z169" s="13">
        <f t="shared" si="205"/>
        <v>724.77</v>
      </c>
      <c r="AB169" s="74">
        <v>54</v>
      </c>
      <c r="AC169" s="74" t="s">
        <v>60</v>
      </c>
      <c r="AD169" s="13">
        <v>769.48</v>
      </c>
      <c r="AE169" s="13">
        <v>164.17</v>
      </c>
      <c r="AF169" s="13">
        <f t="shared" si="206"/>
        <v>933.65</v>
      </c>
      <c r="AH169" s="89">
        <f t="shared" si="183"/>
        <v>-0.3967874408691584</v>
      </c>
      <c r="AI169" s="89">
        <f t="shared" si="184"/>
        <v>-0.26161905342023506</v>
      </c>
      <c r="AJ169" s="89">
        <f t="shared" si="185"/>
        <v>-0.37301986825898359</v>
      </c>
    </row>
    <row r="170" spans="1:36" x14ac:dyDescent="0.3">
      <c r="A170" s="17" t="s">
        <v>353</v>
      </c>
      <c r="B170" s="11" t="s">
        <v>354</v>
      </c>
      <c r="C170" s="12">
        <f t="shared" si="201"/>
        <v>1</v>
      </c>
      <c r="D170" s="41" t="str">
        <f t="shared" si="202"/>
        <v>un</v>
      </c>
      <c r="E170" s="41">
        <v>319.55</v>
      </c>
      <c r="F170" s="41">
        <v>32.619999999999997</v>
      </c>
      <c r="G170" s="41">
        <f t="shared" si="207"/>
        <v>352.17</v>
      </c>
      <c r="H170" s="13">
        <f t="shared" si="203"/>
        <v>319.55</v>
      </c>
      <c r="I170" s="13">
        <f t="shared" si="204"/>
        <v>32.619999999999997</v>
      </c>
      <c r="J170" s="14">
        <f t="shared" si="208"/>
        <v>352.17</v>
      </c>
      <c r="M170" s="54"/>
      <c r="N170" s="55"/>
      <c r="V170" s="74">
        <v>1</v>
      </c>
      <c r="W170" s="74" t="s">
        <v>110</v>
      </c>
      <c r="X170" s="13">
        <v>359.93</v>
      </c>
      <c r="Y170" s="13">
        <v>34.39</v>
      </c>
      <c r="Z170" s="13">
        <f t="shared" si="205"/>
        <v>394.32</v>
      </c>
      <c r="AB170" s="74">
        <v>1</v>
      </c>
      <c r="AC170" s="74" t="s">
        <v>110</v>
      </c>
      <c r="AD170" s="13">
        <v>463.66</v>
      </c>
      <c r="AE170" s="13">
        <v>44.3</v>
      </c>
      <c r="AF170" s="13">
        <f t="shared" si="206"/>
        <v>507.96000000000004</v>
      </c>
      <c r="AH170" s="89">
        <f t="shared" si="183"/>
        <v>-0.31080964499849029</v>
      </c>
      <c r="AI170" s="89">
        <f t="shared" si="184"/>
        <v>-0.26365688487584649</v>
      </c>
      <c r="AJ170" s="89">
        <f t="shared" si="185"/>
        <v>-0.30669737774627925</v>
      </c>
    </row>
    <row r="171" spans="1:36" x14ac:dyDescent="0.3">
      <c r="A171" s="17" t="s">
        <v>355</v>
      </c>
      <c r="B171" s="11" t="s">
        <v>356</v>
      </c>
      <c r="C171" s="12">
        <f t="shared" si="201"/>
        <v>1</v>
      </c>
      <c r="D171" s="41" t="str">
        <f t="shared" si="202"/>
        <v>un</v>
      </c>
      <c r="E171" s="41">
        <v>137.38999999999999</v>
      </c>
      <c r="F171" s="41">
        <v>30.4</v>
      </c>
      <c r="G171" s="41">
        <f t="shared" si="207"/>
        <v>167.79</v>
      </c>
      <c r="H171" s="13">
        <f t="shared" si="203"/>
        <v>137.38999999999999</v>
      </c>
      <c r="I171" s="13">
        <f t="shared" si="204"/>
        <v>30.4</v>
      </c>
      <c r="J171" s="14">
        <f t="shared" si="208"/>
        <v>167.79</v>
      </c>
      <c r="M171" s="54"/>
      <c r="N171" s="56"/>
      <c r="V171" s="74">
        <v>1</v>
      </c>
      <c r="W171" s="74" t="s">
        <v>110</v>
      </c>
      <c r="X171" s="13">
        <v>163.16</v>
      </c>
      <c r="Y171" s="13">
        <v>32.03</v>
      </c>
      <c r="Z171" s="13">
        <f t="shared" si="205"/>
        <v>195.19</v>
      </c>
      <c r="AB171" s="74">
        <v>1</v>
      </c>
      <c r="AC171" s="74" t="s">
        <v>110</v>
      </c>
      <c r="AD171" s="13">
        <v>210.18</v>
      </c>
      <c r="AE171" s="13">
        <v>41.26</v>
      </c>
      <c r="AF171" s="13">
        <f t="shared" si="206"/>
        <v>251.44</v>
      </c>
      <c r="AH171" s="89">
        <f t="shared" si="183"/>
        <v>-0.34632220001903136</v>
      </c>
      <c r="AI171" s="89">
        <f t="shared" si="184"/>
        <v>-0.26320891904992727</v>
      </c>
      <c r="AJ171" s="89">
        <f t="shared" si="185"/>
        <v>-0.33268374164810688</v>
      </c>
    </row>
    <row r="172" spans="1:36" x14ac:dyDescent="0.3">
      <c r="A172" s="17" t="s">
        <v>357</v>
      </c>
      <c r="B172" s="11" t="s">
        <v>358</v>
      </c>
      <c r="C172" s="12">
        <f t="shared" si="201"/>
        <v>105</v>
      </c>
      <c r="D172" s="41" t="str">
        <f t="shared" si="202"/>
        <v>un</v>
      </c>
      <c r="E172" s="41">
        <v>5.61</v>
      </c>
      <c r="F172" s="41">
        <v>41.98</v>
      </c>
      <c r="G172" s="41">
        <f t="shared" si="207"/>
        <v>47.589999999999996</v>
      </c>
      <c r="H172" s="13">
        <f t="shared" si="203"/>
        <v>589.05000000000007</v>
      </c>
      <c r="I172" s="13">
        <f t="shared" si="204"/>
        <v>4407.8999999999996</v>
      </c>
      <c r="J172" s="14">
        <f t="shared" si="208"/>
        <v>4996.95</v>
      </c>
      <c r="M172" s="54"/>
      <c r="N172" s="56"/>
      <c r="V172" s="74">
        <v>105</v>
      </c>
      <c r="W172" s="74" t="s">
        <v>110</v>
      </c>
      <c r="X172" s="13">
        <v>5.84</v>
      </c>
      <c r="Y172" s="13">
        <v>44.11</v>
      </c>
      <c r="Z172" s="13">
        <f t="shared" si="205"/>
        <v>49.95</v>
      </c>
      <c r="AB172" s="74">
        <v>105</v>
      </c>
      <c r="AC172" s="74" t="s">
        <v>110</v>
      </c>
      <c r="AD172" s="13">
        <v>7.52</v>
      </c>
      <c r="AE172" s="13">
        <v>56.82</v>
      </c>
      <c r="AF172" s="13">
        <f t="shared" si="206"/>
        <v>64.34</v>
      </c>
      <c r="AH172" s="89">
        <f t="shared" si="183"/>
        <v>-0.2539893617021276</v>
      </c>
      <c r="AI172" s="89">
        <f t="shared" si="184"/>
        <v>-0.26117564237944391</v>
      </c>
      <c r="AJ172" s="89">
        <f t="shared" si="185"/>
        <v>-0.26033571650606169</v>
      </c>
    </row>
    <row r="173" spans="1:36" x14ac:dyDescent="0.3">
      <c r="A173" s="17" t="s">
        <v>359</v>
      </c>
      <c r="B173" s="11" t="s">
        <v>360</v>
      </c>
      <c r="C173" s="12">
        <f t="shared" si="201"/>
        <v>1</v>
      </c>
      <c r="D173" s="41" t="str">
        <f t="shared" si="202"/>
        <v>m²</v>
      </c>
      <c r="E173" s="41">
        <v>75</v>
      </c>
      <c r="F173" s="41">
        <v>35.869999999999997</v>
      </c>
      <c r="G173" s="41">
        <f t="shared" si="207"/>
        <v>110.87</v>
      </c>
      <c r="H173" s="13">
        <f t="shared" si="203"/>
        <v>75</v>
      </c>
      <c r="I173" s="13">
        <f t="shared" si="204"/>
        <v>35.869999999999997</v>
      </c>
      <c r="J173" s="14">
        <f t="shared" si="208"/>
        <v>110.87</v>
      </c>
      <c r="M173" s="54"/>
      <c r="N173" s="56"/>
      <c r="V173" s="74">
        <v>1</v>
      </c>
      <c r="W173" s="74" t="s">
        <v>60</v>
      </c>
      <c r="X173" s="13">
        <v>82.24</v>
      </c>
      <c r="Y173" s="13">
        <v>37.71</v>
      </c>
      <c r="Z173" s="13">
        <f t="shared" si="205"/>
        <v>119.94999999999999</v>
      </c>
      <c r="AB173" s="74">
        <v>1</v>
      </c>
      <c r="AC173" s="74" t="s">
        <v>60</v>
      </c>
      <c r="AD173" s="13">
        <v>105.94</v>
      </c>
      <c r="AE173" s="13">
        <v>48.58</v>
      </c>
      <c r="AF173" s="13">
        <f t="shared" si="206"/>
        <v>154.51999999999998</v>
      </c>
      <c r="AH173" s="89">
        <f t="shared" si="183"/>
        <v>-0.29205210496507461</v>
      </c>
      <c r="AI173" s="89">
        <f t="shared" si="184"/>
        <v>-0.26163030053519964</v>
      </c>
      <c r="AJ173" s="89">
        <f t="shared" si="185"/>
        <v>-0.28248770385710575</v>
      </c>
    </row>
    <row r="174" spans="1:36" x14ac:dyDescent="0.3">
      <c r="A174" s="17" t="s">
        <v>361</v>
      </c>
      <c r="B174" s="11" t="s">
        <v>362</v>
      </c>
      <c r="C174" s="12">
        <f t="shared" ref="C174:C181" si="209">V174</f>
        <v>1</v>
      </c>
      <c r="D174" s="41" t="str">
        <f t="shared" ref="D174:D181" si="210">W174</f>
        <v>un</v>
      </c>
      <c r="E174" s="41">
        <v>199.04</v>
      </c>
      <c r="F174" s="41">
        <v>311.22000000000003</v>
      </c>
      <c r="G174" s="41">
        <f t="shared" ref="G174:G181" si="211">F174+E174</f>
        <v>510.26</v>
      </c>
      <c r="H174" s="13">
        <f t="shared" ref="H174:H181" si="212">C174*E174</f>
        <v>199.04</v>
      </c>
      <c r="I174" s="13">
        <f t="shared" ref="I174:I181" si="213">C174*F174</f>
        <v>311.22000000000003</v>
      </c>
      <c r="J174" s="14">
        <f t="shared" ref="J174:J181" si="214">SUM(E174:F174)*C174</f>
        <v>510.26</v>
      </c>
      <c r="M174" s="54"/>
      <c r="N174" s="56"/>
      <c r="V174" s="74">
        <v>1</v>
      </c>
      <c r="W174" s="74" t="s">
        <v>110</v>
      </c>
      <c r="X174" s="13">
        <v>238.48</v>
      </c>
      <c r="Y174" s="13">
        <v>322.23</v>
      </c>
      <c r="Z174" s="13">
        <f t="shared" ref="Z174:Z181" si="215">SUM(X174:Y174)</f>
        <v>560.71</v>
      </c>
      <c r="AB174" s="74">
        <v>1</v>
      </c>
      <c r="AC174" s="74" t="s">
        <v>110</v>
      </c>
      <c r="AD174" s="13">
        <v>307.20999999999998</v>
      </c>
      <c r="AE174" s="13">
        <v>415.1</v>
      </c>
      <c r="AF174" s="13">
        <f t="shared" ref="AF174:AF181" si="216">SUM(AD174:AE174)</f>
        <v>722.31</v>
      </c>
      <c r="AH174" s="89">
        <f t="shared" si="183"/>
        <v>-0.35210442368412487</v>
      </c>
      <c r="AI174" s="89">
        <f t="shared" si="184"/>
        <v>-0.25025295109612145</v>
      </c>
      <c r="AJ174" s="89">
        <f t="shared" si="185"/>
        <v>-0.29357201201700101</v>
      </c>
    </row>
    <row r="175" spans="1:36" x14ac:dyDescent="0.3">
      <c r="A175" s="17" t="s">
        <v>363</v>
      </c>
      <c r="B175" s="11" t="s">
        <v>364</v>
      </c>
      <c r="C175" s="12">
        <f t="shared" si="209"/>
        <v>1</v>
      </c>
      <c r="D175" s="41" t="str">
        <f t="shared" si="210"/>
        <v>un</v>
      </c>
      <c r="E175" s="41">
        <v>3258.18</v>
      </c>
      <c r="F175" s="41">
        <v>98.45</v>
      </c>
      <c r="G175" s="41">
        <f t="shared" si="211"/>
        <v>3356.6299999999997</v>
      </c>
      <c r="H175" s="13">
        <f t="shared" si="212"/>
        <v>3258.18</v>
      </c>
      <c r="I175" s="13">
        <f t="shared" si="213"/>
        <v>98.45</v>
      </c>
      <c r="J175" s="14">
        <f t="shared" si="214"/>
        <v>3356.6299999999997</v>
      </c>
      <c r="M175" s="54"/>
      <c r="N175" s="56"/>
      <c r="V175" s="74">
        <v>1</v>
      </c>
      <c r="W175" s="74" t="s">
        <v>110</v>
      </c>
      <c r="X175" s="13">
        <v>3677.25</v>
      </c>
      <c r="Y175" s="13">
        <v>103.2</v>
      </c>
      <c r="Z175" s="13">
        <f t="shared" si="215"/>
        <v>3780.45</v>
      </c>
      <c r="AB175" s="74">
        <v>1</v>
      </c>
      <c r="AC175" s="74" t="s">
        <v>110</v>
      </c>
      <c r="AD175" s="13">
        <v>4737.03</v>
      </c>
      <c r="AE175" s="13">
        <v>132.94</v>
      </c>
      <c r="AF175" s="13">
        <f t="shared" si="216"/>
        <v>4869.9699999999993</v>
      </c>
      <c r="AH175" s="89">
        <f t="shared" si="183"/>
        <v>-0.31218928315843475</v>
      </c>
      <c r="AI175" s="89">
        <f t="shared" si="184"/>
        <v>-0.25944034902963742</v>
      </c>
      <c r="AJ175" s="89">
        <f t="shared" si="185"/>
        <v>-0.31074934753191497</v>
      </c>
    </row>
    <row r="176" spans="1:36" x14ac:dyDescent="0.3">
      <c r="A176" s="17" t="s">
        <v>365</v>
      </c>
      <c r="B176" s="11" t="s">
        <v>366</v>
      </c>
      <c r="C176" s="12">
        <f t="shared" si="209"/>
        <v>1</v>
      </c>
      <c r="D176" s="41" t="str">
        <f t="shared" si="210"/>
        <v>un</v>
      </c>
      <c r="E176" s="41">
        <v>2067.33</v>
      </c>
      <c r="F176" s="41">
        <v>98.45</v>
      </c>
      <c r="G176" s="41">
        <f t="shared" si="211"/>
        <v>2165.7799999999997</v>
      </c>
      <c r="H176" s="13">
        <f t="shared" si="212"/>
        <v>2067.33</v>
      </c>
      <c r="I176" s="13">
        <f t="shared" si="213"/>
        <v>98.45</v>
      </c>
      <c r="J176" s="14">
        <f t="shared" si="214"/>
        <v>2165.7799999999997</v>
      </c>
      <c r="M176" s="54"/>
      <c r="N176" s="56"/>
      <c r="V176" s="74">
        <v>1</v>
      </c>
      <c r="W176" s="74" t="s">
        <v>110</v>
      </c>
      <c r="X176" s="13">
        <v>2335</v>
      </c>
      <c r="Y176" s="13">
        <v>103.2</v>
      </c>
      <c r="Z176" s="13">
        <f t="shared" si="215"/>
        <v>2438.1999999999998</v>
      </c>
      <c r="AB176" s="74">
        <v>1</v>
      </c>
      <c r="AC176" s="74" t="s">
        <v>110</v>
      </c>
      <c r="AD176" s="13">
        <v>3007.95</v>
      </c>
      <c r="AE176" s="13">
        <v>132.94</v>
      </c>
      <c r="AF176" s="13">
        <f t="shared" si="216"/>
        <v>3140.89</v>
      </c>
      <c r="AH176" s="89">
        <f t="shared" si="183"/>
        <v>-0.31271131501520966</v>
      </c>
      <c r="AI176" s="89">
        <f t="shared" si="184"/>
        <v>-0.25944034902963742</v>
      </c>
      <c r="AJ176" s="89">
        <f t="shared" si="185"/>
        <v>-0.31045659032949269</v>
      </c>
    </row>
    <row r="177" spans="1:36" x14ac:dyDescent="0.3">
      <c r="A177" s="17" t="s">
        <v>367</v>
      </c>
      <c r="B177" s="11" t="s">
        <v>368</v>
      </c>
      <c r="C177" s="12">
        <f t="shared" si="209"/>
        <v>1</v>
      </c>
      <c r="D177" s="41" t="str">
        <f t="shared" si="210"/>
        <v>un</v>
      </c>
      <c r="E177" s="41">
        <v>652.34</v>
      </c>
      <c r="F177" s="41">
        <v>140.43</v>
      </c>
      <c r="G177" s="41">
        <f t="shared" si="211"/>
        <v>792.77</v>
      </c>
      <c r="H177" s="13">
        <f t="shared" si="212"/>
        <v>652.34</v>
      </c>
      <c r="I177" s="13">
        <f t="shared" si="213"/>
        <v>140.43</v>
      </c>
      <c r="J177" s="14">
        <f t="shared" si="214"/>
        <v>792.77</v>
      </c>
      <c r="M177" s="54"/>
      <c r="N177" s="56"/>
      <c r="V177" s="74">
        <v>1</v>
      </c>
      <c r="W177" s="74" t="s">
        <v>110</v>
      </c>
      <c r="X177" s="13">
        <v>748.47</v>
      </c>
      <c r="Y177" s="13">
        <v>147.31</v>
      </c>
      <c r="Z177" s="13">
        <f t="shared" si="215"/>
        <v>895.78</v>
      </c>
      <c r="AB177" s="74">
        <v>1</v>
      </c>
      <c r="AC177" s="74" t="s">
        <v>110</v>
      </c>
      <c r="AD177" s="13">
        <v>964.18</v>
      </c>
      <c r="AE177" s="13">
        <v>189.76</v>
      </c>
      <c r="AF177" s="13">
        <f t="shared" si="216"/>
        <v>1153.94</v>
      </c>
      <c r="AH177" s="89">
        <f t="shared" si="183"/>
        <v>-0.32342508660208669</v>
      </c>
      <c r="AI177" s="89">
        <f t="shared" si="184"/>
        <v>-0.25995994940978073</v>
      </c>
      <c r="AJ177" s="89">
        <f t="shared" si="185"/>
        <v>-0.31298854359845407</v>
      </c>
    </row>
    <row r="178" spans="1:36" x14ac:dyDescent="0.3">
      <c r="A178" s="17" t="s">
        <v>369</v>
      </c>
      <c r="B178" s="11" t="s">
        <v>370</v>
      </c>
      <c r="C178" s="12">
        <f t="shared" si="209"/>
        <v>1</v>
      </c>
      <c r="D178" s="41" t="str">
        <f t="shared" si="210"/>
        <v>m²</v>
      </c>
      <c r="E178" s="41">
        <v>305.08</v>
      </c>
      <c r="F178" s="41">
        <v>47.89</v>
      </c>
      <c r="G178" s="41">
        <f t="shared" si="211"/>
        <v>352.96999999999997</v>
      </c>
      <c r="H178" s="13">
        <f t="shared" si="212"/>
        <v>305.08</v>
      </c>
      <c r="I178" s="13">
        <f t="shared" si="213"/>
        <v>47.89</v>
      </c>
      <c r="J178" s="14">
        <f t="shared" si="214"/>
        <v>352.96999999999997</v>
      </c>
      <c r="M178" s="54"/>
      <c r="N178" s="55"/>
      <c r="V178" s="74">
        <v>1</v>
      </c>
      <c r="W178" s="74" t="s">
        <v>60</v>
      </c>
      <c r="X178" s="13">
        <v>356.8</v>
      </c>
      <c r="Y178" s="13">
        <v>50.28</v>
      </c>
      <c r="Z178" s="13">
        <f t="shared" si="215"/>
        <v>407.08000000000004</v>
      </c>
      <c r="AB178" s="74">
        <v>1</v>
      </c>
      <c r="AC178" s="74" t="s">
        <v>60</v>
      </c>
      <c r="AD178" s="13">
        <v>459.63</v>
      </c>
      <c r="AE178" s="13">
        <v>64.77</v>
      </c>
      <c r="AF178" s="13">
        <f t="shared" si="216"/>
        <v>524.4</v>
      </c>
      <c r="AH178" s="89">
        <f t="shared" si="183"/>
        <v>-0.33624872179796794</v>
      </c>
      <c r="AI178" s="89">
        <f t="shared" si="184"/>
        <v>-0.26061448201327775</v>
      </c>
      <c r="AJ178" s="89">
        <f t="shared" si="185"/>
        <v>-0.32690694126620901</v>
      </c>
    </row>
    <row r="179" spans="1:36" x14ac:dyDescent="0.3">
      <c r="A179" s="17" t="s">
        <v>371</v>
      </c>
      <c r="B179" s="11" t="s">
        <v>372</v>
      </c>
      <c r="C179" s="12">
        <f t="shared" si="209"/>
        <v>1</v>
      </c>
      <c r="D179" s="41" t="str">
        <f t="shared" si="210"/>
        <v>m²</v>
      </c>
      <c r="E179" s="41">
        <v>305.08</v>
      </c>
      <c r="F179" s="41">
        <v>19.16</v>
      </c>
      <c r="G179" s="41">
        <f t="shared" si="211"/>
        <v>324.24</v>
      </c>
      <c r="H179" s="13">
        <f t="shared" si="212"/>
        <v>305.08</v>
      </c>
      <c r="I179" s="13">
        <f t="shared" si="213"/>
        <v>19.16</v>
      </c>
      <c r="J179" s="14">
        <f t="shared" si="214"/>
        <v>324.24</v>
      </c>
      <c r="M179" s="54"/>
      <c r="N179" s="56"/>
      <c r="V179" s="74">
        <v>1</v>
      </c>
      <c r="W179" s="74" t="s">
        <v>60</v>
      </c>
      <c r="X179" s="13">
        <v>356.8</v>
      </c>
      <c r="Y179" s="13">
        <v>20.11</v>
      </c>
      <c r="Z179" s="13">
        <f t="shared" si="215"/>
        <v>376.91</v>
      </c>
      <c r="AB179" s="74">
        <v>1</v>
      </c>
      <c r="AC179" s="74" t="s">
        <v>60</v>
      </c>
      <c r="AD179" s="13">
        <v>459.63</v>
      </c>
      <c r="AE179" s="13">
        <v>25.91</v>
      </c>
      <c r="AF179" s="13">
        <f t="shared" si="216"/>
        <v>485.54</v>
      </c>
      <c r="AH179" s="89">
        <f t="shared" si="183"/>
        <v>-0.33624872179796794</v>
      </c>
      <c r="AI179" s="89">
        <f t="shared" si="184"/>
        <v>-0.2605171748359707</v>
      </c>
      <c r="AJ179" s="89">
        <f t="shared" si="185"/>
        <v>-0.33220743913992667</v>
      </c>
    </row>
    <row r="180" spans="1:36" x14ac:dyDescent="0.3">
      <c r="A180" s="17" t="s">
        <v>373</v>
      </c>
      <c r="B180" s="11" t="s">
        <v>374</v>
      </c>
      <c r="C180" s="12">
        <f t="shared" si="209"/>
        <v>1</v>
      </c>
      <c r="D180" s="41" t="str">
        <f t="shared" si="210"/>
        <v>m²</v>
      </c>
      <c r="E180" s="41">
        <v>305.08</v>
      </c>
      <c r="F180" s="41">
        <v>9.58</v>
      </c>
      <c r="G180" s="41">
        <f t="shared" si="211"/>
        <v>314.65999999999997</v>
      </c>
      <c r="H180" s="13">
        <f t="shared" si="212"/>
        <v>305.08</v>
      </c>
      <c r="I180" s="13">
        <f t="shared" si="213"/>
        <v>9.58</v>
      </c>
      <c r="J180" s="14">
        <f t="shared" si="214"/>
        <v>314.65999999999997</v>
      </c>
      <c r="M180" s="54"/>
      <c r="N180" s="56"/>
      <c r="V180" s="74">
        <v>1</v>
      </c>
      <c r="W180" s="74" t="s">
        <v>60</v>
      </c>
      <c r="X180" s="13">
        <v>356.8</v>
      </c>
      <c r="Y180" s="13">
        <v>10.06</v>
      </c>
      <c r="Z180" s="13">
        <f t="shared" si="215"/>
        <v>366.86</v>
      </c>
      <c r="AB180" s="74">
        <v>1</v>
      </c>
      <c r="AC180" s="74" t="s">
        <v>60</v>
      </c>
      <c r="AD180" s="13">
        <v>459.63</v>
      </c>
      <c r="AE180" s="13">
        <v>12.96</v>
      </c>
      <c r="AF180" s="13">
        <f t="shared" si="216"/>
        <v>472.59</v>
      </c>
      <c r="AH180" s="89">
        <f t="shared" si="183"/>
        <v>-0.33624872179796794</v>
      </c>
      <c r="AI180" s="89">
        <f t="shared" si="184"/>
        <v>-0.26080246913580252</v>
      </c>
      <c r="AJ180" s="89">
        <f t="shared" si="185"/>
        <v>-0.33417973296091752</v>
      </c>
    </row>
    <row r="181" spans="1:36" x14ac:dyDescent="0.3">
      <c r="A181" s="17" t="s">
        <v>375</v>
      </c>
      <c r="B181" s="11" t="s">
        <v>376</v>
      </c>
      <c r="C181" s="12">
        <f t="shared" si="209"/>
        <v>1</v>
      </c>
      <c r="D181" s="41" t="str">
        <f t="shared" si="210"/>
        <v>m</v>
      </c>
      <c r="E181" s="41">
        <v>119.55</v>
      </c>
      <c r="F181" s="41">
        <v>26.9</v>
      </c>
      <c r="G181" s="41">
        <f t="shared" si="211"/>
        <v>146.44999999999999</v>
      </c>
      <c r="H181" s="13">
        <f t="shared" si="212"/>
        <v>119.55</v>
      </c>
      <c r="I181" s="13">
        <f t="shared" si="213"/>
        <v>26.9</v>
      </c>
      <c r="J181" s="14">
        <f t="shared" si="214"/>
        <v>146.44999999999999</v>
      </c>
      <c r="M181" s="54"/>
      <c r="N181" s="56"/>
      <c r="V181" s="74">
        <v>1</v>
      </c>
      <c r="W181" s="74" t="s">
        <v>76</v>
      </c>
      <c r="X181" s="13">
        <v>139.99</v>
      </c>
      <c r="Y181" s="13">
        <v>28.23</v>
      </c>
      <c r="Z181" s="13">
        <f t="shared" si="215"/>
        <v>168.22</v>
      </c>
      <c r="AB181" s="74">
        <v>1</v>
      </c>
      <c r="AC181" s="74" t="s">
        <v>76</v>
      </c>
      <c r="AD181" s="13">
        <v>180.34</v>
      </c>
      <c r="AE181" s="13">
        <v>36.369999999999997</v>
      </c>
      <c r="AF181" s="13">
        <f t="shared" si="216"/>
        <v>216.71</v>
      </c>
      <c r="AH181" s="89">
        <f t="shared" si="183"/>
        <v>-0.33708550515692581</v>
      </c>
      <c r="AI181" s="89">
        <f t="shared" si="184"/>
        <v>-0.26037943359912019</v>
      </c>
      <c r="AJ181" s="89">
        <f t="shared" si="185"/>
        <v>-0.32421208066079099</v>
      </c>
    </row>
    <row r="182" spans="1:36" x14ac:dyDescent="0.3">
      <c r="A182" s="17" t="s">
        <v>377</v>
      </c>
      <c r="B182" s="11" t="s">
        <v>378</v>
      </c>
      <c r="C182" s="12">
        <f t="shared" si="201"/>
        <v>1</v>
      </c>
      <c r="D182" s="41" t="str">
        <f t="shared" si="202"/>
        <v>m</v>
      </c>
      <c r="E182" s="41">
        <v>163.83000000000001</v>
      </c>
      <c r="F182" s="41">
        <v>20.99</v>
      </c>
      <c r="G182" s="41">
        <f t="shared" si="207"/>
        <v>184.82000000000002</v>
      </c>
      <c r="H182" s="13">
        <f t="shared" si="203"/>
        <v>163.83000000000001</v>
      </c>
      <c r="I182" s="13">
        <f t="shared" si="204"/>
        <v>20.99</v>
      </c>
      <c r="J182" s="14">
        <f t="shared" si="208"/>
        <v>184.82000000000002</v>
      </c>
      <c r="M182" s="54"/>
      <c r="N182" s="56"/>
      <c r="V182" s="74">
        <v>1</v>
      </c>
      <c r="W182" s="74" t="s">
        <v>76</v>
      </c>
      <c r="X182" s="13">
        <v>189.29</v>
      </c>
      <c r="Y182" s="13">
        <v>22.06</v>
      </c>
      <c r="Z182" s="13">
        <f t="shared" si="205"/>
        <v>211.35</v>
      </c>
      <c r="AB182" s="74">
        <v>1</v>
      </c>
      <c r="AC182" s="74" t="s">
        <v>76</v>
      </c>
      <c r="AD182" s="13">
        <v>243.84</v>
      </c>
      <c r="AE182" s="13">
        <v>28.42</v>
      </c>
      <c r="AF182" s="13">
        <f t="shared" ref="AF182:AF187" si="217">SUM(AD182:AE182)</f>
        <v>272.26</v>
      </c>
      <c r="AH182" s="89">
        <f t="shared" si="183"/>
        <v>-0.328125</v>
      </c>
      <c r="AI182" s="89">
        <f t="shared" si="184"/>
        <v>-0.26143560872624927</v>
      </c>
      <c r="AJ182" s="89">
        <f t="shared" si="185"/>
        <v>-0.32116359362374192</v>
      </c>
    </row>
    <row r="183" spans="1:36" x14ac:dyDescent="0.3">
      <c r="A183" s="17" t="s">
        <v>379</v>
      </c>
      <c r="B183" s="11" t="s">
        <v>380</v>
      </c>
      <c r="C183" s="12">
        <f t="shared" si="201"/>
        <v>1</v>
      </c>
      <c r="D183" s="41" t="str">
        <f t="shared" si="202"/>
        <v>m</v>
      </c>
      <c r="E183" s="41">
        <v>328.65</v>
      </c>
      <c r="F183" s="41">
        <v>40.67</v>
      </c>
      <c r="G183" s="41">
        <f t="shared" si="207"/>
        <v>369.32</v>
      </c>
      <c r="H183" s="13">
        <f t="shared" si="203"/>
        <v>328.65</v>
      </c>
      <c r="I183" s="13">
        <f t="shared" si="204"/>
        <v>40.67</v>
      </c>
      <c r="J183" s="14">
        <f t="shared" si="208"/>
        <v>369.32</v>
      </c>
      <c r="M183" s="54"/>
      <c r="N183" s="56"/>
      <c r="V183" s="74">
        <v>1</v>
      </c>
      <c r="W183" s="74" t="s">
        <v>76</v>
      </c>
      <c r="X183" s="13">
        <v>377.08</v>
      </c>
      <c r="Y183" s="13">
        <v>42.7</v>
      </c>
      <c r="Z183" s="13">
        <f t="shared" si="205"/>
        <v>419.78</v>
      </c>
      <c r="AB183" s="74">
        <v>1</v>
      </c>
      <c r="AC183" s="74" t="s">
        <v>76</v>
      </c>
      <c r="AD183" s="13">
        <v>485.75</v>
      </c>
      <c r="AE183" s="13">
        <v>55.01</v>
      </c>
      <c r="AF183" s="13">
        <f t="shared" si="217"/>
        <v>540.76</v>
      </c>
      <c r="AH183" s="89">
        <f t="shared" si="183"/>
        <v>-0.32341739577972217</v>
      </c>
      <c r="AI183" s="89">
        <f t="shared" si="184"/>
        <v>-0.26067987638611156</v>
      </c>
      <c r="AJ183" s="89">
        <f t="shared" si="185"/>
        <v>-0.31703528367482803</v>
      </c>
    </row>
    <row r="184" spans="1:36" x14ac:dyDescent="0.3">
      <c r="A184" s="17" t="s">
        <v>381</v>
      </c>
      <c r="B184" s="11" t="s">
        <v>382</v>
      </c>
      <c r="C184" s="12">
        <f t="shared" si="201"/>
        <v>1</v>
      </c>
      <c r="D184" s="41" t="str">
        <f t="shared" si="202"/>
        <v>un</v>
      </c>
      <c r="E184" s="41">
        <v>481.37</v>
      </c>
      <c r="F184" s="41">
        <v>65.63</v>
      </c>
      <c r="G184" s="41">
        <f t="shared" si="207"/>
        <v>547</v>
      </c>
      <c r="H184" s="13">
        <f t="shared" si="203"/>
        <v>481.37</v>
      </c>
      <c r="I184" s="13">
        <f t="shared" si="204"/>
        <v>65.63</v>
      </c>
      <c r="J184" s="14">
        <f t="shared" si="208"/>
        <v>547</v>
      </c>
      <c r="M184" s="54"/>
      <c r="N184" s="56"/>
      <c r="V184" s="74">
        <v>1</v>
      </c>
      <c r="W184" s="74" t="s">
        <v>110</v>
      </c>
      <c r="X184" s="13">
        <v>554.25</v>
      </c>
      <c r="Y184" s="13">
        <v>68.8</v>
      </c>
      <c r="Z184" s="13">
        <f t="shared" si="205"/>
        <v>623.04999999999995</v>
      </c>
      <c r="AB184" s="74">
        <v>1</v>
      </c>
      <c r="AC184" s="74" t="s">
        <v>110</v>
      </c>
      <c r="AD184" s="13">
        <v>713.98</v>
      </c>
      <c r="AE184" s="13">
        <v>88.63</v>
      </c>
      <c r="AF184" s="13">
        <f t="shared" si="217"/>
        <v>802.61</v>
      </c>
      <c r="AH184" s="89">
        <f t="shared" si="183"/>
        <v>-0.32579343959214546</v>
      </c>
      <c r="AI184" s="89">
        <f t="shared" si="184"/>
        <v>-0.2595058106735868</v>
      </c>
      <c r="AJ184" s="89">
        <f t="shared" si="185"/>
        <v>-0.31847348027061717</v>
      </c>
    </row>
    <row r="185" spans="1:36" x14ac:dyDescent="0.3">
      <c r="A185" s="17" t="s">
        <v>383</v>
      </c>
      <c r="B185" s="11" t="s">
        <v>384</v>
      </c>
      <c r="C185" s="12">
        <f t="shared" si="201"/>
        <v>1</v>
      </c>
      <c r="D185" s="41" t="str">
        <f t="shared" si="202"/>
        <v>un</v>
      </c>
      <c r="E185" s="41">
        <v>314.27999999999997</v>
      </c>
      <c r="F185" s="41">
        <v>65.63</v>
      </c>
      <c r="G185" s="41">
        <f t="shared" si="207"/>
        <v>379.90999999999997</v>
      </c>
      <c r="H185" s="13">
        <f t="shared" si="203"/>
        <v>314.27999999999997</v>
      </c>
      <c r="I185" s="13">
        <f t="shared" si="204"/>
        <v>65.63</v>
      </c>
      <c r="J185" s="14">
        <f t="shared" si="208"/>
        <v>379.90999999999997</v>
      </c>
      <c r="M185" s="54"/>
      <c r="N185" s="56"/>
      <c r="V185" s="74">
        <v>1</v>
      </c>
      <c r="W185" s="74" t="s">
        <v>110</v>
      </c>
      <c r="X185" s="13">
        <v>363.26</v>
      </c>
      <c r="Y185" s="13">
        <v>68.8</v>
      </c>
      <c r="Z185" s="13">
        <f t="shared" si="205"/>
        <v>432.06</v>
      </c>
      <c r="AB185" s="74">
        <v>1</v>
      </c>
      <c r="AC185" s="74" t="s">
        <v>110</v>
      </c>
      <c r="AD185" s="13">
        <v>467.95</v>
      </c>
      <c r="AE185" s="13">
        <v>88.63</v>
      </c>
      <c r="AF185" s="13">
        <f t="shared" si="217"/>
        <v>556.57999999999993</v>
      </c>
      <c r="AH185" s="89">
        <f t="shared" si="183"/>
        <v>-0.32838978523346518</v>
      </c>
      <c r="AI185" s="89">
        <f t="shared" si="184"/>
        <v>-0.2595058106735868</v>
      </c>
      <c r="AJ185" s="89">
        <f t="shared" si="185"/>
        <v>-0.31742067627295267</v>
      </c>
    </row>
    <row r="186" spans="1:36" x14ac:dyDescent="0.3">
      <c r="A186" s="17" t="s">
        <v>385</v>
      </c>
      <c r="B186" s="11" t="s">
        <v>386</v>
      </c>
      <c r="C186" s="12">
        <f t="shared" si="201"/>
        <v>1</v>
      </c>
      <c r="D186" s="41" t="str">
        <f t="shared" si="202"/>
        <v>un</v>
      </c>
      <c r="E186" s="41">
        <v>689.79</v>
      </c>
      <c r="F186" s="41">
        <v>65.63</v>
      </c>
      <c r="G186" s="41">
        <f t="shared" si="207"/>
        <v>755.42</v>
      </c>
      <c r="H186" s="13">
        <f t="shared" si="203"/>
        <v>689.79</v>
      </c>
      <c r="I186" s="13">
        <f t="shared" si="204"/>
        <v>65.63</v>
      </c>
      <c r="J186" s="14">
        <f t="shared" si="208"/>
        <v>755.42</v>
      </c>
      <c r="M186" s="54"/>
      <c r="N186" s="55"/>
      <c r="V186" s="74">
        <v>1</v>
      </c>
      <c r="W186" s="74" t="s">
        <v>110</v>
      </c>
      <c r="X186" s="13">
        <v>792.49</v>
      </c>
      <c r="Y186" s="13">
        <v>68.8</v>
      </c>
      <c r="Z186" s="13">
        <f t="shared" si="205"/>
        <v>861.29</v>
      </c>
      <c r="AB186" s="74">
        <v>1</v>
      </c>
      <c r="AC186" s="74" t="s">
        <v>110</v>
      </c>
      <c r="AD186" s="13">
        <v>1020.89</v>
      </c>
      <c r="AE186" s="13">
        <v>88.63</v>
      </c>
      <c r="AF186" s="13">
        <f t="shared" si="217"/>
        <v>1109.52</v>
      </c>
      <c r="AH186" s="89">
        <f t="shared" si="183"/>
        <v>-0.32432485380403375</v>
      </c>
      <c r="AI186" s="89">
        <f t="shared" si="184"/>
        <v>-0.2595058106735868</v>
      </c>
      <c r="AJ186" s="89">
        <f t="shared" si="185"/>
        <v>-0.31914701853053573</v>
      </c>
    </row>
    <row r="187" spans="1:36" x14ac:dyDescent="0.3">
      <c r="A187" s="17" t="s">
        <v>387</v>
      </c>
      <c r="B187" s="11" t="s">
        <v>388</v>
      </c>
      <c r="C187" s="12">
        <f t="shared" si="201"/>
        <v>1</v>
      </c>
      <c r="D187" s="41" t="str">
        <f t="shared" si="202"/>
        <v>un</v>
      </c>
      <c r="E187" s="41">
        <v>170.13</v>
      </c>
      <c r="F187" s="41">
        <v>62.97</v>
      </c>
      <c r="G187" s="41">
        <f t="shared" si="207"/>
        <v>233.1</v>
      </c>
      <c r="H187" s="13">
        <f t="shared" si="203"/>
        <v>170.13</v>
      </c>
      <c r="I187" s="13">
        <f t="shared" si="204"/>
        <v>62.97</v>
      </c>
      <c r="J187" s="14">
        <f t="shared" si="208"/>
        <v>233.1</v>
      </c>
      <c r="M187" s="54"/>
      <c r="N187" s="56"/>
      <c r="V187" s="74">
        <v>1</v>
      </c>
      <c r="W187" s="74" t="s">
        <v>110</v>
      </c>
      <c r="X187" s="13">
        <v>197.76</v>
      </c>
      <c r="Y187" s="13">
        <v>66.17</v>
      </c>
      <c r="Z187" s="13">
        <f t="shared" si="205"/>
        <v>263.93</v>
      </c>
      <c r="AB187" s="74">
        <v>1</v>
      </c>
      <c r="AC187" s="74" t="s">
        <v>110</v>
      </c>
      <c r="AD187" s="13">
        <v>254.75</v>
      </c>
      <c r="AE187" s="13">
        <v>85.24</v>
      </c>
      <c r="AF187" s="13">
        <f t="shared" si="217"/>
        <v>339.99</v>
      </c>
      <c r="AH187" s="89">
        <f t="shared" si="183"/>
        <v>-0.33216879293424928</v>
      </c>
      <c r="AI187" s="89">
        <f t="shared" si="184"/>
        <v>-0.26126231816048795</v>
      </c>
      <c r="AJ187" s="89">
        <f t="shared" si="185"/>
        <v>-0.31439159975293396</v>
      </c>
    </row>
    <row r="188" spans="1:36" x14ac:dyDescent="0.3">
      <c r="A188" s="17" t="s">
        <v>389</v>
      </c>
      <c r="B188" s="11" t="s">
        <v>390</v>
      </c>
      <c r="C188" s="12">
        <f t="shared" ref="C188" si="218">V188</f>
        <v>1</v>
      </c>
      <c r="D188" s="41" t="str">
        <f t="shared" ref="D188" si="219">W188</f>
        <v>un</v>
      </c>
      <c r="E188" s="41">
        <v>74.150000000000006</v>
      </c>
      <c r="F188" s="41">
        <v>41.98</v>
      </c>
      <c r="G188" s="41">
        <f t="shared" ref="G188" si="220">F188+E188</f>
        <v>116.13</v>
      </c>
      <c r="H188" s="13">
        <f t="shared" ref="H188" si="221">C188*E188</f>
        <v>74.150000000000006</v>
      </c>
      <c r="I188" s="13">
        <f t="shared" ref="I188" si="222">C188*F188</f>
        <v>41.98</v>
      </c>
      <c r="J188" s="14">
        <f t="shared" ref="J188" si="223">SUM(E188:F188)*C188</f>
        <v>116.13</v>
      </c>
      <c r="M188" s="54"/>
      <c r="N188" s="56"/>
      <c r="V188" s="74">
        <v>1</v>
      </c>
      <c r="W188" s="74" t="s">
        <v>110</v>
      </c>
      <c r="X188" s="13">
        <v>88.78</v>
      </c>
      <c r="Y188" s="13">
        <v>44.11</v>
      </c>
      <c r="Z188" s="13">
        <f t="shared" ref="Z188" si="224">SUM(X188:Y188)</f>
        <v>132.88999999999999</v>
      </c>
      <c r="AB188" s="74">
        <v>1</v>
      </c>
      <c r="AC188" s="74" t="s">
        <v>110</v>
      </c>
      <c r="AD188" s="13">
        <v>114.37</v>
      </c>
      <c r="AE188" s="13">
        <v>56.82</v>
      </c>
      <c r="AF188" s="13">
        <f t="shared" ref="AF188" si="225">SUM(AD188:AE188)</f>
        <v>171.19</v>
      </c>
      <c r="AH188" s="89">
        <f t="shared" si="183"/>
        <v>-0.35166564658564303</v>
      </c>
      <c r="AI188" s="89">
        <f t="shared" si="184"/>
        <v>-0.26117564237944391</v>
      </c>
      <c r="AJ188" s="89">
        <f t="shared" si="185"/>
        <v>-0.32163093638647122</v>
      </c>
    </row>
    <row r="189" spans="1:36" x14ac:dyDescent="0.3">
      <c r="A189" s="17" t="s">
        <v>391</v>
      </c>
      <c r="B189" s="11" t="s">
        <v>392</v>
      </c>
      <c r="C189" s="12">
        <f t="shared" si="201"/>
        <v>1</v>
      </c>
      <c r="D189" s="41" t="str">
        <f t="shared" si="202"/>
        <v>m²</v>
      </c>
      <c r="E189" s="41">
        <v>208.6</v>
      </c>
      <c r="F189" s="41">
        <v>83.96</v>
      </c>
      <c r="G189" s="41">
        <f t="shared" si="207"/>
        <v>292.56</v>
      </c>
      <c r="H189" s="13">
        <f t="shared" si="203"/>
        <v>208.6</v>
      </c>
      <c r="I189" s="13">
        <f t="shared" si="204"/>
        <v>83.96</v>
      </c>
      <c r="J189" s="14">
        <f t="shared" si="208"/>
        <v>292.56</v>
      </c>
      <c r="M189" s="54"/>
      <c r="N189" s="56"/>
      <c r="V189" s="74">
        <v>1</v>
      </c>
      <c r="W189" s="74" t="s">
        <v>60</v>
      </c>
      <c r="X189" s="13">
        <v>239.79</v>
      </c>
      <c r="Y189" s="13">
        <v>88.22</v>
      </c>
      <c r="Z189" s="13">
        <f t="shared" si="205"/>
        <v>328.01</v>
      </c>
      <c r="AB189" s="74">
        <v>1</v>
      </c>
      <c r="AC189" s="74" t="s">
        <v>60</v>
      </c>
      <c r="AD189" s="13">
        <v>308.89999999999998</v>
      </c>
      <c r="AE189" s="13">
        <v>113.65</v>
      </c>
      <c r="AF189" s="13">
        <f t="shared" ref="AF189:AF190" si="226">SUM(AD189:AE189)</f>
        <v>422.54999999999995</v>
      </c>
      <c r="AH189" s="89">
        <f t="shared" si="183"/>
        <v>-0.32470055033991585</v>
      </c>
      <c r="AI189" s="89">
        <f t="shared" si="184"/>
        <v>-0.26124065112186545</v>
      </c>
      <c r="AJ189" s="89">
        <f t="shared" si="185"/>
        <v>-0.30763223287184938</v>
      </c>
    </row>
    <row r="190" spans="1:36" x14ac:dyDescent="0.3">
      <c r="A190" s="17" t="s">
        <v>393</v>
      </c>
      <c r="B190" s="11" t="s">
        <v>394</v>
      </c>
      <c r="C190" s="12">
        <f t="shared" si="201"/>
        <v>1</v>
      </c>
      <c r="D190" s="41" t="str">
        <f t="shared" si="202"/>
        <v>un</v>
      </c>
      <c r="E190" s="41">
        <v>807.84</v>
      </c>
      <c r="F190" s="41">
        <v>42.82</v>
      </c>
      <c r="G190" s="41">
        <f t="shared" si="207"/>
        <v>850.66000000000008</v>
      </c>
      <c r="H190" s="13">
        <f t="shared" si="203"/>
        <v>807.84</v>
      </c>
      <c r="I190" s="13">
        <f t="shared" si="204"/>
        <v>42.82</v>
      </c>
      <c r="J190" s="14">
        <f t="shared" si="208"/>
        <v>850.66000000000008</v>
      </c>
      <c r="M190" s="54"/>
      <c r="N190" s="56"/>
      <c r="V190" s="74">
        <v>1</v>
      </c>
      <c r="W190" s="74" t="s">
        <v>110</v>
      </c>
      <c r="X190" s="13">
        <v>912.15</v>
      </c>
      <c r="Y190" s="13">
        <v>45.04</v>
      </c>
      <c r="Z190" s="13">
        <f t="shared" si="205"/>
        <v>957.18999999999994</v>
      </c>
      <c r="AB190" s="74">
        <v>1</v>
      </c>
      <c r="AC190" s="74" t="s">
        <v>110</v>
      </c>
      <c r="AD190" s="13">
        <v>1175.03</v>
      </c>
      <c r="AE190" s="13">
        <v>58.02</v>
      </c>
      <c r="AF190" s="13">
        <f t="shared" si="226"/>
        <v>1233.05</v>
      </c>
      <c r="AH190" s="89">
        <f t="shared" si="183"/>
        <v>-0.31249414908555517</v>
      </c>
      <c r="AI190" s="89">
        <f t="shared" si="184"/>
        <v>-0.26197862805928995</v>
      </c>
      <c r="AJ190" s="89">
        <f t="shared" si="185"/>
        <v>-0.31011718908397867</v>
      </c>
    </row>
    <row r="191" spans="1:36" x14ac:dyDescent="0.3">
      <c r="A191" s="15">
        <v>15</v>
      </c>
      <c r="B191" s="16" t="s">
        <v>395</v>
      </c>
      <c r="C191" s="76"/>
      <c r="D191" s="58"/>
      <c r="E191" s="58">
        <v>0</v>
      </c>
      <c r="F191" s="58">
        <v>0</v>
      </c>
      <c r="G191" s="58"/>
      <c r="H191" s="24">
        <f t="shared" ref="H191:I191" si="227">SUM(H192:H208)</f>
        <v>415258.24999999988</v>
      </c>
      <c r="I191" s="24">
        <f t="shared" si="227"/>
        <v>62601.499999999993</v>
      </c>
      <c r="J191" s="24">
        <f>SUM(J192:J208)</f>
        <v>477859.75000000006</v>
      </c>
      <c r="M191" s="54"/>
      <c r="N191" s="56"/>
      <c r="V191" s="75"/>
      <c r="W191" s="75"/>
      <c r="X191" s="23"/>
      <c r="Y191" s="23"/>
      <c r="Z191" s="23"/>
      <c r="AB191" s="75"/>
      <c r="AC191" s="75"/>
      <c r="AD191" s="23"/>
      <c r="AE191" s="23"/>
      <c r="AF191" s="23"/>
      <c r="AH191" s="89">
        <f t="shared" si="183"/>
        <v>0</v>
      </c>
      <c r="AI191" s="89">
        <f t="shared" si="184"/>
        <v>0</v>
      </c>
      <c r="AJ191" s="89">
        <f t="shared" si="185"/>
        <v>0</v>
      </c>
    </row>
    <row r="192" spans="1:36" ht="28.8" x14ac:dyDescent="0.3">
      <c r="A192" s="17" t="s">
        <v>396</v>
      </c>
      <c r="B192" s="11" t="s">
        <v>397</v>
      </c>
      <c r="C192" s="12">
        <f t="shared" ref="C192:C208" si="228">V192</f>
        <v>30</v>
      </c>
      <c r="D192" s="41" t="str">
        <f t="shared" ref="D192:D208" si="229">W192</f>
        <v>cj</v>
      </c>
      <c r="E192" s="41">
        <v>126.85</v>
      </c>
      <c r="F192" s="41">
        <v>301.57</v>
      </c>
      <c r="G192" s="41">
        <f t="shared" si="207"/>
        <v>428.41999999999996</v>
      </c>
      <c r="H192" s="13">
        <f t="shared" ref="H192:H208" si="230">C192*E192</f>
        <v>3805.5</v>
      </c>
      <c r="I192" s="13">
        <f t="shared" ref="I192:I208" si="231">C192*F192</f>
        <v>9047.1</v>
      </c>
      <c r="J192" s="14">
        <f t="shared" si="208"/>
        <v>12852.599999999999</v>
      </c>
      <c r="M192" s="54"/>
      <c r="N192" s="56"/>
      <c r="V192" s="74">
        <v>30</v>
      </c>
      <c r="W192" s="74" t="s">
        <v>398</v>
      </c>
      <c r="X192" s="13">
        <v>151.88999999999999</v>
      </c>
      <c r="Y192" s="13">
        <v>316.39999999999998</v>
      </c>
      <c r="Z192" s="13">
        <f t="shared" ref="Z192:Z208" si="232">SUM(X192:Y192)</f>
        <v>468.28999999999996</v>
      </c>
      <c r="AB192" s="74">
        <v>30</v>
      </c>
      <c r="AC192" s="74" t="s">
        <v>398</v>
      </c>
      <c r="AD192" s="13">
        <v>195.66</v>
      </c>
      <c r="AE192" s="13">
        <v>407.59</v>
      </c>
      <c r="AF192" s="13">
        <f t="shared" ref="AF192:AF204" si="233">SUM(AD192:AE192)</f>
        <v>603.25</v>
      </c>
      <c r="AH192" s="89">
        <f t="shared" si="183"/>
        <v>-0.35168148829602375</v>
      </c>
      <c r="AI192" s="89">
        <f t="shared" si="184"/>
        <v>-0.26011433057729583</v>
      </c>
      <c r="AJ192" s="89">
        <f t="shared" si="185"/>
        <v>-0.28981351015333612</v>
      </c>
    </row>
    <row r="193" spans="1:36" x14ac:dyDescent="0.3">
      <c r="A193" s="17" t="s">
        <v>399</v>
      </c>
      <c r="B193" s="11" t="s">
        <v>400</v>
      </c>
      <c r="C193" s="12">
        <f t="shared" si="228"/>
        <v>630</v>
      </c>
      <c r="D193" s="41" t="str">
        <f t="shared" si="229"/>
        <v>cj</v>
      </c>
      <c r="E193" s="41">
        <v>25.6</v>
      </c>
      <c r="F193" s="41">
        <v>33.43</v>
      </c>
      <c r="G193" s="41">
        <f t="shared" si="207"/>
        <v>59.03</v>
      </c>
      <c r="H193" s="13">
        <f t="shared" si="230"/>
        <v>16128</v>
      </c>
      <c r="I193" s="13">
        <f t="shared" si="231"/>
        <v>21060.9</v>
      </c>
      <c r="J193" s="14">
        <f t="shared" si="208"/>
        <v>37188.9</v>
      </c>
      <c r="M193" s="54"/>
      <c r="N193" s="56"/>
      <c r="V193" s="74">
        <v>630</v>
      </c>
      <c r="W193" s="74" t="s">
        <v>398</v>
      </c>
      <c r="X193" s="13">
        <v>29.76</v>
      </c>
      <c r="Y193" s="13">
        <v>35.14</v>
      </c>
      <c r="Z193" s="13">
        <f t="shared" si="232"/>
        <v>64.900000000000006</v>
      </c>
      <c r="AB193" s="74">
        <v>630</v>
      </c>
      <c r="AC193" s="74" t="s">
        <v>398</v>
      </c>
      <c r="AD193" s="13">
        <v>38.340000000000003</v>
      </c>
      <c r="AE193" s="13">
        <v>45.27</v>
      </c>
      <c r="AF193" s="13">
        <f t="shared" si="233"/>
        <v>83.610000000000014</v>
      </c>
      <c r="AH193" s="89">
        <f t="shared" si="183"/>
        <v>-0.33229003651538869</v>
      </c>
      <c r="AI193" s="89">
        <f t="shared" si="184"/>
        <v>-0.26154185995140278</v>
      </c>
      <c r="AJ193" s="89">
        <f t="shared" si="185"/>
        <v>-0.29398397320894643</v>
      </c>
    </row>
    <row r="194" spans="1:36" x14ac:dyDescent="0.3">
      <c r="A194" s="17" t="s">
        <v>401</v>
      </c>
      <c r="B194" s="11" t="s">
        <v>402</v>
      </c>
      <c r="C194" s="12">
        <f t="shared" si="228"/>
        <v>345</v>
      </c>
      <c r="D194" s="41" t="str">
        <f t="shared" si="229"/>
        <v>cj</v>
      </c>
      <c r="E194" s="41">
        <v>108.89</v>
      </c>
      <c r="F194" s="41">
        <v>34.950000000000003</v>
      </c>
      <c r="G194" s="41">
        <f t="shared" si="207"/>
        <v>143.84</v>
      </c>
      <c r="H194" s="13">
        <f t="shared" si="230"/>
        <v>37567.050000000003</v>
      </c>
      <c r="I194" s="13">
        <f t="shared" si="231"/>
        <v>12057.750000000002</v>
      </c>
      <c r="J194" s="14">
        <f t="shared" si="208"/>
        <v>49624.800000000003</v>
      </c>
      <c r="M194" s="54"/>
      <c r="N194" s="56"/>
      <c r="V194" s="74">
        <v>345</v>
      </c>
      <c r="W194" s="74" t="s">
        <v>398</v>
      </c>
      <c r="X194" s="13">
        <v>130.38</v>
      </c>
      <c r="Y194" s="13">
        <v>36.61</v>
      </c>
      <c r="Z194" s="13">
        <f t="shared" si="232"/>
        <v>166.99</v>
      </c>
      <c r="AB194" s="74">
        <v>345</v>
      </c>
      <c r="AC194" s="74" t="s">
        <v>398</v>
      </c>
      <c r="AD194" s="13">
        <v>167.96</v>
      </c>
      <c r="AE194" s="13">
        <v>47.16</v>
      </c>
      <c r="AF194" s="13">
        <f t="shared" si="233"/>
        <v>215.12</v>
      </c>
      <c r="AH194" s="89">
        <f t="shared" si="183"/>
        <v>-0.35169087878066208</v>
      </c>
      <c r="AI194" s="89">
        <f t="shared" si="184"/>
        <v>-0.25890585241730268</v>
      </c>
      <c r="AJ194" s="89">
        <f t="shared" si="185"/>
        <v>-0.33134994421718111</v>
      </c>
    </row>
    <row r="195" spans="1:36" x14ac:dyDescent="0.3">
      <c r="A195" s="17" t="s">
        <v>403</v>
      </c>
      <c r="B195" s="11" t="s">
        <v>404</v>
      </c>
      <c r="C195" s="12">
        <f t="shared" si="228"/>
        <v>9</v>
      </c>
      <c r="D195" s="41" t="str">
        <f t="shared" si="229"/>
        <v>un</v>
      </c>
      <c r="E195" s="41">
        <v>26.08</v>
      </c>
      <c r="F195" s="41">
        <v>18.77</v>
      </c>
      <c r="G195" s="41">
        <f t="shared" si="207"/>
        <v>44.849999999999994</v>
      </c>
      <c r="H195" s="13">
        <f t="shared" si="230"/>
        <v>234.71999999999997</v>
      </c>
      <c r="I195" s="13">
        <f t="shared" si="231"/>
        <v>168.93</v>
      </c>
      <c r="J195" s="14">
        <f t="shared" si="208"/>
        <v>403.65</v>
      </c>
      <c r="M195" s="54"/>
      <c r="N195" s="56"/>
      <c r="V195" s="74">
        <v>9</v>
      </c>
      <c r="W195" s="74" t="s">
        <v>110</v>
      </c>
      <c r="X195" s="13">
        <v>32.49</v>
      </c>
      <c r="Y195" s="13">
        <v>19.809999999999999</v>
      </c>
      <c r="Z195" s="13">
        <f t="shared" si="232"/>
        <v>52.3</v>
      </c>
      <c r="AB195" s="74">
        <v>9</v>
      </c>
      <c r="AC195" s="74" t="s">
        <v>110</v>
      </c>
      <c r="AD195" s="13">
        <v>41.85</v>
      </c>
      <c r="AE195" s="13">
        <v>25.52</v>
      </c>
      <c r="AF195" s="13">
        <f t="shared" si="233"/>
        <v>67.37</v>
      </c>
      <c r="AH195" s="89">
        <f t="shared" si="183"/>
        <v>-0.37682198327359628</v>
      </c>
      <c r="AI195" s="89">
        <f t="shared" si="184"/>
        <v>-0.26449843260188088</v>
      </c>
      <c r="AJ195" s="89">
        <f t="shared" si="185"/>
        <v>-0.3342734154668251</v>
      </c>
    </row>
    <row r="196" spans="1:36" x14ac:dyDescent="0.3">
      <c r="A196" s="17" t="s">
        <v>405</v>
      </c>
      <c r="B196" s="11" t="s">
        <v>406</v>
      </c>
      <c r="C196" s="12">
        <f t="shared" si="228"/>
        <v>114</v>
      </c>
      <c r="D196" s="41" t="str">
        <f t="shared" si="229"/>
        <v>un</v>
      </c>
      <c r="E196" s="41">
        <v>152.41999999999999</v>
      </c>
      <c r="F196" s="41">
        <v>19.25</v>
      </c>
      <c r="G196" s="41">
        <f t="shared" si="207"/>
        <v>171.67</v>
      </c>
      <c r="H196" s="13">
        <f t="shared" si="230"/>
        <v>17375.879999999997</v>
      </c>
      <c r="I196" s="13">
        <f t="shared" si="231"/>
        <v>2194.5</v>
      </c>
      <c r="J196" s="14">
        <f t="shared" si="208"/>
        <v>19570.379999999997</v>
      </c>
      <c r="M196" s="54"/>
      <c r="N196" s="56"/>
      <c r="V196" s="74">
        <v>114</v>
      </c>
      <c r="W196" s="74" t="s">
        <v>110</v>
      </c>
      <c r="X196" s="13">
        <v>186.8</v>
      </c>
      <c r="Y196" s="13">
        <v>20.25</v>
      </c>
      <c r="Z196" s="13">
        <f t="shared" si="232"/>
        <v>207.05</v>
      </c>
      <c r="AB196" s="74">
        <v>114</v>
      </c>
      <c r="AC196" s="74" t="s">
        <v>110</v>
      </c>
      <c r="AD196" s="13">
        <v>240.64</v>
      </c>
      <c r="AE196" s="13">
        <v>26.09</v>
      </c>
      <c r="AF196" s="13">
        <f t="shared" si="233"/>
        <v>266.72999999999996</v>
      </c>
      <c r="AH196" s="89">
        <f t="shared" si="183"/>
        <v>-0.36660571808510645</v>
      </c>
      <c r="AI196" s="89">
        <f t="shared" si="184"/>
        <v>-0.26216941356841705</v>
      </c>
      <c r="AJ196" s="89">
        <f t="shared" si="185"/>
        <v>-0.35639035729014357</v>
      </c>
    </row>
    <row r="197" spans="1:36" ht="28.8" x14ac:dyDescent="0.3">
      <c r="A197" s="17" t="s">
        <v>407</v>
      </c>
      <c r="B197" s="11" t="s">
        <v>408</v>
      </c>
      <c r="C197" s="12">
        <f t="shared" si="228"/>
        <v>429</v>
      </c>
      <c r="D197" s="41" t="str">
        <f t="shared" si="229"/>
        <v>un</v>
      </c>
      <c r="E197" s="41">
        <v>683.64</v>
      </c>
      <c r="F197" s="41">
        <v>19.25</v>
      </c>
      <c r="G197" s="41">
        <f t="shared" si="207"/>
        <v>702.89</v>
      </c>
      <c r="H197" s="13">
        <f t="shared" si="230"/>
        <v>293281.56</v>
      </c>
      <c r="I197" s="13">
        <f t="shared" si="231"/>
        <v>8258.25</v>
      </c>
      <c r="J197" s="14">
        <f t="shared" si="208"/>
        <v>301539.81</v>
      </c>
      <c r="M197" s="54"/>
      <c r="N197" s="56"/>
      <c r="V197" s="74">
        <v>429</v>
      </c>
      <c r="W197" s="74" t="s">
        <v>110</v>
      </c>
      <c r="X197" s="13">
        <v>818.55</v>
      </c>
      <c r="Y197" s="13">
        <v>20.25</v>
      </c>
      <c r="Z197" s="13">
        <f t="shared" si="232"/>
        <v>838.8</v>
      </c>
      <c r="AB197" s="74">
        <v>429</v>
      </c>
      <c r="AC197" s="74" t="s">
        <v>110</v>
      </c>
      <c r="AD197" s="13">
        <v>1054.46</v>
      </c>
      <c r="AE197" s="13">
        <v>26.09</v>
      </c>
      <c r="AF197" s="13">
        <f t="shared" si="233"/>
        <v>1080.55</v>
      </c>
      <c r="AH197" s="89">
        <f t="shared" si="183"/>
        <v>-0.35166815241924776</v>
      </c>
      <c r="AI197" s="89">
        <f t="shared" si="184"/>
        <v>-0.26216941356841705</v>
      </c>
      <c r="AJ197" s="89">
        <f t="shared" si="185"/>
        <v>-0.34950719540974506</v>
      </c>
    </row>
    <row r="198" spans="1:36" x14ac:dyDescent="0.3">
      <c r="A198" s="17" t="s">
        <v>409</v>
      </c>
      <c r="B198" s="11" t="s">
        <v>410</v>
      </c>
      <c r="C198" s="12">
        <f t="shared" si="228"/>
        <v>243</v>
      </c>
      <c r="D198" s="41" t="str">
        <f t="shared" si="229"/>
        <v>un</v>
      </c>
      <c r="E198" s="41">
        <v>1.78</v>
      </c>
      <c r="F198" s="41">
        <v>19.25</v>
      </c>
      <c r="G198" s="41">
        <f t="shared" si="207"/>
        <v>21.03</v>
      </c>
      <c r="H198" s="13">
        <f t="shared" si="230"/>
        <v>432.54</v>
      </c>
      <c r="I198" s="13">
        <f t="shared" si="231"/>
        <v>4677.75</v>
      </c>
      <c r="J198" s="14">
        <f t="shared" si="208"/>
        <v>5110.29</v>
      </c>
      <c r="M198" s="54"/>
      <c r="N198" s="56"/>
      <c r="V198" s="74">
        <v>243</v>
      </c>
      <c r="W198" s="74" t="s">
        <v>110</v>
      </c>
      <c r="X198" s="13">
        <v>2.19</v>
      </c>
      <c r="Y198" s="13">
        <v>20.25</v>
      </c>
      <c r="Z198" s="13">
        <f t="shared" si="232"/>
        <v>22.44</v>
      </c>
      <c r="AB198" s="74">
        <v>243</v>
      </c>
      <c r="AC198" s="74" t="s">
        <v>110</v>
      </c>
      <c r="AD198" s="13">
        <v>2.82</v>
      </c>
      <c r="AE198" s="13">
        <v>26.09</v>
      </c>
      <c r="AF198" s="13">
        <f t="shared" si="233"/>
        <v>28.91</v>
      </c>
      <c r="AH198" s="89">
        <f t="shared" si="183"/>
        <v>-0.36879432624113473</v>
      </c>
      <c r="AI198" s="89">
        <f t="shared" si="184"/>
        <v>-0.26216941356841705</v>
      </c>
      <c r="AJ198" s="89">
        <f t="shared" si="185"/>
        <v>-0.27257004496713932</v>
      </c>
    </row>
    <row r="199" spans="1:36" x14ac:dyDescent="0.3">
      <c r="A199" s="17" t="s">
        <v>411</v>
      </c>
      <c r="B199" s="11" t="s">
        <v>412</v>
      </c>
      <c r="C199" s="12">
        <f t="shared" si="228"/>
        <v>138</v>
      </c>
      <c r="D199" s="41" t="str">
        <f t="shared" si="229"/>
        <v>un</v>
      </c>
      <c r="E199" s="41">
        <v>120.76</v>
      </c>
      <c r="F199" s="41">
        <v>7.18</v>
      </c>
      <c r="G199" s="41">
        <f t="shared" si="207"/>
        <v>127.94</v>
      </c>
      <c r="H199" s="13">
        <f t="shared" si="230"/>
        <v>16664.88</v>
      </c>
      <c r="I199" s="13">
        <f t="shared" si="231"/>
        <v>990.83999999999992</v>
      </c>
      <c r="J199" s="14">
        <f t="shared" si="208"/>
        <v>17655.72</v>
      </c>
      <c r="M199" s="54"/>
      <c r="N199" s="56"/>
      <c r="V199" s="74">
        <v>138</v>
      </c>
      <c r="W199" s="74" t="s">
        <v>110</v>
      </c>
      <c r="X199" s="13">
        <v>147.99</v>
      </c>
      <c r="Y199" s="13">
        <v>7.57</v>
      </c>
      <c r="Z199" s="13">
        <f t="shared" si="232"/>
        <v>155.56</v>
      </c>
      <c r="AB199" s="74">
        <v>138</v>
      </c>
      <c r="AC199" s="74" t="s">
        <v>110</v>
      </c>
      <c r="AD199" s="13">
        <v>190.64</v>
      </c>
      <c r="AE199" s="13">
        <v>9.75</v>
      </c>
      <c r="AF199" s="13">
        <f t="shared" si="233"/>
        <v>200.39</v>
      </c>
      <c r="AH199" s="89">
        <f t="shared" si="183"/>
        <v>-0.36655476290390254</v>
      </c>
      <c r="AI199" s="89">
        <f t="shared" si="184"/>
        <v>-0.26358974358974363</v>
      </c>
      <c r="AJ199" s="89">
        <f t="shared" si="185"/>
        <v>-0.3615449872748141</v>
      </c>
    </row>
    <row r="200" spans="1:36" x14ac:dyDescent="0.3">
      <c r="A200" s="17" t="s">
        <v>413</v>
      </c>
      <c r="B200" s="11" t="s">
        <v>414</v>
      </c>
      <c r="C200" s="12">
        <f t="shared" si="228"/>
        <v>15</v>
      </c>
      <c r="D200" s="41" t="str">
        <f t="shared" si="229"/>
        <v>un</v>
      </c>
      <c r="E200" s="41">
        <v>56.29</v>
      </c>
      <c r="F200" s="41">
        <v>22.28</v>
      </c>
      <c r="G200" s="41">
        <f t="shared" si="207"/>
        <v>78.569999999999993</v>
      </c>
      <c r="H200" s="13">
        <f t="shared" si="230"/>
        <v>844.35</v>
      </c>
      <c r="I200" s="13">
        <f t="shared" si="231"/>
        <v>334.20000000000005</v>
      </c>
      <c r="J200" s="14">
        <f t="shared" si="208"/>
        <v>1178.55</v>
      </c>
      <c r="M200" s="54"/>
      <c r="N200" s="55"/>
      <c r="V200" s="74">
        <v>15</v>
      </c>
      <c r="W200" s="74" t="s">
        <v>110</v>
      </c>
      <c r="X200" s="13">
        <v>64.28</v>
      </c>
      <c r="Y200" s="13">
        <v>23.43</v>
      </c>
      <c r="Z200" s="13">
        <f t="shared" si="232"/>
        <v>87.710000000000008</v>
      </c>
      <c r="AB200" s="74">
        <v>15</v>
      </c>
      <c r="AC200" s="74" t="s">
        <v>110</v>
      </c>
      <c r="AD200" s="13">
        <v>82.81</v>
      </c>
      <c r="AE200" s="13">
        <v>30.18</v>
      </c>
      <c r="AF200" s="13">
        <f t="shared" si="233"/>
        <v>112.99000000000001</v>
      </c>
      <c r="AH200" s="89">
        <f t="shared" si="183"/>
        <v>-0.32025117739403453</v>
      </c>
      <c r="AI200" s="89">
        <f t="shared" si="184"/>
        <v>-0.26176275679257777</v>
      </c>
      <c r="AJ200" s="89">
        <f t="shared" si="185"/>
        <v>-0.30462872820603604</v>
      </c>
    </row>
    <row r="201" spans="1:36" x14ac:dyDescent="0.3">
      <c r="A201" s="17" t="s">
        <v>415</v>
      </c>
      <c r="B201" s="11" t="s">
        <v>416</v>
      </c>
      <c r="C201" s="12">
        <f t="shared" si="228"/>
        <v>48</v>
      </c>
      <c r="D201" s="41" t="str">
        <f t="shared" si="229"/>
        <v>m</v>
      </c>
      <c r="E201" s="41">
        <v>66.2</v>
      </c>
      <c r="F201" s="41">
        <v>13.73</v>
      </c>
      <c r="G201" s="41">
        <f t="shared" si="207"/>
        <v>79.930000000000007</v>
      </c>
      <c r="H201" s="13">
        <f t="shared" si="230"/>
        <v>3177.6000000000004</v>
      </c>
      <c r="I201" s="13">
        <f t="shared" si="231"/>
        <v>659.04</v>
      </c>
      <c r="J201" s="14">
        <f t="shared" si="208"/>
        <v>3836.6400000000003</v>
      </c>
      <c r="M201" s="54"/>
      <c r="N201" s="56"/>
      <c r="V201" s="74">
        <v>48</v>
      </c>
      <c r="W201" s="74" t="s">
        <v>76</v>
      </c>
      <c r="X201" s="13">
        <v>80.97</v>
      </c>
      <c r="Y201" s="13">
        <v>14.44</v>
      </c>
      <c r="Z201" s="13">
        <f t="shared" si="232"/>
        <v>95.41</v>
      </c>
      <c r="AB201" s="74">
        <v>48</v>
      </c>
      <c r="AC201" s="74" t="s">
        <v>76</v>
      </c>
      <c r="AD201" s="13">
        <v>104.31</v>
      </c>
      <c r="AE201" s="13">
        <v>18.600000000000001</v>
      </c>
      <c r="AF201" s="13">
        <f t="shared" si="233"/>
        <v>122.91</v>
      </c>
      <c r="AH201" s="89">
        <f t="shared" si="183"/>
        <v>-0.36535327389512029</v>
      </c>
      <c r="AI201" s="89">
        <f t="shared" si="184"/>
        <v>-0.26182795698924732</v>
      </c>
      <c r="AJ201" s="89">
        <f t="shared" si="185"/>
        <v>-0.34968676267187371</v>
      </c>
    </row>
    <row r="202" spans="1:36" x14ac:dyDescent="0.3">
      <c r="A202" s="17" t="s">
        <v>417</v>
      </c>
      <c r="B202" s="11" t="s">
        <v>418</v>
      </c>
      <c r="C202" s="12">
        <f t="shared" si="228"/>
        <v>1</v>
      </c>
      <c r="D202" s="41" t="str">
        <f t="shared" si="229"/>
        <v>un</v>
      </c>
      <c r="E202" s="41">
        <v>43.75</v>
      </c>
      <c r="F202" s="41">
        <v>10.5</v>
      </c>
      <c r="G202" s="41">
        <f t="shared" si="207"/>
        <v>54.25</v>
      </c>
      <c r="H202" s="13">
        <f t="shared" si="230"/>
        <v>43.75</v>
      </c>
      <c r="I202" s="13">
        <f t="shared" si="231"/>
        <v>10.5</v>
      </c>
      <c r="J202" s="14">
        <f t="shared" si="208"/>
        <v>54.25</v>
      </c>
      <c r="M202" s="54"/>
      <c r="N202" s="56"/>
      <c r="V202" s="74">
        <v>1</v>
      </c>
      <c r="W202" s="74" t="s">
        <v>110</v>
      </c>
      <c r="X202" s="13">
        <v>56.99</v>
      </c>
      <c r="Y202" s="13">
        <v>11.11</v>
      </c>
      <c r="Z202" s="13">
        <f t="shared" si="232"/>
        <v>68.099999999999994</v>
      </c>
      <c r="AB202" s="74">
        <v>1</v>
      </c>
      <c r="AC202" s="74" t="s">
        <v>110</v>
      </c>
      <c r="AD202" s="13">
        <v>73.41</v>
      </c>
      <c r="AE202" s="13">
        <v>14.31</v>
      </c>
      <c r="AF202" s="13">
        <f t="shared" si="233"/>
        <v>87.72</v>
      </c>
      <c r="AH202" s="89">
        <f t="shared" si="183"/>
        <v>-0.40403214820869093</v>
      </c>
      <c r="AI202" s="89">
        <f t="shared" si="184"/>
        <v>-0.2662473794549266</v>
      </c>
      <c r="AJ202" s="89">
        <f t="shared" si="185"/>
        <v>-0.38155494756041952</v>
      </c>
    </row>
    <row r="203" spans="1:36" x14ac:dyDescent="0.3">
      <c r="A203" s="17" t="s">
        <v>419</v>
      </c>
      <c r="B203" s="11" t="s">
        <v>420</v>
      </c>
      <c r="C203" s="12">
        <f t="shared" si="228"/>
        <v>33</v>
      </c>
      <c r="D203" s="41" t="str">
        <f t="shared" si="229"/>
        <v>un</v>
      </c>
      <c r="E203" s="41">
        <v>56.71</v>
      </c>
      <c r="F203" s="41">
        <v>13.37</v>
      </c>
      <c r="G203" s="41">
        <f t="shared" si="207"/>
        <v>70.08</v>
      </c>
      <c r="H203" s="13">
        <f t="shared" si="230"/>
        <v>1871.43</v>
      </c>
      <c r="I203" s="13">
        <f t="shared" si="231"/>
        <v>441.21</v>
      </c>
      <c r="J203" s="14">
        <f t="shared" si="208"/>
        <v>2312.64</v>
      </c>
      <c r="M203" s="54"/>
      <c r="N203" s="56"/>
      <c r="V203" s="74">
        <v>33</v>
      </c>
      <c r="W203" s="74" t="s">
        <v>110</v>
      </c>
      <c r="X203" s="13">
        <v>65.92</v>
      </c>
      <c r="Y203" s="13">
        <v>14.06</v>
      </c>
      <c r="Z203" s="13">
        <f t="shared" si="232"/>
        <v>79.98</v>
      </c>
      <c r="AB203" s="74">
        <v>33</v>
      </c>
      <c r="AC203" s="74" t="s">
        <v>110</v>
      </c>
      <c r="AD203" s="13">
        <v>84.92</v>
      </c>
      <c r="AE203" s="13">
        <v>18.11</v>
      </c>
      <c r="AF203" s="13">
        <f t="shared" si="233"/>
        <v>103.03</v>
      </c>
      <c r="AH203" s="89">
        <f t="shared" si="183"/>
        <v>-0.33219500706547334</v>
      </c>
      <c r="AI203" s="89">
        <f t="shared" si="184"/>
        <v>-0.26173384870237437</v>
      </c>
      <c r="AJ203" s="89">
        <f t="shared" si="185"/>
        <v>-0.31980976414636519</v>
      </c>
    </row>
    <row r="204" spans="1:36" x14ac:dyDescent="0.3">
      <c r="A204" s="17" t="s">
        <v>421</v>
      </c>
      <c r="B204" s="11" t="s">
        <v>422</v>
      </c>
      <c r="C204" s="12">
        <f t="shared" si="228"/>
        <v>96</v>
      </c>
      <c r="D204" s="41" t="str">
        <f t="shared" si="229"/>
        <v>un</v>
      </c>
      <c r="E204" s="41">
        <v>199.57</v>
      </c>
      <c r="F204" s="41">
        <v>18.04</v>
      </c>
      <c r="G204" s="41">
        <f t="shared" si="207"/>
        <v>217.60999999999999</v>
      </c>
      <c r="H204" s="13">
        <f t="shared" si="230"/>
        <v>19158.72</v>
      </c>
      <c r="I204" s="13">
        <f t="shared" si="231"/>
        <v>1731.84</v>
      </c>
      <c r="J204" s="14">
        <f t="shared" si="208"/>
        <v>20890.559999999998</v>
      </c>
      <c r="M204" s="54"/>
      <c r="N204" s="56"/>
      <c r="V204" s="74">
        <v>96</v>
      </c>
      <c r="W204" s="74" t="s">
        <v>110</v>
      </c>
      <c r="X204" s="13">
        <v>205.67</v>
      </c>
      <c r="Y204" s="13">
        <v>19.010000000000002</v>
      </c>
      <c r="Z204" s="13">
        <f t="shared" si="232"/>
        <v>224.67999999999998</v>
      </c>
      <c r="AB204" s="74">
        <v>96</v>
      </c>
      <c r="AC204" s="74" t="s">
        <v>110</v>
      </c>
      <c r="AD204" s="13">
        <v>264.94</v>
      </c>
      <c r="AE204" s="13">
        <v>24.49</v>
      </c>
      <c r="AF204" s="13">
        <f t="shared" si="233"/>
        <v>289.43</v>
      </c>
      <c r="AH204" s="89">
        <f t="shared" si="183"/>
        <v>-0.24673510983618929</v>
      </c>
      <c r="AI204" s="89">
        <f t="shared" si="184"/>
        <v>-0.2633728052266231</v>
      </c>
      <c r="AJ204" s="89">
        <f t="shared" si="185"/>
        <v>-0.2481429015651454</v>
      </c>
    </row>
    <row r="205" spans="1:36" x14ac:dyDescent="0.3">
      <c r="A205" s="17" t="s">
        <v>423</v>
      </c>
      <c r="B205" s="11" t="s">
        <v>424</v>
      </c>
      <c r="C205" s="12">
        <f t="shared" si="228"/>
        <v>12</v>
      </c>
      <c r="D205" s="41" t="str">
        <f t="shared" si="229"/>
        <v>un</v>
      </c>
      <c r="E205" s="41">
        <v>133.94999999999999</v>
      </c>
      <c r="F205" s="41">
        <v>18.04</v>
      </c>
      <c r="G205" s="41">
        <f t="shared" ref="G205" si="234">F205+E205</f>
        <v>151.98999999999998</v>
      </c>
      <c r="H205" s="13">
        <f t="shared" ref="H205" si="235">C205*E205</f>
        <v>1607.3999999999999</v>
      </c>
      <c r="I205" s="13">
        <f t="shared" ref="I205" si="236">C205*F205</f>
        <v>216.48</v>
      </c>
      <c r="J205" s="14">
        <f t="shared" ref="J205" si="237">SUM(E205:F205)*C205</f>
        <v>1823.8799999999997</v>
      </c>
      <c r="M205" s="54"/>
      <c r="N205" s="56"/>
      <c r="V205" s="74">
        <v>12</v>
      </c>
      <c r="W205" s="74" t="s">
        <v>110</v>
      </c>
      <c r="X205" s="13">
        <v>163.27000000000001</v>
      </c>
      <c r="Y205" s="13">
        <v>19.010000000000002</v>
      </c>
      <c r="Z205" s="13">
        <f t="shared" ref="Z205" si="238">SUM(X205:Y205)</f>
        <v>182.28</v>
      </c>
      <c r="AB205" s="74">
        <v>12</v>
      </c>
      <c r="AC205" s="74" t="s">
        <v>110</v>
      </c>
      <c r="AD205" s="13">
        <v>210.32</v>
      </c>
      <c r="AE205" s="13">
        <v>24.49</v>
      </c>
      <c r="AF205" s="13">
        <f t="shared" ref="AF205" si="239">SUM(AD205:AE205)</f>
        <v>234.81</v>
      </c>
      <c r="AH205" s="89">
        <f t="shared" si="183"/>
        <v>-0.3631133510840624</v>
      </c>
      <c r="AI205" s="89">
        <f t="shared" si="184"/>
        <v>-0.2633728052266231</v>
      </c>
      <c r="AJ205" s="89">
        <f t="shared" si="185"/>
        <v>-0.35271070226992041</v>
      </c>
    </row>
    <row r="206" spans="1:36" x14ac:dyDescent="0.3">
      <c r="A206" s="17" t="s">
        <v>425</v>
      </c>
      <c r="B206" s="11" t="s">
        <v>426</v>
      </c>
      <c r="C206" s="12">
        <f t="shared" si="228"/>
        <v>1</v>
      </c>
      <c r="D206" s="41" t="str">
        <f t="shared" si="229"/>
        <v>un</v>
      </c>
      <c r="E206" s="41">
        <v>90.8</v>
      </c>
      <c r="F206" s="41">
        <v>34.409999999999997</v>
      </c>
      <c r="G206" s="41">
        <f t="shared" si="207"/>
        <v>125.21</v>
      </c>
      <c r="H206" s="13">
        <f t="shared" si="230"/>
        <v>90.8</v>
      </c>
      <c r="I206" s="13">
        <f t="shared" si="231"/>
        <v>34.409999999999997</v>
      </c>
      <c r="J206" s="14">
        <f t="shared" si="208"/>
        <v>125.21</v>
      </c>
      <c r="M206" s="54"/>
      <c r="N206" s="56"/>
      <c r="V206" s="74">
        <v>1</v>
      </c>
      <c r="W206" s="74" t="s">
        <v>110</v>
      </c>
      <c r="X206" s="13">
        <v>108.63</v>
      </c>
      <c r="Y206" s="13">
        <v>36.049999999999997</v>
      </c>
      <c r="Z206" s="13">
        <f t="shared" si="232"/>
        <v>144.68</v>
      </c>
      <c r="AB206" s="74">
        <v>1</v>
      </c>
      <c r="AC206" s="74" t="s">
        <v>110</v>
      </c>
      <c r="AD206" s="13">
        <v>139.94</v>
      </c>
      <c r="AE206" s="13">
        <v>46.44</v>
      </c>
      <c r="AF206" s="13">
        <f t="shared" ref="AF206" si="240">SUM(AD206:AE206)</f>
        <v>186.38</v>
      </c>
      <c r="AH206" s="89">
        <f t="shared" si="183"/>
        <v>-0.35115049306845791</v>
      </c>
      <c r="AI206" s="89">
        <f t="shared" si="184"/>
        <v>-0.25904392764857886</v>
      </c>
      <c r="AJ206" s="89">
        <f t="shared" si="185"/>
        <v>-0.32820045069213433</v>
      </c>
    </row>
    <row r="207" spans="1:36" x14ac:dyDescent="0.3">
      <c r="A207" s="17" t="s">
        <v>427</v>
      </c>
      <c r="B207" s="11" t="s">
        <v>428</v>
      </c>
      <c r="C207" s="12">
        <f t="shared" ref="C207" si="241">V207</f>
        <v>54</v>
      </c>
      <c r="D207" s="41" t="str">
        <f t="shared" ref="D207" si="242">W207</f>
        <v>un</v>
      </c>
      <c r="E207" s="41">
        <v>53.95</v>
      </c>
      <c r="F207" s="41">
        <v>12.88</v>
      </c>
      <c r="G207" s="41">
        <f t="shared" ref="G207" si="243">F207+E207</f>
        <v>66.83</v>
      </c>
      <c r="H207" s="13">
        <f t="shared" ref="H207" si="244">C207*E207</f>
        <v>2913.3</v>
      </c>
      <c r="I207" s="13">
        <f t="shared" ref="I207" si="245">C207*F207</f>
        <v>695.5200000000001</v>
      </c>
      <c r="J207" s="14">
        <f t="shared" ref="J207" si="246">SUM(E207:F207)*C207</f>
        <v>3608.8199999999997</v>
      </c>
      <c r="M207" s="54"/>
      <c r="N207" s="56"/>
      <c r="V207" s="74">
        <v>54</v>
      </c>
      <c r="W207" s="74" t="s">
        <v>110</v>
      </c>
      <c r="X207" s="13">
        <v>57.5</v>
      </c>
      <c r="Y207" s="13">
        <v>13.53</v>
      </c>
      <c r="Z207" s="13">
        <f t="shared" ref="Z207" si="247">SUM(X207:Y207)</f>
        <v>71.03</v>
      </c>
      <c r="AB207" s="74">
        <v>54</v>
      </c>
      <c r="AC207" s="74" t="s">
        <v>110</v>
      </c>
      <c r="AD207" s="13">
        <v>74.069999999999993</v>
      </c>
      <c r="AE207" s="13">
        <v>17.43</v>
      </c>
      <c r="AF207" s="13">
        <f t="shared" ref="AF207" si="248">SUM(AD207:AE207)</f>
        <v>91.5</v>
      </c>
      <c r="AH207" s="89">
        <f t="shared" si="183"/>
        <v>-0.27163493992169563</v>
      </c>
      <c r="AI207" s="89">
        <f t="shared" si="184"/>
        <v>-0.26104417670682722</v>
      </c>
      <c r="AJ207" s="89">
        <f t="shared" si="185"/>
        <v>-0.26961748633879778</v>
      </c>
    </row>
    <row r="208" spans="1:36" x14ac:dyDescent="0.3">
      <c r="A208" s="17" t="s">
        <v>429</v>
      </c>
      <c r="B208" s="11" t="s">
        <v>430</v>
      </c>
      <c r="C208" s="12">
        <f t="shared" si="228"/>
        <v>1</v>
      </c>
      <c r="D208" s="41" t="str">
        <f t="shared" si="229"/>
        <v>un</v>
      </c>
      <c r="E208" s="41">
        <v>60.77</v>
      </c>
      <c r="F208" s="41">
        <v>22.28</v>
      </c>
      <c r="G208" s="41">
        <f t="shared" si="207"/>
        <v>83.050000000000011</v>
      </c>
      <c r="H208" s="13">
        <f t="shared" si="230"/>
        <v>60.77</v>
      </c>
      <c r="I208" s="13">
        <f t="shared" si="231"/>
        <v>22.28</v>
      </c>
      <c r="J208" s="14">
        <f t="shared" si="208"/>
        <v>83.050000000000011</v>
      </c>
      <c r="M208" s="54"/>
      <c r="N208" s="56"/>
      <c r="V208" s="74">
        <v>1</v>
      </c>
      <c r="W208" s="74" t="s">
        <v>110</v>
      </c>
      <c r="X208" s="13">
        <v>90.07</v>
      </c>
      <c r="Y208" s="13">
        <v>23.43</v>
      </c>
      <c r="Z208" s="13">
        <f t="shared" si="232"/>
        <v>113.5</v>
      </c>
      <c r="AB208" s="74">
        <v>1</v>
      </c>
      <c r="AC208" s="74" t="s">
        <v>110</v>
      </c>
      <c r="AD208" s="13">
        <v>116.03</v>
      </c>
      <c r="AE208" s="13">
        <v>30.18</v>
      </c>
      <c r="AF208" s="13">
        <f t="shared" ref="AF208" si="249">SUM(AD208:AE208)</f>
        <v>146.21</v>
      </c>
      <c r="AH208" s="89">
        <f t="shared" si="183"/>
        <v>-0.47625614065327926</v>
      </c>
      <c r="AI208" s="89">
        <f t="shared" si="184"/>
        <v>-0.26176275679257777</v>
      </c>
      <c r="AJ208" s="89">
        <f t="shared" si="185"/>
        <v>-0.43198139662129809</v>
      </c>
    </row>
    <row r="209" spans="1:36" x14ac:dyDescent="0.3">
      <c r="A209" s="15">
        <v>16</v>
      </c>
      <c r="B209" s="16" t="s">
        <v>431</v>
      </c>
      <c r="C209" s="76"/>
      <c r="D209" s="58"/>
      <c r="E209" s="58">
        <v>0</v>
      </c>
      <c r="F209" s="58">
        <v>0</v>
      </c>
      <c r="G209" s="58"/>
      <c r="H209" s="24">
        <f t="shared" ref="H209:I209" si="250">SUM(H210:H227)</f>
        <v>294064.78999999998</v>
      </c>
      <c r="I209" s="24">
        <f t="shared" si="250"/>
        <v>44979.62999999999</v>
      </c>
      <c r="J209" s="24">
        <f>SUM(J210:J227)</f>
        <v>339044.4200000001</v>
      </c>
      <c r="M209" s="54"/>
      <c r="N209" s="56"/>
      <c r="V209" s="75"/>
      <c r="W209" s="75"/>
      <c r="X209" s="23"/>
      <c r="Y209" s="23"/>
      <c r="Z209" s="23"/>
      <c r="AB209" s="75"/>
      <c r="AC209" s="75"/>
      <c r="AD209" s="23"/>
      <c r="AE209" s="23"/>
      <c r="AF209" s="23"/>
      <c r="AH209" s="89">
        <f t="shared" si="183"/>
        <v>0</v>
      </c>
      <c r="AI209" s="89">
        <f t="shared" si="184"/>
        <v>0</v>
      </c>
      <c r="AJ209" s="89">
        <f t="shared" si="185"/>
        <v>0</v>
      </c>
    </row>
    <row r="210" spans="1:36" x14ac:dyDescent="0.3">
      <c r="A210" s="17" t="s">
        <v>432</v>
      </c>
      <c r="B210" s="11" t="s">
        <v>433</v>
      </c>
      <c r="C210" s="12">
        <f t="shared" ref="C210:C227" si="251">V210</f>
        <v>32</v>
      </c>
      <c r="D210" s="41" t="str">
        <f t="shared" ref="D210:D227" si="252">W210</f>
        <v>m²</v>
      </c>
      <c r="E210" s="41">
        <v>135.85</v>
      </c>
      <c r="F210" s="41">
        <v>16.16</v>
      </c>
      <c r="G210" s="41">
        <f t="shared" si="207"/>
        <v>152.01</v>
      </c>
      <c r="H210" s="13">
        <f t="shared" ref="H210:H227" si="253">C210*E210</f>
        <v>4347.2</v>
      </c>
      <c r="I210" s="13">
        <f t="shared" ref="I210:I227" si="254">C210*F210</f>
        <v>517.12</v>
      </c>
      <c r="J210" s="14">
        <f t="shared" si="208"/>
        <v>4864.32</v>
      </c>
      <c r="M210" s="54"/>
      <c r="N210" s="56"/>
      <c r="V210" s="74">
        <v>32</v>
      </c>
      <c r="W210" s="74" t="s">
        <v>60</v>
      </c>
      <c r="X210" s="13">
        <v>156.09</v>
      </c>
      <c r="Y210" s="13">
        <v>17.04</v>
      </c>
      <c r="Z210" s="13">
        <f t="shared" ref="Z210:Z227" si="255">SUM(X210:Y210)</f>
        <v>173.13</v>
      </c>
      <c r="AB210" s="74">
        <v>32</v>
      </c>
      <c r="AC210" s="74" t="s">
        <v>60</v>
      </c>
      <c r="AD210" s="13">
        <v>201.08</v>
      </c>
      <c r="AE210" s="13">
        <v>21.95</v>
      </c>
      <c r="AF210" s="13">
        <f t="shared" ref="AF210:AF222" si="256">SUM(AD210:AE210)</f>
        <v>223.03</v>
      </c>
      <c r="AH210" s="89">
        <f t="shared" si="183"/>
        <v>-0.32439824945295415</v>
      </c>
      <c r="AI210" s="89">
        <f t="shared" si="184"/>
        <v>-0.26378132118451025</v>
      </c>
      <c r="AJ210" s="89">
        <f t="shared" si="185"/>
        <v>-0.31843249787024175</v>
      </c>
    </row>
    <row r="211" spans="1:36" x14ac:dyDescent="0.3">
      <c r="A211" s="17" t="s">
        <v>434</v>
      </c>
      <c r="B211" s="11" t="s">
        <v>435</v>
      </c>
      <c r="C211" s="12">
        <f t="shared" si="251"/>
        <v>1</v>
      </c>
      <c r="D211" s="41" t="str">
        <f t="shared" si="252"/>
        <v>m²</v>
      </c>
      <c r="E211" s="41">
        <v>170.53</v>
      </c>
      <c r="F211" s="41">
        <v>17.95</v>
      </c>
      <c r="G211" s="41">
        <f t="shared" si="207"/>
        <v>188.48</v>
      </c>
      <c r="H211" s="13">
        <f t="shared" si="253"/>
        <v>170.53</v>
      </c>
      <c r="I211" s="13">
        <f t="shared" si="254"/>
        <v>17.95</v>
      </c>
      <c r="J211" s="14">
        <f t="shared" si="208"/>
        <v>188.48</v>
      </c>
      <c r="M211" s="54"/>
      <c r="N211" s="56"/>
      <c r="V211" s="74">
        <v>1</v>
      </c>
      <c r="W211" s="74" t="s">
        <v>60</v>
      </c>
      <c r="X211" s="13">
        <v>207.13</v>
      </c>
      <c r="Y211" s="13">
        <v>18.940000000000001</v>
      </c>
      <c r="Z211" s="13">
        <f t="shared" si="255"/>
        <v>226.07</v>
      </c>
      <c r="AB211" s="74">
        <v>1</v>
      </c>
      <c r="AC211" s="74" t="s">
        <v>60</v>
      </c>
      <c r="AD211" s="13">
        <v>266.82</v>
      </c>
      <c r="AE211" s="13">
        <v>24.4</v>
      </c>
      <c r="AF211" s="13">
        <f t="shared" si="256"/>
        <v>291.21999999999997</v>
      </c>
      <c r="AH211" s="89">
        <f t="shared" ref="AH211:AH276" si="257">IF(E211=0,0,(E211/AD211)-1)</f>
        <v>-0.36087999400344795</v>
      </c>
      <c r="AI211" s="89">
        <f t="shared" si="184"/>
        <v>-0.2643442622950819</v>
      </c>
      <c r="AJ211" s="89">
        <f t="shared" si="185"/>
        <v>-0.35279170386649261</v>
      </c>
    </row>
    <row r="212" spans="1:36" x14ac:dyDescent="0.3">
      <c r="A212" s="17" t="s">
        <v>436</v>
      </c>
      <c r="B212" s="11" t="s">
        <v>437</v>
      </c>
      <c r="C212" s="12">
        <f t="shared" si="251"/>
        <v>1</v>
      </c>
      <c r="D212" s="41" t="str">
        <f t="shared" si="252"/>
        <v>m²</v>
      </c>
      <c r="E212" s="41">
        <v>121.97</v>
      </c>
      <c r="F212" s="41">
        <v>16.16</v>
      </c>
      <c r="G212" s="41">
        <f t="shared" si="207"/>
        <v>138.13</v>
      </c>
      <c r="H212" s="13">
        <f t="shared" si="253"/>
        <v>121.97</v>
      </c>
      <c r="I212" s="13">
        <f t="shared" si="254"/>
        <v>16.16</v>
      </c>
      <c r="J212" s="14">
        <f t="shared" si="208"/>
        <v>138.13</v>
      </c>
      <c r="M212" s="54"/>
      <c r="N212" s="56"/>
      <c r="V212" s="74">
        <v>1</v>
      </c>
      <c r="W212" s="74" t="s">
        <v>60</v>
      </c>
      <c r="X212" s="13">
        <v>135.66999999999999</v>
      </c>
      <c r="Y212" s="13">
        <v>17.04</v>
      </c>
      <c r="Z212" s="13">
        <f t="shared" si="255"/>
        <v>152.70999999999998</v>
      </c>
      <c r="AB212" s="74">
        <v>1</v>
      </c>
      <c r="AC212" s="74" t="s">
        <v>60</v>
      </c>
      <c r="AD212" s="13">
        <v>174.77</v>
      </c>
      <c r="AE212" s="13">
        <v>21.95</v>
      </c>
      <c r="AF212" s="13">
        <f t="shared" si="256"/>
        <v>196.72</v>
      </c>
      <c r="AH212" s="89">
        <f t="shared" si="257"/>
        <v>-0.3021113463409052</v>
      </c>
      <c r="AI212" s="89">
        <f t="shared" ref="AI212:AI277" si="258">IF(F212=0,0,(F212/AE212)-1)</f>
        <v>-0.26378132118451025</v>
      </c>
      <c r="AJ212" s="89">
        <f t="shared" ref="AJ212:AJ277" si="259">IF(G212=0,0,(G212/AF212)-1)</f>
        <v>-0.29783448556323711</v>
      </c>
    </row>
    <row r="213" spans="1:36" x14ac:dyDescent="0.3">
      <c r="A213" s="17" t="s">
        <v>438</v>
      </c>
      <c r="B213" s="11" t="s">
        <v>439</v>
      </c>
      <c r="C213" s="12">
        <f t="shared" si="251"/>
        <v>48</v>
      </c>
      <c r="D213" s="41" t="str">
        <f t="shared" si="252"/>
        <v>m²</v>
      </c>
      <c r="E213" s="41">
        <v>260.7</v>
      </c>
      <c r="F213" s="41">
        <v>16.16</v>
      </c>
      <c r="G213" s="41">
        <f t="shared" si="207"/>
        <v>276.86</v>
      </c>
      <c r="H213" s="13">
        <f t="shared" si="253"/>
        <v>12513.599999999999</v>
      </c>
      <c r="I213" s="13">
        <f t="shared" si="254"/>
        <v>775.68000000000006</v>
      </c>
      <c r="J213" s="14">
        <f t="shared" si="208"/>
        <v>13289.28</v>
      </c>
      <c r="M213" s="54"/>
      <c r="N213" s="56"/>
      <c r="V213" s="74">
        <v>48</v>
      </c>
      <c r="W213" s="74" t="s">
        <v>60</v>
      </c>
      <c r="X213" s="13">
        <v>339.84</v>
      </c>
      <c r="Y213" s="13">
        <v>17.04</v>
      </c>
      <c r="Z213" s="13">
        <f t="shared" si="255"/>
        <v>356.88</v>
      </c>
      <c r="AB213" s="74">
        <v>48</v>
      </c>
      <c r="AC213" s="74" t="s">
        <v>60</v>
      </c>
      <c r="AD213" s="13">
        <v>437.78</v>
      </c>
      <c r="AE213" s="13">
        <v>21.95</v>
      </c>
      <c r="AF213" s="13">
        <f t="shared" si="256"/>
        <v>459.72999999999996</v>
      </c>
      <c r="AH213" s="89">
        <f t="shared" si="257"/>
        <v>-0.40449540865274791</v>
      </c>
      <c r="AI213" s="89">
        <f t="shared" si="258"/>
        <v>-0.26378132118451025</v>
      </c>
      <c r="AJ213" s="89">
        <f t="shared" si="259"/>
        <v>-0.39777695603941432</v>
      </c>
    </row>
    <row r="214" spans="1:36" x14ac:dyDescent="0.3">
      <c r="A214" s="17" t="s">
        <v>440</v>
      </c>
      <c r="B214" s="11" t="s">
        <v>441</v>
      </c>
      <c r="C214" s="12">
        <f t="shared" si="251"/>
        <v>414</v>
      </c>
      <c r="D214" s="41" t="str">
        <f t="shared" si="252"/>
        <v>m²</v>
      </c>
      <c r="E214" s="41">
        <v>281.56</v>
      </c>
      <c r="F214" s="41">
        <v>17.95</v>
      </c>
      <c r="G214" s="41">
        <f t="shared" si="207"/>
        <v>299.51</v>
      </c>
      <c r="H214" s="13">
        <f t="shared" si="253"/>
        <v>116565.84</v>
      </c>
      <c r="I214" s="13">
        <f t="shared" si="254"/>
        <v>7431.2999999999993</v>
      </c>
      <c r="J214" s="14">
        <f t="shared" si="208"/>
        <v>123997.14</v>
      </c>
      <c r="M214" s="54"/>
      <c r="N214" s="56"/>
      <c r="V214" s="74">
        <v>414</v>
      </c>
      <c r="W214" s="74" t="s">
        <v>60</v>
      </c>
      <c r="X214" s="13">
        <v>273.49</v>
      </c>
      <c r="Y214" s="13">
        <v>18.940000000000001</v>
      </c>
      <c r="Z214" s="13">
        <f t="shared" si="255"/>
        <v>292.43</v>
      </c>
      <c r="AB214" s="74">
        <v>414</v>
      </c>
      <c r="AC214" s="74" t="s">
        <v>60</v>
      </c>
      <c r="AD214" s="13">
        <v>352.31</v>
      </c>
      <c r="AE214" s="13">
        <v>24.4</v>
      </c>
      <c r="AF214" s="13">
        <f t="shared" si="256"/>
        <v>376.71</v>
      </c>
      <c r="AH214" s="89">
        <f t="shared" si="257"/>
        <v>-0.20081746189435445</v>
      </c>
      <c r="AI214" s="89">
        <f t="shared" si="258"/>
        <v>-0.2643442622950819</v>
      </c>
      <c r="AJ214" s="89">
        <f t="shared" si="259"/>
        <v>-0.20493217594436042</v>
      </c>
    </row>
    <row r="215" spans="1:36" ht="28.8" x14ac:dyDescent="0.3">
      <c r="A215" s="17" t="s">
        <v>442</v>
      </c>
      <c r="B215" s="11" t="s">
        <v>443</v>
      </c>
      <c r="C215" s="12">
        <f t="shared" si="251"/>
        <v>1</v>
      </c>
      <c r="D215" s="41" t="str">
        <f t="shared" si="252"/>
        <v>m²</v>
      </c>
      <c r="E215" s="41">
        <v>493.12</v>
      </c>
      <c r="F215" s="41">
        <v>17.95</v>
      </c>
      <c r="G215" s="41">
        <f t="shared" si="207"/>
        <v>511.07</v>
      </c>
      <c r="H215" s="13">
        <f t="shared" si="253"/>
        <v>493.12</v>
      </c>
      <c r="I215" s="13">
        <f t="shared" si="254"/>
        <v>17.95</v>
      </c>
      <c r="J215" s="14">
        <f t="shared" si="208"/>
        <v>511.07</v>
      </c>
      <c r="M215" s="54"/>
      <c r="N215" s="56"/>
      <c r="V215" s="74">
        <v>1</v>
      </c>
      <c r="W215" s="74" t="s">
        <v>60</v>
      </c>
      <c r="X215" s="13">
        <v>638.05999999999995</v>
      </c>
      <c r="Y215" s="13">
        <v>18.940000000000001</v>
      </c>
      <c r="Z215" s="13">
        <f t="shared" si="255"/>
        <v>657</v>
      </c>
      <c r="AB215" s="74">
        <v>1</v>
      </c>
      <c r="AC215" s="74" t="s">
        <v>60</v>
      </c>
      <c r="AD215" s="13">
        <v>821.95</v>
      </c>
      <c r="AE215" s="13">
        <v>24.4</v>
      </c>
      <c r="AF215" s="13">
        <f t="shared" si="256"/>
        <v>846.35</v>
      </c>
      <c r="AH215" s="89">
        <f t="shared" si="257"/>
        <v>-0.40006083095078782</v>
      </c>
      <c r="AI215" s="89">
        <f t="shared" si="258"/>
        <v>-0.2643442622950819</v>
      </c>
      <c r="AJ215" s="89">
        <f t="shared" si="259"/>
        <v>-0.39614816565250788</v>
      </c>
    </row>
    <row r="216" spans="1:36" ht="28.8" x14ac:dyDescent="0.3">
      <c r="A216" s="17" t="s">
        <v>444</v>
      </c>
      <c r="B216" s="11" t="s">
        <v>445</v>
      </c>
      <c r="C216" s="12">
        <f t="shared" si="251"/>
        <v>88</v>
      </c>
      <c r="D216" s="41" t="str">
        <f t="shared" si="252"/>
        <v>m²</v>
      </c>
      <c r="E216" s="41">
        <v>901.7</v>
      </c>
      <c r="F216" s="41">
        <v>17.95</v>
      </c>
      <c r="G216" s="41">
        <f t="shared" si="207"/>
        <v>919.65000000000009</v>
      </c>
      <c r="H216" s="13">
        <f t="shared" si="253"/>
        <v>79349.600000000006</v>
      </c>
      <c r="I216" s="13">
        <f t="shared" si="254"/>
        <v>1579.6</v>
      </c>
      <c r="J216" s="14">
        <f t="shared" si="208"/>
        <v>80929.200000000012</v>
      </c>
      <c r="M216" s="54"/>
      <c r="N216" s="56"/>
      <c r="V216" s="74">
        <v>88</v>
      </c>
      <c r="W216" s="74" t="s">
        <v>60</v>
      </c>
      <c r="X216" s="13">
        <v>875.1</v>
      </c>
      <c r="Y216" s="13">
        <v>18.940000000000001</v>
      </c>
      <c r="Z216" s="13">
        <f t="shared" si="255"/>
        <v>894.04000000000008</v>
      </c>
      <c r="AB216" s="74">
        <v>88</v>
      </c>
      <c r="AC216" s="74" t="s">
        <v>60</v>
      </c>
      <c r="AD216" s="13">
        <v>1127.3</v>
      </c>
      <c r="AE216" s="13">
        <v>24.4</v>
      </c>
      <c r="AF216" s="13">
        <f t="shared" si="256"/>
        <v>1151.7</v>
      </c>
      <c r="AH216" s="89">
        <f t="shared" si="257"/>
        <v>-0.20012419054377706</v>
      </c>
      <c r="AI216" s="89">
        <f t="shared" si="258"/>
        <v>-0.2643442622950819</v>
      </c>
      <c r="AJ216" s="89">
        <f t="shared" si="259"/>
        <v>-0.20148476165668139</v>
      </c>
    </row>
    <row r="217" spans="1:36" x14ac:dyDescent="0.3">
      <c r="A217" s="17" t="s">
        <v>446</v>
      </c>
      <c r="B217" s="11" t="s">
        <v>447</v>
      </c>
      <c r="C217" s="12">
        <f t="shared" si="251"/>
        <v>1</v>
      </c>
      <c r="D217" s="41" t="str">
        <f t="shared" si="252"/>
        <v>m²</v>
      </c>
      <c r="E217" s="41">
        <v>446.75</v>
      </c>
      <c r="F217" s="41">
        <v>17.95</v>
      </c>
      <c r="G217" s="41">
        <f t="shared" si="207"/>
        <v>464.7</v>
      </c>
      <c r="H217" s="13">
        <f t="shared" si="253"/>
        <v>446.75</v>
      </c>
      <c r="I217" s="13">
        <f t="shared" si="254"/>
        <v>17.95</v>
      </c>
      <c r="J217" s="14">
        <f t="shared" si="208"/>
        <v>464.7</v>
      </c>
      <c r="M217" s="54"/>
      <c r="N217" s="56"/>
      <c r="V217" s="74">
        <v>1</v>
      </c>
      <c r="W217" s="74" t="s">
        <v>60</v>
      </c>
      <c r="X217" s="13">
        <v>521.25</v>
      </c>
      <c r="Y217" s="13">
        <v>18.940000000000001</v>
      </c>
      <c r="Z217" s="13">
        <f t="shared" si="255"/>
        <v>540.19000000000005</v>
      </c>
      <c r="AB217" s="74">
        <v>1</v>
      </c>
      <c r="AC217" s="74" t="s">
        <v>60</v>
      </c>
      <c r="AD217" s="13">
        <v>671.47</v>
      </c>
      <c r="AE217" s="13">
        <v>24.4</v>
      </c>
      <c r="AF217" s="13">
        <f t="shared" si="256"/>
        <v>695.87</v>
      </c>
      <c r="AH217" s="89">
        <f t="shared" si="257"/>
        <v>-0.33466871193054049</v>
      </c>
      <c r="AI217" s="89">
        <f t="shared" si="258"/>
        <v>-0.2643442622950819</v>
      </c>
      <c r="AJ217" s="89">
        <f t="shared" si="259"/>
        <v>-0.33220285398134708</v>
      </c>
    </row>
    <row r="218" spans="1:36" x14ac:dyDescent="0.3">
      <c r="A218" s="17" t="s">
        <v>448</v>
      </c>
      <c r="B218" s="11" t="s">
        <v>449</v>
      </c>
      <c r="C218" s="12">
        <f t="shared" si="251"/>
        <v>81</v>
      </c>
      <c r="D218" s="41" t="str">
        <f t="shared" si="252"/>
        <v>m²</v>
      </c>
      <c r="E218" s="41">
        <v>186.9</v>
      </c>
      <c r="F218" s="41">
        <v>17.95</v>
      </c>
      <c r="G218" s="41">
        <f t="shared" si="207"/>
        <v>204.85</v>
      </c>
      <c r="H218" s="13">
        <f t="shared" si="253"/>
        <v>15138.9</v>
      </c>
      <c r="I218" s="13">
        <f t="shared" si="254"/>
        <v>1453.95</v>
      </c>
      <c r="J218" s="14">
        <f t="shared" si="208"/>
        <v>16592.849999999999</v>
      </c>
      <c r="M218" s="54"/>
      <c r="N218" s="55"/>
      <c r="V218" s="74">
        <v>81</v>
      </c>
      <c r="W218" s="74" t="s">
        <v>60</v>
      </c>
      <c r="X218" s="13">
        <v>221.89</v>
      </c>
      <c r="Y218" s="13">
        <v>18.940000000000001</v>
      </c>
      <c r="Z218" s="13">
        <f t="shared" si="255"/>
        <v>240.82999999999998</v>
      </c>
      <c r="AB218" s="74">
        <v>81</v>
      </c>
      <c r="AC218" s="74" t="s">
        <v>60</v>
      </c>
      <c r="AD218" s="13">
        <v>285.83999999999997</v>
      </c>
      <c r="AE218" s="13">
        <v>24.4</v>
      </c>
      <c r="AF218" s="13">
        <f t="shared" si="256"/>
        <v>310.23999999999995</v>
      </c>
      <c r="AH218" s="89">
        <f t="shared" si="257"/>
        <v>-0.34613769941225858</v>
      </c>
      <c r="AI218" s="89">
        <f t="shared" si="258"/>
        <v>-0.2643442622950819</v>
      </c>
      <c r="AJ218" s="89">
        <f t="shared" si="259"/>
        <v>-0.33970474471376988</v>
      </c>
    </row>
    <row r="219" spans="1:36" x14ac:dyDescent="0.3">
      <c r="A219" s="17" t="s">
        <v>450</v>
      </c>
      <c r="B219" s="11" t="s">
        <v>451</v>
      </c>
      <c r="C219" s="12">
        <f t="shared" si="251"/>
        <v>555</v>
      </c>
      <c r="D219" s="41" t="str">
        <f t="shared" si="252"/>
        <v>m</v>
      </c>
      <c r="E219" s="41">
        <v>83.44</v>
      </c>
      <c r="F219" s="41">
        <v>52.89</v>
      </c>
      <c r="G219" s="41">
        <f t="shared" si="207"/>
        <v>136.32999999999998</v>
      </c>
      <c r="H219" s="13">
        <f t="shared" si="253"/>
        <v>46309.2</v>
      </c>
      <c r="I219" s="13">
        <f t="shared" si="254"/>
        <v>29353.95</v>
      </c>
      <c r="J219" s="14">
        <f t="shared" si="208"/>
        <v>75663.149999999994</v>
      </c>
      <c r="M219" s="54"/>
      <c r="N219" s="56"/>
      <c r="V219" s="74">
        <v>555</v>
      </c>
      <c r="W219" s="74" t="s">
        <v>76</v>
      </c>
      <c r="X219" s="13">
        <v>89.77</v>
      </c>
      <c r="Y219" s="13">
        <v>55.53</v>
      </c>
      <c r="Z219" s="13">
        <f t="shared" si="255"/>
        <v>145.30000000000001</v>
      </c>
      <c r="AB219" s="74">
        <v>555</v>
      </c>
      <c r="AC219" s="74" t="s">
        <v>76</v>
      </c>
      <c r="AD219" s="13">
        <v>115.64</v>
      </c>
      <c r="AE219" s="13">
        <v>71.53</v>
      </c>
      <c r="AF219" s="13">
        <f t="shared" si="256"/>
        <v>187.17000000000002</v>
      </c>
      <c r="AH219" s="89">
        <f t="shared" si="257"/>
        <v>-0.27845036319612593</v>
      </c>
      <c r="AI219" s="89">
        <f t="shared" si="258"/>
        <v>-0.26058996225359987</v>
      </c>
      <c r="AJ219" s="89">
        <f t="shared" si="259"/>
        <v>-0.27162472618475197</v>
      </c>
    </row>
    <row r="220" spans="1:36" x14ac:dyDescent="0.3">
      <c r="A220" s="17" t="s">
        <v>452</v>
      </c>
      <c r="B220" s="11" t="s">
        <v>453</v>
      </c>
      <c r="C220" s="12">
        <f t="shared" si="251"/>
        <v>1</v>
      </c>
      <c r="D220" s="41" t="str">
        <f t="shared" si="252"/>
        <v>m</v>
      </c>
      <c r="E220" s="41">
        <v>57.62</v>
      </c>
      <c r="F220" s="41">
        <v>11.6</v>
      </c>
      <c r="G220" s="41">
        <f t="shared" si="207"/>
        <v>69.22</v>
      </c>
      <c r="H220" s="13">
        <f t="shared" si="253"/>
        <v>57.62</v>
      </c>
      <c r="I220" s="13">
        <f t="shared" si="254"/>
        <v>11.6</v>
      </c>
      <c r="J220" s="14">
        <f t="shared" si="208"/>
        <v>69.22</v>
      </c>
      <c r="M220" s="54"/>
      <c r="N220" s="56"/>
      <c r="V220" s="74">
        <v>1</v>
      </c>
      <c r="W220" s="74" t="s">
        <v>76</v>
      </c>
      <c r="X220" s="13">
        <v>55.92</v>
      </c>
      <c r="Y220" s="13">
        <v>12.22</v>
      </c>
      <c r="Z220" s="13">
        <f t="shared" si="255"/>
        <v>68.14</v>
      </c>
      <c r="AB220" s="74">
        <v>1</v>
      </c>
      <c r="AC220" s="74" t="s">
        <v>76</v>
      </c>
      <c r="AD220" s="13">
        <v>72.040000000000006</v>
      </c>
      <c r="AE220" s="13">
        <v>15.74</v>
      </c>
      <c r="AF220" s="13">
        <f t="shared" si="256"/>
        <v>87.78</v>
      </c>
      <c r="AH220" s="89">
        <f t="shared" si="257"/>
        <v>-0.200166574125486</v>
      </c>
      <c r="AI220" s="89">
        <f t="shared" si="258"/>
        <v>-0.26302414231257942</v>
      </c>
      <c r="AJ220" s="89">
        <f t="shared" si="259"/>
        <v>-0.21143768512189565</v>
      </c>
    </row>
    <row r="221" spans="1:36" x14ac:dyDescent="0.3">
      <c r="A221" s="17" t="s">
        <v>454</v>
      </c>
      <c r="B221" s="11" t="s">
        <v>455</v>
      </c>
      <c r="C221" s="12">
        <f t="shared" si="251"/>
        <v>385</v>
      </c>
      <c r="D221" s="41" t="str">
        <f t="shared" si="252"/>
        <v>m²</v>
      </c>
      <c r="E221" s="41">
        <v>16.649999999999999</v>
      </c>
      <c r="F221" s="41">
        <v>3.97</v>
      </c>
      <c r="G221" s="41">
        <f t="shared" si="207"/>
        <v>20.619999999999997</v>
      </c>
      <c r="H221" s="13">
        <f t="shared" si="253"/>
        <v>6410.2499999999991</v>
      </c>
      <c r="I221" s="13">
        <f t="shared" si="254"/>
        <v>1528.45</v>
      </c>
      <c r="J221" s="14">
        <f t="shared" si="208"/>
        <v>7938.6999999999989</v>
      </c>
      <c r="M221" s="54"/>
      <c r="N221" s="56"/>
      <c r="V221" s="74">
        <v>385</v>
      </c>
      <c r="W221" s="74" t="s">
        <v>60</v>
      </c>
      <c r="X221" s="13">
        <v>24.06</v>
      </c>
      <c r="Y221" s="13">
        <v>4.2</v>
      </c>
      <c r="Z221" s="13">
        <f t="shared" si="255"/>
        <v>28.259999999999998</v>
      </c>
      <c r="AB221" s="74">
        <v>385</v>
      </c>
      <c r="AC221" s="74" t="s">
        <v>60</v>
      </c>
      <c r="AD221" s="13">
        <v>30.99</v>
      </c>
      <c r="AE221" s="13">
        <v>5.41</v>
      </c>
      <c r="AF221" s="13">
        <f t="shared" si="256"/>
        <v>36.4</v>
      </c>
      <c r="AH221" s="89">
        <f t="shared" si="257"/>
        <v>-0.462729912875121</v>
      </c>
      <c r="AI221" s="89">
        <f t="shared" si="258"/>
        <v>-0.26617375231053608</v>
      </c>
      <c r="AJ221" s="89">
        <f t="shared" si="259"/>
        <v>-0.43351648351648353</v>
      </c>
    </row>
    <row r="222" spans="1:36" x14ac:dyDescent="0.3">
      <c r="A222" s="17" t="s">
        <v>456</v>
      </c>
      <c r="B222" s="11" t="s">
        <v>457</v>
      </c>
      <c r="C222" s="12">
        <f t="shared" si="251"/>
        <v>1</v>
      </c>
      <c r="D222" s="41" t="str">
        <f t="shared" si="252"/>
        <v>m²</v>
      </c>
      <c r="E222" s="41">
        <v>16.649999999999999</v>
      </c>
      <c r="F222" s="41">
        <v>17.059999999999999</v>
      </c>
      <c r="G222" s="41">
        <f t="shared" si="207"/>
        <v>33.709999999999994</v>
      </c>
      <c r="H222" s="13">
        <f t="shared" si="253"/>
        <v>16.649999999999999</v>
      </c>
      <c r="I222" s="13">
        <f t="shared" si="254"/>
        <v>17.059999999999999</v>
      </c>
      <c r="J222" s="14">
        <f t="shared" si="208"/>
        <v>33.709999999999994</v>
      </c>
      <c r="M222" s="54"/>
      <c r="N222" s="56"/>
      <c r="V222" s="74">
        <v>1</v>
      </c>
      <c r="W222" s="74" t="s">
        <v>60</v>
      </c>
      <c r="X222" s="13">
        <v>24.06</v>
      </c>
      <c r="Y222" s="13">
        <v>18.12</v>
      </c>
      <c r="Z222" s="13">
        <f t="shared" si="255"/>
        <v>42.18</v>
      </c>
      <c r="AB222" s="74">
        <v>1</v>
      </c>
      <c r="AC222" s="74" t="s">
        <v>60</v>
      </c>
      <c r="AD222" s="13">
        <v>30.99</v>
      </c>
      <c r="AE222" s="13">
        <v>23.34</v>
      </c>
      <c r="AF222" s="13">
        <f t="shared" si="256"/>
        <v>54.33</v>
      </c>
      <c r="AH222" s="89">
        <f t="shared" si="257"/>
        <v>-0.462729912875121</v>
      </c>
      <c r="AI222" s="89">
        <f t="shared" si="258"/>
        <v>-0.26906598114824343</v>
      </c>
      <c r="AJ222" s="89">
        <f t="shared" si="259"/>
        <v>-0.37953248665562311</v>
      </c>
    </row>
    <row r="223" spans="1:36" x14ac:dyDescent="0.3">
      <c r="A223" s="17" t="s">
        <v>458</v>
      </c>
      <c r="B223" s="11" t="s">
        <v>459</v>
      </c>
      <c r="C223" s="12">
        <f t="shared" si="251"/>
        <v>19</v>
      </c>
      <c r="D223" s="41" t="str">
        <f t="shared" si="252"/>
        <v>m²</v>
      </c>
      <c r="E223" s="41">
        <v>286.52</v>
      </c>
      <c r="F223" s="41">
        <v>71.84</v>
      </c>
      <c r="G223" s="41">
        <f t="shared" ref="G223:G224" si="260">F223+E223</f>
        <v>358.36</v>
      </c>
      <c r="H223" s="13">
        <f t="shared" ref="H223:H224" si="261">C223*E223</f>
        <v>5443.8799999999992</v>
      </c>
      <c r="I223" s="13">
        <f t="shared" ref="I223:I224" si="262">C223*F223</f>
        <v>1364.96</v>
      </c>
      <c r="J223" s="14">
        <f t="shared" ref="J223:J224" si="263">SUM(E223:F223)*C223</f>
        <v>6808.84</v>
      </c>
      <c r="M223" s="54"/>
      <c r="N223" s="56"/>
      <c r="V223" s="74">
        <v>19</v>
      </c>
      <c r="W223" s="74" t="s">
        <v>60</v>
      </c>
      <c r="X223" s="13">
        <v>413.8</v>
      </c>
      <c r="Y223" s="13">
        <v>75.739999999999995</v>
      </c>
      <c r="Z223" s="13">
        <f t="shared" ref="Z223:Z224" si="264">SUM(X223:Y223)</f>
        <v>489.54</v>
      </c>
      <c r="AB223" s="74">
        <v>19</v>
      </c>
      <c r="AC223" s="74" t="s">
        <v>60</v>
      </c>
      <c r="AD223" s="13">
        <v>533.05999999999995</v>
      </c>
      <c r="AE223" s="13">
        <v>97.57</v>
      </c>
      <c r="AF223" s="13">
        <f t="shared" ref="AF223:AF224" si="265">SUM(AD223:AE223)</f>
        <v>630.62999999999988</v>
      </c>
      <c r="AH223" s="89">
        <f t="shared" si="257"/>
        <v>-0.46249953100964247</v>
      </c>
      <c r="AI223" s="89">
        <f t="shared" si="258"/>
        <v>-0.26370810700010239</v>
      </c>
      <c r="AJ223" s="89">
        <f t="shared" si="259"/>
        <v>-0.43174286031428877</v>
      </c>
    </row>
    <row r="224" spans="1:36" x14ac:dyDescent="0.3">
      <c r="A224" s="17" t="s">
        <v>460</v>
      </c>
      <c r="B224" s="11" t="s">
        <v>461</v>
      </c>
      <c r="C224" s="12">
        <f t="shared" si="251"/>
        <v>15</v>
      </c>
      <c r="D224" s="41" t="str">
        <f t="shared" si="252"/>
        <v xml:space="preserve">UN </v>
      </c>
      <c r="E224" s="41">
        <v>90.22</v>
      </c>
      <c r="F224" s="41">
        <v>39.729999999999997</v>
      </c>
      <c r="G224" s="41">
        <f t="shared" si="260"/>
        <v>129.94999999999999</v>
      </c>
      <c r="H224" s="13">
        <f t="shared" si="261"/>
        <v>1353.3</v>
      </c>
      <c r="I224" s="13">
        <f t="shared" si="262"/>
        <v>595.94999999999993</v>
      </c>
      <c r="J224" s="14">
        <f t="shared" si="263"/>
        <v>1949.2499999999998</v>
      </c>
      <c r="M224" s="54"/>
      <c r="N224" s="56"/>
      <c r="V224" s="74">
        <v>15</v>
      </c>
      <c r="W224" s="74" t="s">
        <v>462</v>
      </c>
      <c r="X224" s="13">
        <v>107.02</v>
      </c>
      <c r="Y224" s="13">
        <v>41.75</v>
      </c>
      <c r="Z224" s="13">
        <f t="shared" si="264"/>
        <v>148.76999999999998</v>
      </c>
      <c r="AB224" s="74">
        <v>15</v>
      </c>
      <c r="AC224" s="74" t="s">
        <v>462</v>
      </c>
      <c r="AD224" s="13">
        <v>137.86000000000001</v>
      </c>
      <c r="AE224" s="13">
        <v>53.78</v>
      </c>
      <c r="AF224" s="13">
        <f t="shared" si="265"/>
        <v>191.64000000000001</v>
      </c>
      <c r="AH224" s="89">
        <f t="shared" si="257"/>
        <v>-0.34556796750326424</v>
      </c>
      <c r="AI224" s="89">
        <f t="shared" si="258"/>
        <v>-0.26124953514317595</v>
      </c>
      <c r="AJ224" s="89">
        <f t="shared" si="259"/>
        <v>-0.32190565643915692</v>
      </c>
    </row>
    <row r="225" spans="1:36" x14ac:dyDescent="0.3">
      <c r="A225" s="17" t="s">
        <v>463</v>
      </c>
      <c r="B225" s="11" t="s">
        <v>464</v>
      </c>
      <c r="C225" s="12">
        <f t="shared" si="251"/>
        <v>38</v>
      </c>
      <c r="D225" s="41" t="str">
        <f t="shared" si="252"/>
        <v>m²</v>
      </c>
      <c r="E225" s="41">
        <v>133.63</v>
      </c>
      <c r="F225" s="41">
        <v>7</v>
      </c>
      <c r="G225" s="41">
        <f t="shared" si="207"/>
        <v>140.63</v>
      </c>
      <c r="H225" s="13">
        <f t="shared" si="253"/>
        <v>5077.9399999999996</v>
      </c>
      <c r="I225" s="13">
        <f t="shared" si="254"/>
        <v>266</v>
      </c>
      <c r="J225" s="14">
        <f t="shared" si="208"/>
        <v>5343.94</v>
      </c>
      <c r="M225" s="54"/>
      <c r="N225" s="56"/>
      <c r="V225" s="74">
        <v>38</v>
      </c>
      <c r="W225" s="74" t="s">
        <v>60</v>
      </c>
      <c r="X225" s="13">
        <v>193</v>
      </c>
      <c r="Y225" s="13">
        <v>7.41</v>
      </c>
      <c r="Z225" s="13">
        <f t="shared" si="255"/>
        <v>200.41</v>
      </c>
      <c r="AB225" s="74">
        <v>38</v>
      </c>
      <c r="AC225" s="74" t="s">
        <v>60</v>
      </c>
      <c r="AD225" s="13">
        <v>248.62</v>
      </c>
      <c r="AE225" s="13">
        <v>9.5500000000000007</v>
      </c>
      <c r="AF225" s="13">
        <f t="shared" ref="AF225" si="266">SUM(AD225:AE225)</f>
        <v>258.17</v>
      </c>
      <c r="AH225" s="89">
        <f t="shared" si="257"/>
        <v>-0.46251307215831394</v>
      </c>
      <c r="AI225" s="89">
        <f t="shared" si="258"/>
        <v>-0.26701570680628273</v>
      </c>
      <c r="AJ225" s="89">
        <f t="shared" si="259"/>
        <v>-0.45528140372622694</v>
      </c>
    </row>
    <row r="226" spans="1:36" x14ac:dyDescent="0.3">
      <c r="A226" s="17" t="s">
        <v>465</v>
      </c>
      <c r="B226" s="11" t="s">
        <v>466</v>
      </c>
      <c r="C226" s="12">
        <f t="shared" ref="C226" si="267">V226</f>
        <v>1</v>
      </c>
      <c r="D226" s="41" t="str">
        <f t="shared" ref="D226" si="268">W226</f>
        <v>m²</v>
      </c>
      <c r="E226" s="41">
        <v>233.5</v>
      </c>
      <c r="F226" s="41">
        <v>7</v>
      </c>
      <c r="G226" s="41">
        <f t="shared" ref="G226" si="269">F226+E226</f>
        <v>240.5</v>
      </c>
      <c r="H226" s="13">
        <f t="shared" ref="H226" si="270">C226*E226</f>
        <v>233.5</v>
      </c>
      <c r="I226" s="13">
        <f t="shared" ref="I226" si="271">C226*F226</f>
        <v>7</v>
      </c>
      <c r="J226" s="14">
        <f t="shared" ref="J226" si="272">SUM(E226:F226)*C226</f>
        <v>240.5</v>
      </c>
      <c r="M226" s="54"/>
      <c r="N226" s="56"/>
      <c r="V226" s="74">
        <v>1</v>
      </c>
      <c r="W226" s="74" t="s">
        <v>60</v>
      </c>
      <c r="X226" s="13">
        <v>285</v>
      </c>
      <c r="Y226" s="13">
        <v>7.41</v>
      </c>
      <c r="Z226" s="13">
        <f t="shared" ref="Z226" si="273">SUM(X226:Y226)</f>
        <v>292.41000000000003</v>
      </c>
      <c r="AB226" s="74">
        <v>1</v>
      </c>
      <c r="AC226" s="74" t="s">
        <v>60</v>
      </c>
      <c r="AD226" s="13">
        <v>367.14</v>
      </c>
      <c r="AE226" s="13">
        <v>9.5500000000000007</v>
      </c>
      <c r="AF226" s="13">
        <f t="shared" ref="AF226" si="274">SUM(AD226:AE226)</f>
        <v>376.69</v>
      </c>
      <c r="AH226" s="89">
        <f t="shared" si="257"/>
        <v>-0.36400283270686928</v>
      </c>
      <c r="AI226" s="89">
        <f t="shared" si="258"/>
        <v>-0.26701570680628273</v>
      </c>
      <c r="AJ226" s="89">
        <f t="shared" si="259"/>
        <v>-0.36154397515198178</v>
      </c>
    </row>
    <row r="227" spans="1:36" x14ac:dyDescent="0.3">
      <c r="A227" s="17" t="s">
        <v>467</v>
      </c>
      <c r="B227" s="11" t="s">
        <v>468</v>
      </c>
      <c r="C227" s="12">
        <f t="shared" si="251"/>
        <v>1</v>
      </c>
      <c r="D227" s="41" t="str">
        <f t="shared" si="252"/>
        <v xml:space="preserve">UN </v>
      </c>
      <c r="E227" s="41">
        <v>14.94</v>
      </c>
      <c r="F227" s="41">
        <v>7</v>
      </c>
      <c r="G227" s="41">
        <f t="shared" si="207"/>
        <v>21.939999999999998</v>
      </c>
      <c r="H227" s="13">
        <f t="shared" si="253"/>
        <v>14.94</v>
      </c>
      <c r="I227" s="13">
        <f t="shared" si="254"/>
        <v>7</v>
      </c>
      <c r="J227" s="14">
        <f t="shared" si="208"/>
        <v>21.939999999999998</v>
      </c>
      <c r="M227" s="54"/>
      <c r="N227" s="56"/>
      <c r="V227" s="74">
        <v>1</v>
      </c>
      <c r="W227" s="74" t="s">
        <v>462</v>
      </c>
      <c r="X227" s="13">
        <v>14.5</v>
      </c>
      <c r="Y227" s="13">
        <v>7.41</v>
      </c>
      <c r="Z227" s="13">
        <f t="shared" si="255"/>
        <v>21.91</v>
      </c>
      <c r="AB227" s="74">
        <v>1</v>
      </c>
      <c r="AC227" s="74" t="s">
        <v>462</v>
      </c>
      <c r="AD227" s="13">
        <v>18.68</v>
      </c>
      <c r="AE227" s="13">
        <v>9.5500000000000007</v>
      </c>
      <c r="AF227" s="13">
        <f t="shared" ref="AF227" si="275">SUM(AD227:AE227)</f>
        <v>28.23</v>
      </c>
      <c r="AH227" s="89">
        <f t="shared" si="257"/>
        <v>-0.2002141327623127</v>
      </c>
      <c r="AI227" s="89">
        <f t="shared" si="258"/>
        <v>-0.26701570680628273</v>
      </c>
      <c r="AJ227" s="89">
        <f t="shared" si="259"/>
        <v>-0.22281261069783931</v>
      </c>
    </row>
    <row r="228" spans="1:36" x14ac:dyDescent="0.3">
      <c r="A228" s="15">
        <v>17</v>
      </c>
      <c r="B228" s="16" t="s">
        <v>469</v>
      </c>
      <c r="C228" s="76"/>
      <c r="D228" s="58"/>
      <c r="E228" s="58">
        <v>0</v>
      </c>
      <c r="F228" s="58">
        <v>0</v>
      </c>
      <c r="G228" s="58"/>
      <c r="H228" s="24">
        <f t="shared" ref="H228:I228" si="276">SUM(H229:H239)</f>
        <v>808282.01</v>
      </c>
      <c r="I228" s="24">
        <f t="shared" si="276"/>
        <v>553488.59000000008</v>
      </c>
      <c r="J228" s="24">
        <f>SUM(J229:J239)</f>
        <v>1361770.5999999999</v>
      </c>
      <c r="M228" s="54"/>
      <c r="N228" s="56"/>
      <c r="V228" s="75"/>
      <c r="W228" s="75"/>
      <c r="X228" s="23"/>
      <c r="Y228" s="23"/>
      <c r="Z228" s="23"/>
      <c r="AB228" s="75"/>
      <c r="AC228" s="75"/>
      <c r="AD228" s="23"/>
      <c r="AE228" s="23"/>
      <c r="AF228" s="23"/>
      <c r="AH228" s="89">
        <f t="shared" si="257"/>
        <v>0</v>
      </c>
      <c r="AI228" s="89">
        <f t="shared" si="258"/>
        <v>0</v>
      </c>
      <c r="AJ228" s="89">
        <f t="shared" si="259"/>
        <v>0</v>
      </c>
    </row>
    <row r="229" spans="1:36" x14ac:dyDescent="0.3">
      <c r="A229" s="17" t="s">
        <v>470</v>
      </c>
      <c r="B229" s="11" t="s">
        <v>471</v>
      </c>
      <c r="C229" s="12">
        <f t="shared" ref="C229:C239" si="277">V229</f>
        <v>3757</v>
      </c>
      <c r="D229" s="41" t="str">
        <f t="shared" ref="D229:D239" si="278">W229</f>
        <v>m²</v>
      </c>
      <c r="E229" s="41">
        <v>8.67</v>
      </c>
      <c r="F229" s="41">
        <v>20.88</v>
      </c>
      <c r="G229" s="41">
        <f t="shared" si="207"/>
        <v>29.549999999999997</v>
      </c>
      <c r="H229" s="13">
        <f t="shared" ref="H229:H239" si="279">C229*E229</f>
        <v>32573.19</v>
      </c>
      <c r="I229" s="13">
        <f t="shared" ref="I229:I239" si="280">C229*F229</f>
        <v>78446.16</v>
      </c>
      <c r="J229" s="14">
        <f t="shared" si="208"/>
        <v>111019.34999999999</v>
      </c>
      <c r="M229" s="54"/>
      <c r="N229" s="56"/>
      <c r="V229" s="74">
        <v>3757</v>
      </c>
      <c r="W229" s="74" t="s">
        <v>60</v>
      </c>
      <c r="X229" s="13">
        <v>10.32</v>
      </c>
      <c r="Y229" s="13">
        <v>22</v>
      </c>
      <c r="Z229" s="13">
        <f t="shared" ref="Z229:Z239" si="281">SUM(X229:Y229)</f>
        <v>32.32</v>
      </c>
      <c r="AB229" s="74">
        <v>3757</v>
      </c>
      <c r="AC229" s="74" t="s">
        <v>60</v>
      </c>
      <c r="AD229" s="13">
        <v>13.29</v>
      </c>
      <c r="AE229" s="13">
        <v>28.34</v>
      </c>
      <c r="AF229" s="13">
        <f t="shared" ref="AF229:AF239" si="282">SUM(AD229:AE229)</f>
        <v>41.629999999999995</v>
      </c>
      <c r="AH229" s="89">
        <f t="shared" si="257"/>
        <v>-0.34762979683972905</v>
      </c>
      <c r="AI229" s="89">
        <f t="shared" si="258"/>
        <v>-0.26323218066337339</v>
      </c>
      <c r="AJ229" s="89">
        <f t="shared" si="259"/>
        <v>-0.29017535431179442</v>
      </c>
    </row>
    <row r="230" spans="1:36" x14ac:dyDescent="0.3">
      <c r="A230" s="17" t="s">
        <v>472</v>
      </c>
      <c r="B230" s="11" t="s">
        <v>473</v>
      </c>
      <c r="C230" s="12">
        <f t="shared" si="277"/>
        <v>645</v>
      </c>
      <c r="D230" s="41" t="str">
        <f t="shared" si="278"/>
        <v>m²</v>
      </c>
      <c r="E230" s="41">
        <v>3.2</v>
      </c>
      <c r="F230" s="41">
        <v>10.82</v>
      </c>
      <c r="G230" s="41">
        <f t="shared" si="207"/>
        <v>14.02</v>
      </c>
      <c r="H230" s="13">
        <f t="shared" si="279"/>
        <v>2064</v>
      </c>
      <c r="I230" s="13">
        <f t="shared" si="280"/>
        <v>6978.9000000000005</v>
      </c>
      <c r="J230" s="14">
        <f t="shared" si="208"/>
        <v>9042.9</v>
      </c>
      <c r="M230" s="54"/>
      <c r="N230" s="56"/>
      <c r="V230" s="74">
        <v>645</v>
      </c>
      <c r="W230" s="74" t="s">
        <v>60</v>
      </c>
      <c r="X230" s="13">
        <v>3.43</v>
      </c>
      <c r="Y230" s="13">
        <v>11.39</v>
      </c>
      <c r="Z230" s="13">
        <f t="shared" si="281"/>
        <v>14.82</v>
      </c>
      <c r="AB230" s="74">
        <v>645</v>
      </c>
      <c r="AC230" s="74" t="s">
        <v>60</v>
      </c>
      <c r="AD230" s="13">
        <v>4.42</v>
      </c>
      <c r="AE230" s="13">
        <v>14.67</v>
      </c>
      <c r="AF230" s="13">
        <f t="shared" si="282"/>
        <v>19.09</v>
      </c>
      <c r="AH230" s="89">
        <f t="shared" si="257"/>
        <v>-0.27601809954751122</v>
      </c>
      <c r="AI230" s="89">
        <f t="shared" si="258"/>
        <v>-0.26244035446489433</v>
      </c>
      <c r="AJ230" s="89">
        <f t="shared" si="259"/>
        <v>-0.26558407543216345</v>
      </c>
    </row>
    <row r="231" spans="1:36" x14ac:dyDescent="0.3">
      <c r="A231" s="17" t="s">
        <v>474</v>
      </c>
      <c r="B231" s="11" t="s">
        <v>475</v>
      </c>
      <c r="C231" s="12">
        <f t="shared" si="277"/>
        <v>117</v>
      </c>
      <c r="D231" s="41" t="str">
        <f t="shared" si="278"/>
        <v>m²</v>
      </c>
      <c r="E231" s="41">
        <v>9.81</v>
      </c>
      <c r="F231" s="41">
        <v>5.81</v>
      </c>
      <c r="G231" s="41">
        <f t="shared" si="207"/>
        <v>15.620000000000001</v>
      </c>
      <c r="H231" s="13">
        <f t="shared" si="279"/>
        <v>1147.77</v>
      </c>
      <c r="I231" s="13">
        <f t="shared" si="280"/>
        <v>679.77</v>
      </c>
      <c r="J231" s="14">
        <f t="shared" si="208"/>
        <v>1827.5400000000002</v>
      </c>
      <c r="M231" s="54"/>
      <c r="N231" s="56"/>
      <c r="V231" s="74">
        <v>117</v>
      </c>
      <c r="W231" s="74" t="s">
        <v>60</v>
      </c>
      <c r="X231" s="13">
        <v>14.18</v>
      </c>
      <c r="Y231" s="13">
        <v>6.11</v>
      </c>
      <c r="Z231" s="13">
        <f t="shared" si="281"/>
        <v>20.29</v>
      </c>
      <c r="AB231" s="74">
        <v>117</v>
      </c>
      <c r="AC231" s="74" t="s">
        <v>60</v>
      </c>
      <c r="AD231" s="13">
        <v>18.27</v>
      </c>
      <c r="AE231" s="13">
        <v>7.87</v>
      </c>
      <c r="AF231" s="13">
        <f t="shared" si="282"/>
        <v>26.14</v>
      </c>
      <c r="AH231" s="89">
        <f t="shared" si="257"/>
        <v>-0.46305418719211822</v>
      </c>
      <c r="AI231" s="89">
        <f t="shared" si="258"/>
        <v>-0.26175349428208394</v>
      </c>
      <c r="AJ231" s="89">
        <f t="shared" si="259"/>
        <v>-0.40244835501147669</v>
      </c>
    </row>
    <row r="232" spans="1:36" ht="28.8" x14ac:dyDescent="0.3">
      <c r="A232" s="17" t="s">
        <v>476</v>
      </c>
      <c r="B232" s="11" t="s">
        <v>477</v>
      </c>
      <c r="C232" s="12">
        <f t="shared" si="277"/>
        <v>6010</v>
      </c>
      <c r="D232" s="41" t="str">
        <f t="shared" si="278"/>
        <v>m²</v>
      </c>
      <c r="E232" s="41">
        <v>6.23</v>
      </c>
      <c r="F232" s="41">
        <v>6.09</v>
      </c>
      <c r="G232" s="41">
        <f t="shared" si="207"/>
        <v>12.32</v>
      </c>
      <c r="H232" s="13">
        <f t="shared" si="279"/>
        <v>37442.300000000003</v>
      </c>
      <c r="I232" s="13">
        <f t="shared" si="280"/>
        <v>36600.9</v>
      </c>
      <c r="J232" s="14">
        <f t="shared" si="208"/>
        <v>74043.199999999997</v>
      </c>
      <c r="M232" s="54"/>
      <c r="N232" s="56"/>
      <c r="V232" s="74">
        <v>6010</v>
      </c>
      <c r="W232" s="74" t="s">
        <v>60</v>
      </c>
      <c r="X232" s="13">
        <v>7.15</v>
      </c>
      <c r="Y232" s="13">
        <v>6.4</v>
      </c>
      <c r="Z232" s="13">
        <f t="shared" si="281"/>
        <v>13.55</v>
      </c>
      <c r="AB232" s="74">
        <v>6010</v>
      </c>
      <c r="AC232" s="74" t="s">
        <v>60</v>
      </c>
      <c r="AD232" s="13">
        <v>9.2100000000000009</v>
      </c>
      <c r="AE232" s="13">
        <v>8.24</v>
      </c>
      <c r="AF232" s="13">
        <f t="shared" si="282"/>
        <v>17.450000000000003</v>
      </c>
      <c r="AH232" s="89">
        <f t="shared" si="257"/>
        <v>-0.32356134636264933</v>
      </c>
      <c r="AI232" s="89">
        <f t="shared" si="258"/>
        <v>-0.26092233009708743</v>
      </c>
      <c r="AJ232" s="89">
        <f t="shared" si="259"/>
        <v>-0.29398280802292276</v>
      </c>
    </row>
    <row r="233" spans="1:36" x14ac:dyDescent="0.3">
      <c r="A233" s="17" t="s">
        <v>478</v>
      </c>
      <c r="B233" s="11" t="s">
        <v>479</v>
      </c>
      <c r="C233" s="12">
        <f t="shared" si="277"/>
        <v>681</v>
      </c>
      <c r="D233" s="41" t="str">
        <f t="shared" si="278"/>
        <v>m²</v>
      </c>
      <c r="E233" s="41">
        <v>5.2</v>
      </c>
      <c r="F233" s="41">
        <v>10.82</v>
      </c>
      <c r="G233" s="41">
        <f t="shared" si="207"/>
        <v>16.02</v>
      </c>
      <c r="H233" s="13">
        <f t="shared" si="279"/>
        <v>3541.2000000000003</v>
      </c>
      <c r="I233" s="13">
        <f t="shared" si="280"/>
        <v>7368.42</v>
      </c>
      <c r="J233" s="14">
        <f t="shared" si="208"/>
        <v>10909.619999999999</v>
      </c>
      <c r="M233" s="54"/>
      <c r="N233" s="56"/>
      <c r="V233" s="74">
        <v>681</v>
      </c>
      <c r="W233" s="74" t="s">
        <v>60</v>
      </c>
      <c r="X233" s="13">
        <v>5.99</v>
      </c>
      <c r="Y233" s="13">
        <v>11.39</v>
      </c>
      <c r="Z233" s="13">
        <f t="shared" si="281"/>
        <v>17.380000000000003</v>
      </c>
      <c r="AB233" s="74">
        <v>681</v>
      </c>
      <c r="AC233" s="74" t="s">
        <v>60</v>
      </c>
      <c r="AD233" s="13">
        <v>7.72</v>
      </c>
      <c r="AE233" s="13">
        <v>14.67</v>
      </c>
      <c r="AF233" s="13">
        <f t="shared" si="282"/>
        <v>22.39</v>
      </c>
      <c r="AH233" s="89">
        <f t="shared" si="257"/>
        <v>-0.32642487046632118</v>
      </c>
      <c r="AI233" s="89">
        <f t="shared" si="258"/>
        <v>-0.26244035446489433</v>
      </c>
      <c r="AJ233" s="89">
        <f t="shared" si="259"/>
        <v>-0.28450200982581508</v>
      </c>
    </row>
    <row r="234" spans="1:36" ht="28.8" x14ac:dyDescent="0.3">
      <c r="A234" s="17" t="s">
        <v>480</v>
      </c>
      <c r="B234" s="11" t="s">
        <v>481</v>
      </c>
      <c r="C234" s="12">
        <f t="shared" si="277"/>
        <v>55217</v>
      </c>
      <c r="D234" s="41" t="str">
        <f t="shared" si="278"/>
        <v>m²</v>
      </c>
      <c r="E234" s="41">
        <v>12.69</v>
      </c>
      <c r="F234" s="41">
        <v>7</v>
      </c>
      <c r="G234" s="41">
        <f t="shared" si="207"/>
        <v>19.689999999999998</v>
      </c>
      <c r="H234" s="13">
        <f t="shared" si="279"/>
        <v>700703.73</v>
      </c>
      <c r="I234" s="13">
        <f t="shared" si="280"/>
        <v>386519</v>
      </c>
      <c r="J234" s="14">
        <f t="shared" si="208"/>
        <v>1087222.73</v>
      </c>
      <c r="M234" s="54"/>
      <c r="N234" s="56"/>
      <c r="V234" s="74">
        <v>55217</v>
      </c>
      <c r="W234" s="74" t="s">
        <v>60</v>
      </c>
      <c r="X234" s="13">
        <v>14.52</v>
      </c>
      <c r="Y234" s="13">
        <v>7.35</v>
      </c>
      <c r="Z234" s="13">
        <f t="shared" si="281"/>
        <v>21.869999999999997</v>
      </c>
      <c r="AB234" s="74">
        <v>55217</v>
      </c>
      <c r="AC234" s="74" t="s">
        <v>60</v>
      </c>
      <c r="AD234" s="13">
        <v>18.7</v>
      </c>
      <c r="AE234" s="13">
        <v>9.4700000000000006</v>
      </c>
      <c r="AF234" s="13">
        <f t="shared" si="282"/>
        <v>28.17</v>
      </c>
      <c r="AH234" s="89">
        <f t="shared" si="257"/>
        <v>-0.32139037433155082</v>
      </c>
      <c r="AI234" s="89">
        <f t="shared" si="258"/>
        <v>-0.26082365364308346</v>
      </c>
      <c r="AJ234" s="89">
        <f t="shared" si="259"/>
        <v>-0.30102946396876118</v>
      </c>
    </row>
    <row r="235" spans="1:36" x14ac:dyDescent="0.3">
      <c r="A235" s="17" t="s">
        <v>482</v>
      </c>
      <c r="B235" s="11" t="s">
        <v>483</v>
      </c>
      <c r="C235" s="12">
        <f t="shared" ref="C235:C236" si="283">V235</f>
        <v>739</v>
      </c>
      <c r="D235" s="41" t="str">
        <f t="shared" ref="D235:D236" si="284">W235</f>
        <v>m²</v>
      </c>
      <c r="E235" s="41">
        <v>15.2</v>
      </c>
      <c r="F235" s="41">
        <v>15.85</v>
      </c>
      <c r="G235" s="41">
        <f t="shared" ref="G235:G236" si="285">F235+E235</f>
        <v>31.049999999999997</v>
      </c>
      <c r="H235" s="13">
        <f t="shared" ref="H235:H236" si="286">C235*E235</f>
        <v>11232.8</v>
      </c>
      <c r="I235" s="13">
        <f t="shared" ref="I235:I236" si="287">C235*F235</f>
        <v>11713.15</v>
      </c>
      <c r="J235" s="14">
        <f t="shared" ref="J235:J236" si="288">SUM(E235:F235)*C235</f>
        <v>22945.949999999997</v>
      </c>
      <c r="M235" s="54"/>
      <c r="N235" s="56"/>
      <c r="V235" s="74">
        <v>739</v>
      </c>
      <c r="W235" s="74" t="s">
        <v>60</v>
      </c>
      <c r="X235" s="13">
        <v>18.61</v>
      </c>
      <c r="Y235" s="13">
        <v>16.690000000000001</v>
      </c>
      <c r="Z235" s="13">
        <f t="shared" ref="Z235:Z236" si="289">SUM(X235:Y235)</f>
        <v>35.299999999999997</v>
      </c>
      <c r="AB235" s="74">
        <v>739</v>
      </c>
      <c r="AC235" s="74" t="s">
        <v>60</v>
      </c>
      <c r="AD235" s="13">
        <v>23.97</v>
      </c>
      <c r="AE235" s="13">
        <v>21.5</v>
      </c>
      <c r="AF235" s="13">
        <f t="shared" ref="AF235:AF236" si="290">SUM(AD235:AE235)</f>
        <v>45.47</v>
      </c>
      <c r="AH235" s="89">
        <f t="shared" ref="AH235:AH236" si="291">IF(E235=0,0,(E235/AD235)-1)</f>
        <v>-0.36587400917813939</v>
      </c>
      <c r="AI235" s="89">
        <f t="shared" ref="AI235:AI236" si="292">IF(F235=0,0,(F235/AE235)-1)</f>
        <v>-0.26279069767441865</v>
      </c>
      <c r="AJ235" s="89">
        <f t="shared" ref="AJ235:AJ236" si="293">IF(G235=0,0,(G235/AF235)-1)</f>
        <v>-0.31713217506047953</v>
      </c>
    </row>
    <row r="236" spans="1:36" ht="28.8" x14ac:dyDescent="0.3">
      <c r="A236" s="17" t="s">
        <v>484</v>
      </c>
      <c r="B236" s="11" t="s">
        <v>485</v>
      </c>
      <c r="C236" s="12">
        <f t="shared" si="283"/>
        <v>555</v>
      </c>
      <c r="D236" s="41" t="str">
        <f t="shared" si="284"/>
        <v>m²</v>
      </c>
      <c r="E236" s="41">
        <v>5.84</v>
      </c>
      <c r="F236" s="41">
        <v>17.98</v>
      </c>
      <c r="G236" s="41">
        <f t="shared" si="285"/>
        <v>23.82</v>
      </c>
      <c r="H236" s="13">
        <f t="shared" si="286"/>
        <v>3241.2</v>
      </c>
      <c r="I236" s="13">
        <f t="shared" si="287"/>
        <v>9978.9</v>
      </c>
      <c r="J236" s="14">
        <f t="shared" si="288"/>
        <v>13220.1</v>
      </c>
      <c r="M236" s="54"/>
      <c r="N236" s="56"/>
      <c r="V236" s="74">
        <v>555</v>
      </c>
      <c r="W236" s="74" t="s">
        <v>60</v>
      </c>
      <c r="X236" s="13">
        <v>6.69</v>
      </c>
      <c r="Y236" s="13">
        <v>18.91</v>
      </c>
      <c r="Z236" s="13">
        <f t="shared" si="289"/>
        <v>25.6</v>
      </c>
      <c r="AB236" s="74">
        <v>555</v>
      </c>
      <c r="AC236" s="74" t="s">
        <v>60</v>
      </c>
      <c r="AD236" s="13">
        <v>8.6199999999999992</v>
      </c>
      <c r="AE236" s="13">
        <v>24.36</v>
      </c>
      <c r="AF236" s="13">
        <f t="shared" si="290"/>
        <v>32.979999999999997</v>
      </c>
      <c r="AH236" s="89">
        <f t="shared" si="291"/>
        <v>-0.3225058004640371</v>
      </c>
      <c r="AI236" s="89">
        <f t="shared" si="292"/>
        <v>-0.26190476190476186</v>
      </c>
      <c r="AJ236" s="89">
        <f t="shared" si="293"/>
        <v>-0.27774408732565181</v>
      </c>
    </row>
    <row r="237" spans="1:36" x14ac:dyDescent="0.3">
      <c r="A237" s="17" t="s">
        <v>486</v>
      </c>
      <c r="B237" s="11" t="s">
        <v>487</v>
      </c>
      <c r="C237" s="12">
        <f t="shared" si="277"/>
        <v>909</v>
      </c>
      <c r="D237" s="41" t="str">
        <f t="shared" si="278"/>
        <v>m²</v>
      </c>
      <c r="E237" s="41">
        <v>17.95</v>
      </c>
      <c r="F237" s="41">
        <v>16.71</v>
      </c>
      <c r="G237" s="41">
        <f t="shared" si="207"/>
        <v>34.659999999999997</v>
      </c>
      <c r="H237" s="13">
        <f t="shared" si="279"/>
        <v>16316.55</v>
      </c>
      <c r="I237" s="13">
        <f t="shared" si="280"/>
        <v>15189.390000000001</v>
      </c>
      <c r="J237" s="14">
        <f t="shared" si="208"/>
        <v>31505.94</v>
      </c>
      <c r="M237" s="54"/>
      <c r="N237" s="56"/>
      <c r="V237" s="74">
        <v>909</v>
      </c>
      <c r="W237" s="74" t="s">
        <v>60</v>
      </c>
      <c r="X237" s="13">
        <v>23.26</v>
      </c>
      <c r="Y237" s="13">
        <v>17.600000000000001</v>
      </c>
      <c r="Z237" s="13">
        <f t="shared" si="281"/>
        <v>40.86</v>
      </c>
      <c r="AB237" s="74">
        <v>909</v>
      </c>
      <c r="AC237" s="74" t="s">
        <v>60</v>
      </c>
      <c r="AD237" s="13">
        <v>29.96</v>
      </c>
      <c r="AE237" s="13">
        <v>22.67</v>
      </c>
      <c r="AF237" s="13">
        <f t="shared" si="282"/>
        <v>52.63</v>
      </c>
      <c r="AH237" s="89">
        <f t="shared" si="257"/>
        <v>-0.40086782376502006</v>
      </c>
      <c r="AI237" s="89">
        <f t="shared" si="258"/>
        <v>-0.2629025143361271</v>
      </c>
      <c r="AJ237" s="89">
        <f t="shared" si="259"/>
        <v>-0.34144024320729627</v>
      </c>
    </row>
    <row r="238" spans="1:36" ht="28.8" x14ac:dyDescent="0.3">
      <c r="A238" s="17" t="s">
        <v>488</v>
      </c>
      <c r="B238" s="11" t="s">
        <v>489</v>
      </c>
      <c r="C238" s="12">
        <f t="shared" si="277"/>
        <v>1</v>
      </c>
      <c r="D238" s="41" t="str">
        <f t="shared" si="278"/>
        <v>m²</v>
      </c>
      <c r="E238" s="41">
        <v>3.91</v>
      </c>
      <c r="F238" s="41">
        <v>7</v>
      </c>
      <c r="G238" s="41">
        <f t="shared" si="207"/>
        <v>10.91</v>
      </c>
      <c r="H238" s="13">
        <f t="shared" si="279"/>
        <v>3.91</v>
      </c>
      <c r="I238" s="13">
        <f t="shared" si="280"/>
        <v>7</v>
      </c>
      <c r="J238" s="14">
        <f t="shared" si="208"/>
        <v>10.91</v>
      </c>
      <c r="M238" s="54"/>
      <c r="N238" s="56"/>
      <c r="V238" s="74">
        <v>1</v>
      </c>
      <c r="W238" s="74" t="s">
        <v>60</v>
      </c>
      <c r="X238" s="13">
        <v>4.4800000000000004</v>
      </c>
      <c r="Y238" s="13">
        <v>7.35</v>
      </c>
      <c r="Z238" s="13">
        <f t="shared" si="281"/>
        <v>11.83</v>
      </c>
      <c r="AB238" s="74">
        <v>1</v>
      </c>
      <c r="AC238" s="74" t="s">
        <v>60</v>
      </c>
      <c r="AD238" s="13">
        <v>5.77</v>
      </c>
      <c r="AE238" s="13">
        <v>9.4700000000000006</v>
      </c>
      <c r="AF238" s="13">
        <f t="shared" si="282"/>
        <v>15.24</v>
      </c>
      <c r="AH238" s="89">
        <f t="shared" si="257"/>
        <v>-0.32235701906412473</v>
      </c>
      <c r="AI238" s="89">
        <f t="shared" si="258"/>
        <v>-0.26082365364308346</v>
      </c>
      <c r="AJ238" s="89">
        <f t="shared" si="259"/>
        <v>-0.2841207349081365</v>
      </c>
    </row>
    <row r="239" spans="1:36" ht="28.8" x14ac:dyDescent="0.3">
      <c r="A239" s="17" t="s">
        <v>490</v>
      </c>
      <c r="B239" s="11" t="s">
        <v>491</v>
      </c>
      <c r="C239" s="12">
        <f t="shared" si="277"/>
        <v>1</v>
      </c>
      <c r="D239" s="41" t="str">
        <f t="shared" si="278"/>
        <v>m²</v>
      </c>
      <c r="E239" s="41">
        <v>15.36</v>
      </c>
      <c r="F239" s="41">
        <v>7</v>
      </c>
      <c r="G239" s="41">
        <f t="shared" si="207"/>
        <v>22.36</v>
      </c>
      <c r="H239" s="13">
        <f t="shared" si="279"/>
        <v>15.36</v>
      </c>
      <c r="I239" s="13">
        <f t="shared" si="280"/>
        <v>7</v>
      </c>
      <c r="J239" s="14">
        <f t="shared" si="208"/>
        <v>22.36</v>
      </c>
      <c r="M239" s="54"/>
      <c r="N239" s="55"/>
      <c r="V239" s="74">
        <v>1</v>
      </c>
      <c r="W239" s="74" t="s">
        <v>60</v>
      </c>
      <c r="X239" s="13">
        <v>17.579999999999998</v>
      </c>
      <c r="Y239" s="13">
        <v>7.35</v>
      </c>
      <c r="Z239" s="13">
        <f t="shared" si="281"/>
        <v>24.93</v>
      </c>
      <c r="AB239" s="74">
        <v>1</v>
      </c>
      <c r="AC239" s="74" t="s">
        <v>60</v>
      </c>
      <c r="AD239" s="13">
        <v>22.65</v>
      </c>
      <c r="AE239" s="13">
        <v>9.4700000000000006</v>
      </c>
      <c r="AF239" s="13">
        <f t="shared" si="282"/>
        <v>32.119999999999997</v>
      </c>
      <c r="AH239" s="89">
        <f t="shared" si="257"/>
        <v>-0.32185430463576159</v>
      </c>
      <c r="AI239" s="89">
        <f t="shared" si="258"/>
        <v>-0.26082365364308346</v>
      </c>
      <c r="AJ239" s="89">
        <f t="shared" si="259"/>
        <v>-0.30386052303860522</v>
      </c>
    </row>
    <row r="240" spans="1:36" x14ac:dyDescent="0.3">
      <c r="A240" s="15">
        <v>18</v>
      </c>
      <c r="B240" s="16" t="s">
        <v>492</v>
      </c>
      <c r="C240" s="76"/>
      <c r="D240" s="58"/>
      <c r="E240" s="58">
        <v>0</v>
      </c>
      <c r="F240" s="58">
        <v>0</v>
      </c>
      <c r="G240" s="58"/>
      <c r="H240" s="23">
        <v>0</v>
      </c>
      <c r="I240" s="23">
        <v>0</v>
      </c>
      <c r="J240" s="24">
        <v>0</v>
      </c>
      <c r="M240" s="54"/>
      <c r="N240" s="56"/>
      <c r="V240" s="75"/>
      <c r="W240" s="75"/>
      <c r="X240" s="23"/>
      <c r="Y240" s="23"/>
      <c r="Z240" s="23"/>
      <c r="AB240" s="75"/>
      <c r="AC240" s="75"/>
      <c r="AD240" s="23"/>
      <c r="AE240" s="23"/>
      <c r="AF240" s="23"/>
      <c r="AH240" s="89">
        <f t="shared" si="257"/>
        <v>0</v>
      </c>
      <c r="AI240" s="89">
        <f t="shared" si="258"/>
        <v>0</v>
      </c>
      <c r="AJ240" s="89">
        <f t="shared" si="259"/>
        <v>0</v>
      </c>
    </row>
    <row r="241" spans="1:36" x14ac:dyDescent="0.3">
      <c r="A241" s="15">
        <v>19</v>
      </c>
      <c r="B241" s="16" t="s">
        <v>493</v>
      </c>
      <c r="C241" s="76"/>
      <c r="D241" s="58"/>
      <c r="E241" s="58">
        <v>0</v>
      </c>
      <c r="F241" s="58">
        <v>0</v>
      </c>
      <c r="G241" s="58"/>
      <c r="H241" s="24">
        <f>SUM(H242:H371)</f>
        <v>1357438.8900000004</v>
      </c>
      <c r="I241" s="24">
        <f>SUM(I242:I371)</f>
        <v>648573.12999999966</v>
      </c>
      <c r="J241" s="24">
        <f>SUM(J242:J371)</f>
        <v>2006012.0199999996</v>
      </c>
      <c r="M241" s="54"/>
      <c r="N241" s="56"/>
      <c r="V241" s="75"/>
      <c r="W241" s="75"/>
      <c r="X241" s="23"/>
      <c r="Y241" s="23"/>
      <c r="Z241" s="23"/>
      <c r="AB241" s="75"/>
      <c r="AC241" s="75"/>
      <c r="AD241" s="23"/>
      <c r="AE241" s="23"/>
      <c r="AF241" s="23"/>
      <c r="AH241" s="89">
        <f t="shared" si="257"/>
        <v>0</v>
      </c>
      <c r="AI241" s="89">
        <f t="shared" si="258"/>
        <v>0</v>
      </c>
      <c r="AJ241" s="89">
        <f t="shared" si="259"/>
        <v>0</v>
      </c>
    </row>
    <row r="242" spans="1:36" x14ac:dyDescent="0.3">
      <c r="A242" s="17" t="s">
        <v>494</v>
      </c>
      <c r="B242" s="44" t="s">
        <v>495</v>
      </c>
      <c r="C242" s="12">
        <f>V242</f>
        <v>75</v>
      </c>
      <c r="D242" s="41" t="str">
        <f>W242</f>
        <v>UN</v>
      </c>
      <c r="E242" s="41">
        <v>30.43</v>
      </c>
      <c r="F242" s="41">
        <v>17.989999999999998</v>
      </c>
      <c r="G242" s="41">
        <f t="shared" si="207"/>
        <v>48.42</v>
      </c>
      <c r="H242" s="13">
        <f t="shared" ref="H242:H305" si="294">C242*E242</f>
        <v>2282.25</v>
      </c>
      <c r="I242" s="13">
        <f t="shared" ref="I242:I305" si="295">C242*F242</f>
        <v>1349.2499999999998</v>
      </c>
      <c r="J242" s="14">
        <f t="shared" ref="J242:J305" si="296">SUM(E242:F242)*C242</f>
        <v>3631.5</v>
      </c>
      <c r="M242" s="54"/>
      <c r="N242" s="56"/>
      <c r="V242" s="74">
        <v>75</v>
      </c>
      <c r="W242" s="74" t="s">
        <v>47</v>
      </c>
      <c r="X242" s="13">
        <v>37.47</v>
      </c>
      <c r="Y242" s="13">
        <v>18.920000000000002</v>
      </c>
      <c r="Z242" s="13">
        <f t="shared" ref="Z242:Z273" si="297">SUM(X242:Y242)</f>
        <v>56.39</v>
      </c>
      <c r="AB242" s="74">
        <v>75</v>
      </c>
      <c r="AC242" s="74" t="s">
        <v>47</v>
      </c>
      <c r="AD242" s="13">
        <v>48.27</v>
      </c>
      <c r="AE242" s="13">
        <v>24.37</v>
      </c>
      <c r="AF242" s="13">
        <f t="shared" ref="AF242:AF273" si="298">SUM(AD242:AE242)</f>
        <v>72.64</v>
      </c>
      <c r="AH242" s="89">
        <f t="shared" si="257"/>
        <v>-0.36958773565361513</v>
      </c>
      <c r="AI242" s="89">
        <f t="shared" si="258"/>
        <v>-0.26179729175215438</v>
      </c>
      <c r="AJ242" s="89">
        <f t="shared" si="259"/>
        <v>-0.33342511013215859</v>
      </c>
    </row>
    <row r="243" spans="1:36" x14ac:dyDescent="0.3">
      <c r="A243" s="17" t="s">
        <v>496</v>
      </c>
      <c r="B243" s="44" t="s">
        <v>497</v>
      </c>
      <c r="C243" s="12">
        <f>V243</f>
        <v>444</v>
      </c>
      <c r="D243" s="41" t="str">
        <f>W243</f>
        <v>m</v>
      </c>
      <c r="E243" s="41">
        <v>17.28</v>
      </c>
      <c r="F243" s="41">
        <v>4.28</v>
      </c>
      <c r="G243" s="41">
        <f t="shared" si="207"/>
        <v>21.560000000000002</v>
      </c>
      <c r="H243" s="13">
        <f t="shared" si="294"/>
        <v>7672.3200000000006</v>
      </c>
      <c r="I243" s="13">
        <f t="shared" si="295"/>
        <v>1900.3200000000002</v>
      </c>
      <c r="J243" s="14">
        <f t="shared" si="296"/>
        <v>9572.6400000000012</v>
      </c>
      <c r="M243" s="54"/>
      <c r="N243" s="56"/>
      <c r="V243" s="74">
        <v>444</v>
      </c>
      <c r="W243" s="74" t="s">
        <v>76</v>
      </c>
      <c r="X243" s="13">
        <v>19.29</v>
      </c>
      <c r="Y243" s="13">
        <v>4.5</v>
      </c>
      <c r="Z243" s="13">
        <f t="shared" si="297"/>
        <v>23.79</v>
      </c>
      <c r="AB243" s="74">
        <v>444</v>
      </c>
      <c r="AC243" s="74" t="s">
        <v>76</v>
      </c>
      <c r="AD243" s="13">
        <v>24.85</v>
      </c>
      <c r="AE243" s="13">
        <v>5.8</v>
      </c>
      <c r="AF243" s="13">
        <f t="shared" si="298"/>
        <v>30.650000000000002</v>
      </c>
      <c r="AH243" s="89">
        <f t="shared" si="257"/>
        <v>-0.30462776659959756</v>
      </c>
      <c r="AI243" s="89">
        <f t="shared" si="258"/>
        <v>-0.26206896551724135</v>
      </c>
      <c r="AJ243" s="89">
        <f t="shared" si="259"/>
        <v>-0.2965742251223491</v>
      </c>
    </row>
    <row r="244" spans="1:36" x14ac:dyDescent="0.3">
      <c r="A244" s="17" t="s">
        <v>498</v>
      </c>
      <c r="B244" s="44" t="s">
        <v>499</v>
      </c>
      <c r="C244" s="12">
        <f t="shared" ref="C244:C307" si="299">V244</f>
        <v>972</v>
      </c>
      <c r="D244" s="41" t="str">
        <f t="shared" ref="D244:D307" si="300">W244</f>
        <v>UN</v>
      </c>
      <c r="E244" s="41">
        <v>11.07</v>
      </c>
      <c r="F244" s="41">
        <v>8.99</v>
      </c>
      <c r="G244" s="41">
        <f t="shared" si="207"/>
        <v>20.060000000000002</v>
      </c>
      <c r="H244" s="13">
        <f t="shared" si="294"/>
        <v>10760.04</v>
      </c>
      <c r="I244" s="13">
        <f t="shared" si="295"/>
        <v>8738.2800000000007</v>
      </c>
      <c r="J244" s="14">
        <f t="shared" si="296"/>
        <v>19498.320000000003</v>
      </c>
      <c r="M244" s="54"/>
      <c r="N244" s="56"/>
      <c r="V244" s="74">
        <v>972</v>
      </c>
      <c r="W244" s="74" t="s">
        <v>47</v>
      </c>
      <c r="X244" s="13">
        <v>13.58</v>
      </c>
      <c r="Y244" s="13">
        <v>9.4600000000000009</v>
      </c>
      <c r="Z244" s="13">
        <f t="shared" si="297"/>
        <v>23.04</v>
      </c>
      <c r="AB244" s="74">
        <v>972</v>
      </c>
      <c r="AC244" s="74" t="s">
        <v>47</v>
      </c>
      <c r="AD244" s="13">
        <v>17.489999999999998</v>
      </c>
      <c r="AE244" s="13">
        <v>12.19</v>
      </c>
      <c r="AF244" s="13">
        <f t="shared" si="298"/>
        <v>29.68</v>
      </c>
      <c r="AH244" s="89">
        <f t="shared" si="257"/>
        <v>-0.36706689536878212</v>
      </c>
      <c r="AI244" s="89">
        <f t="shared" si="258"/>
        <v>-0.26251025430680885</v>
      </c>
      <c r="AJ244" s="89">
        <f t="shared" si="259"/>
        <v>-0.32412398921832875</v>
      </c>
    </row>
    <row r="245" spans="1:36" x14ac:dyDescent="0.3">
      <c r="A245" s="17" t="s">
        <v>500</v>
      </c>
      <c r="B245" s="44" t="s">
        <v>501</v>
      </c>
      <c r="C245" s="12">
        <f t="shared" si="299"/>
        <v>11136</v>
      </c>
      <c r="D245" s="41" t="str">
        <f t="shared" si="300"/>
        <v>m</v>
      </c>
      <c r="E245" s="41">
        <v>41.5</v>
      </c>
      <c r="F245" s="41">
        <v>4.28</v>
      </c>
      <c r="G245" s="41">
        <f t="shared" si="207"/>
        <v>45.78</v>
      </c>
      <c r="H245" s="13">
        <f t="shared" si="294"/>
        <v>462144</v>
      </c>
      <c r="I245" s="13">
        <f t="shared" si="295"/>
        <v>47662.080000000002</v>
      </c>
      <c r="J245" s="14">
        <f t="shared" si="296"/>
        <v>509806.08000000002</v>
      </c>
      <c r="M245" s="54"/>
      <c r="N245" s="56"/>
      <c r="V245" s="74">
        <v>11136</v>
      </c>
      <c r="W245" s="74" t="s">
        <v>76</v>
      </c>
      <c r="X245" s="13">
        <v>45.45</v>
      </c>
      <c r="Y245" s="13">
        <v>4.5</v>
      </c>
      <c r="Z245" s="13">
        <f t="shared" si="297"/>
        <v>49.95</v>
      </c>
      <c r="AB245" s="74">
        <v>11136</v>
      </c>
      <c r="AC245" s="74" t="s">
        <v>76</v>
      </c>
      <c r="AD245" s="13">
        <v>58.55</v>
      </c>
      <c r="AE245" s="13">
        <v>5.8</v>
      </c>
      <c r="AF245" s="13">
        <f t="shared" si="298"/>
        <v>64.349999999999994</v>
      </c>
      <c r="AH245" s="89">
        <f t="shared" si="257"/>
        <v>-0.29120409906063194</v>
      </c>
      <c r="AI245" s="89">
        <f t="shared" si="258"/>
        <v>-0.26206896551724135</v>
      </c>
      <c r="AJ245" s="89">
        <f t="shared" si="259"/>
        <v>-0.28857808857808853</v>
      </c>
    </row>
    <row r="246" spans="1:36" x14ac:dyDescent="0.3">
      <c r="A246" s="17" t="s">
        <v>502</v>
      </c>
      <c r="B246" s="44" t="s">
        <v>503</v>
      </c>
      <c r="C246" s="12">
        <f t="shared" si="299"/>
        <v>2478</v>
      </c>
      <c r="D246" s="41" t="str">
        <f t="shared" si="300"/>
        <v>m</v>
      </c>
      <c r="E246" s="41">
        <v>32.28</v>
      </c>
      <c r="F246" s="41">
        <v>4.28</v>
      </c>
      <c r="G246" s="41">
        <f t="shared" si="207"/>
        <v>36.56</v>
      </c>
      <c r="H246" s="13">
        <f t="shared" si="294"/>
        <v>79989.84</v>
      </c>
      <c r="I246" s="13">
        <f t="shared" si="295"/>
        <v>10605.84</v>
      </c>
      <c r="J246" s="14">
        <f t="shared" si="296"/>
        <v>90595.680000000008</v>
      </c>
      <c r="M246" s="54"/>
      <c r="N246" s="56"/>
      <c r="V246" s="74">
        <v>2478</v>
      </c>
      <c r="W246" s="74" t="s">
        <v>76</v>
      </c>
      <c r="X246" s="13">
        <v>46.63</v>
      </c>
      <c r="Y246" s="13">
        <v>4.5</v>
      </c>
      <c r="Z246" s="13">
        <f t="shared" si="297"/>
        <v>51.13</v>
      </c>
      <c r="AB246" s="74">
        <v>2478</v>
      </c>
      <c r="AC246" s="74" t="s">
        <v>76</v>
      </c>
      <c r="AD246" s="13">
        <v>60.07</v>
      </c>
      <c r="AE246" s="13">
        <v>5.8</v>
      </c>
      <c r="AF246" s="13">
        <f t="shared" si="298"/>
        <v>65.87</v>
      </c>
      <c r="AH246" s="89">
        <f t="shared" si="257"/>
        <v>-0.46262693524221743</v>
      </c>
      <c r="AI246" s="89">
        <f t="shared" si="258"/>
        <v>-0.26206896551724135</v>
      </c>
      <c r="AJ246" s="89">
        <f t="shared" si="259"/>
        <v>-0.44496735995141945</v>
      </c>
    </row>
    <row r="247" spans="1:36" x14ac:dyDescent="0.3">
      <c r="A247" s="17" t="s">
        <v>504</v>
      </c>
      <c r="B247" s="44" t="s">
        <v>505</v>
      </c>
      <c r="C247" s="12">
        <f t="shared" si="299"/>
        <v>222</v>
      </c>
      <c r="D247" s="41" t="str">
        <f t="shared" si="300"/>
        <v>UN</v>
      </c>
      <c r="E247" s="41">
        <v>17.36</v>
      </c>
      <c r="F247" s="41">
        <v>5.0999999999999996</v>
      </c>
      <c r="G247" s="41">
        <f t="shared" si="207"/>
        <v>22.46</v>
      </c>
      <c r="H247" s="13">
        <f t="shared" si="294"/>
        <v>3853.92</v>
      </c>
      <c r="I247" s="13">
        <f t="shared" si="295"/>
        <v>1132.1999999999998</v>
      </c>
      <c r="J247" s="14">
        <f t="shared" si="296"/>
        <v>4986.12</v>
      </c>
      <c r="M247" s="54"/>
      <c r="N247" s="56"/>
      <c r="V247" s="74">
        <v>222</v>
      </c>
      <c r="W247" s="74" t="s">
        <v>47</v>
      </c>
      <c r="X247" s="13">
        <v>19.62</v>
      </c>
      <c r="Y247" s="13">
        <v>5.33</v>
      </c>
      <c r="Z247" s="13">
        <f t="shared" si="297"/>
        <v>24.950000000000003</v>
      </c>
      <c r="AB247" s="74">
        <v>222</v>
      </c>
      <c r="AC247" s="74" t="s">
        <v>47</v>
      </c>
      <c r="AD247" s="13">
        <v>25.27</v>
      </c>
      <c r="AE247" s="13">
        <v>6.87</v>
      </c>
      <c r="AF247" s="13">
        <f t="shared" si="298"/>
        <v>32.14</v>
      </c>
      <c r="AH247" s="89">
        <f t="shared" si="257"/>
        <v>-0.31301939058171746</v>
      </c>
      <c r="AI247" s="89">
        <f t="shared" si="258"/>
        <v>-0.25764192139737996</v>
      </c>
      <c r="AJ247" s="89">
        <f t="shared" si="259"/>
        <v>-0.30118232731798378</v>
      </c>
    </row>
    <row r="248" spans="1:36" x14ac:dyDescent="0.3">
      <c r="A248" s="17" t="s">
        <v>506</v>
      </c>
      <c r="B248" s="44" t="s">
        <v>507</v>
      </c>
      <c r="C248" s="12">
        <f t="shared" si="299"/>
        <v>1</v>
      </c>
      <c r="D248" s="41" t="str">
        <f t="shared" si="300"/>
        <v>UN</v>
      </c>
      <c r="E248" s="41">
        <v>19.420000000000002</v>
      </c>
      <c r="F248" s="41">
        <v>1.18</v>
      </c>
      <c r="G248" s="41">
        <f t="shared" si="207"/>
        <v>20.6</v>
      </c>
      <c r="H248" s="13">
        <f t="shared" si="294"/>
        <v>19.420000000000002</v>
      </c>
      <c r="I248" s="13">
        <f t="shared" si="295"/>
        <v>1.18</v>
      </c>
      <c r="J248" s="14">
        <f t="shared" si="296"/>
        <v>20.6</v>
      </c>
      <c r="M248" s="54"/>
      <c r="N248" s="56"/>
      <c r="V248" s="74">
        <v>1</v>
      </c>
      <c r="W248" s="74" t="s">
        <v>47</v>
      </c>
      <c r="X248" s="13">
        <v>28.06</v>
      </c>
      <c r="Y248" s="13">
        <v>1.23</v>
      </c>
      <c r="Z248" s="13">
        <f t="shared" si="297"/>
        <v>29.29</v>
      </c>
      <c r="AB248" s="74">
        <v>1</v>
      </c>
      <c r="AC248" s="74" t="s">
        <v>47</v>
      </c>
      <c r="AD248" s="13">
        <v>36.15</v>
      </c>
      <c r="AE248" s="13">
        <v>1.58</v>
      </c>
      <c r="AF248" s="13">
        <f t="shared" si="298"/>
        <v>37.729999999999997</v>
      </c>
      <c r="AH248" s="89">
        <f t="shared" si="257"/>
        <v>-0.46279391424619631</v>
      </c>
      <c r="AI248" s="89">
        <f t="shared" si="258"/>
        <v>-0.25316455696202544</v>
      </c>
      <c r="AJ248" s="89">
        <f t="shared" si="259"/>
        <v>-0.45401537238271927</v>
      </c>
    </row>
    <row r="249" spans="1:36" x14ac:dyDescent="0.3">
      <c r="A249" s="17" t="s">
        <v>508</v>
      </c>
      <c r="B249" s="44" t="s">
        <v>509</v>
      </c>
      <c r="C249" s="12">
        <f t="shared" si="299"/>
        <v>129</v>
      </c>
      <c r="D249" s="41" t="str">
        <f t="shared" si="300"/>
        <v>UN</v>
      </c>
      <c r="E249" s="41">
        <v>86.79</v>
      </c>
      <c r="F249" s="41">
        <v>17.989999999999998</v>
      </c>
      <c r="G249" s="41">
        <f t="shared" si="207"/>
        <v>104.78</v>
      </c>
      <c r="H249" s="13">
        <f t="shared" si="294"/>
        <v>11195.910000000002</v>
      </c>
      <c r="I249" s="13">
        <f t="shared" si="295"/>
        <v>2320.7099999999996</v>
      </c>
      <c r="J249" s="14">
        <f t="shared" si="296"/>
        <v>13516.62</v>
      </c>
      <c r="M249" s="54"/>
      <c r="N249" s="55"/>
      <c r="V249" s="74">
        <v>129</v>
      </c>
      <c r="W249" s="74" t="s">
        <v>47</v>
      </c>
      <c r="X249" s="13">
        <v>102.5</v>
      </c>
      <c r="Y249" s="13">
        <v>18.920000000000002</v>
      </c>
      <c r="Z249" s="13">
        <f t="shared" si="297"/>
        <v>121.42</v>
      </c>
      <c r="AB249" s="74">
        <v>129</v>
      </c>
      <c r="AC249" s="74" t="s">
        <v>47</v>
      </c>
      <c r="AD249" s="13">
        <v>132.04</v>
      </c>
      <c r="AE249" s="13">
        <v>24.37</v>
      </c>
      <c r="AF249" s="13">
        <f t="shared" si="298"/>
        <v>156.41</v>
      </c>
      <c r="AH249" s="89">
        <f t="shared" si="257"/>
        <v>-0.34269918206604055</v>
      </c>
      <c r="AI249" s="89">
        <f t="shared" si="258"/>
        <v>-0.26179729175215438</v>
      </c>
      <c r="AJ249" s="89">
        <f t="shared" si="259"/>
        <v>-0.33009398376062904</v>
      </c>
    </row>
    <row r="250" spans="1:36" x14ac:dyDescent="0.3">
      <c r="A250" s="17" t="s">
        <v>510</v>
      </c>
      <c r="B250" s="44" t="s">
        <v>511</v>
      </c>
      <c r="C250" s="12">
        <f t="shared" si="299"/>
        <v>4860</v>
      </c>
      <c r="D250" s="41" t="str">
        <f t="shared" si="300"/>
        <v>UN</v>
      </c>
      <c r="E250" s="41">
        <v>0</v>
      </c>
      <c r="F250" s="41">
        <v>43.78</v>
      </c>
      <c r="G250" s="41">
        <f t="shared" si="207"/>
        <v>43.78</v>
      </c>
      <c r="H250" s="13">
        <f t="shared" si="294"/>
        <v>0</v>
      </c>
      <c r="I250" s="13">
        <f t="shared" si="295"/>
        <v>212770.80000000002</v>
      </c>
      <c r="J250" s="14">
        <f t="shared" si="296"/>
        <v>212770.80000000002</v>
      </c>
      <c r="M250" s="54"/>
      <c r="N250" s="55"/>
      <c r="V250" s="74">
        <v>4860</v>
      </c>
      <c r="W250" s="74" t="s">
        <v>47</v>
      </c>
      <c r="X250" s="13">
        <v>0</v>
      </c>
      <c r="Y250" s="13">
        <v>45.9</v>
      </c>
      <c r="Z250" s="13">
        <f t="shared" si="297"/>
        <v>45.9</v>
      </c>
      <c r="AB250" s="74">
        <v>4860</v>
      </c>
      <c r="AC250" s="74" t="s">
        <v>47</v>
      </c>
      <c r="AD250" s="13">
        <v>0</v>
      </c>
      <c r="AE250" s="13">
        <v>59.13</v>
      </c>
      <c r="AF250" s="13">
        <f t="shared" si="298"/>
        <v>59.13</v>
      </c>
      <c r="AH250" s="89">
        <f t="shared" si="257"/>
        <v>0</v>
      </c>
      <c r="AI250" s="89">
        <f t="shared" si="258"/>
        <v>-0.25959749704041946</v>
      </c>
      <c r="AJ250" s="89">
        <f t="shared" si="259"/>
        <v>-0.25959749704041946</v>
      </c>
    </row>
    <row r="251" spans="1:36" x14ac:dyDescent="0.3">
      <c r="A251" s="17" t="s">
        <v>512</v>
      </c>
      <c r="B251" s="44" t="s">
        <v>513</v>
      </c>
      <c r="C251" s="12">
        <f t="shared" si="299"/>
        <v>621</v>
      </c>
      <c r="D251" s="41" t="str">
        <f t="shared" si="300"/>
        <v>UN</v>
      </c>
      <c r="E251" s="41">
        <v>46.31</v>
      </c>
      <c r="F251" s="41">
        <v>8.99</v>
      </c>
      <c r="G251" s="41">
        <f t="shared" si="207"/>
        <v>55.300000000000004</v>
      </c>
      <c r="H251" s="13">
        <f t="shared" si="294"/>
        <v>28758.510000000002</v>
      </c>
      <c r="I251" s="13">
        <f t="shared" si="295"/>
        <v>5582.79</v>
      </c>
      <c r="J251" s="14">
        <f t="shared" si="296"/>
        <v>34341.300000000003</v>
      </c>
      <c r="M251" s="54"/>
      <c r="N251" s="56"/>
      <c r="V251" s="74">
        <v>621</v>
      </c>
      <c r="W251" s="74" t="s">
        <v>47</v>
      </c>
      <c r="X251" s="13">
        <v>54.66</v>
      </c>
      <c r="Y251" s="13">
        <v>9.4600000000000009</v>
      </c>
      <c r="Z251" s="13">
        <f t="shared" si="297"/>
        <v>64.12</v>
      </c>
      <c r="AB251" s="74">
        <v>621</v>
      </c>
      <c r="AC251" s="74" t="s">
        <v>47</v>
      </c>
      <c r="AD251" s="13">
        <v>70.41</v>
      </c>
      <c r="AE251" s="13">
        <v>12.19</v>
      </c>
      <c r="AF251" s="13">
        <f t="shared" si="298"/>
        <v>82.6</v>
      </c>
      <c r="AH251" s="89">
        <f t="shared" si="257"/>
        <v>-0.34228092600482884</v>
      </c>
      <c r="AI251" s="89">
        <f t="shared" si="258"/>
        <v>-0.26251025430680885</v>
      </c>
      <c r="AJ251" s="89">
        <f t="shared" si="259"/>
        <v>-0.33050847457627108</v>
      </c>
    </row>
    <row r="252" spans="1:36" x14ac:dyDescent="0.3">
      <c r="A252" s="17" t="s">
        <v>514</v>
      </c>
      <c r="B252" s="44" t="s">
        <v>515</v>
      </c>
      <c r="C252" s="12">
        <f t="shared" si="299"/>
        <v>1</v>
      </c>
      <c r="D252" s="41" t="str">
        <f t="shared" si="300"/>
        <v>UN</v>
      </c>
      <c r="E252" s="41">
        <v>371.56</v>
      </c>
      <c r="F252" s="41">
        <v>28.57</v>
      </c>
      <c r="G252" s="41">
        <f t="shared" si="207"/>
        <v>400.13</v>
      </c>
      <c r="H252" s="13">
        <f t="shared" si="294"/>
        <v>371.56</v>
      </c>
      <c r="I252" s="13">
        <f t="shared" si="295"/>
        <v>28.57</v>
      </c>
      <c r="J252" s="14">
        <f t="shared" si="296"/>
        <v>400.13</v>
      </c>
      <c r="M252" s="54"/>
      <c r="N252" s="56"/>
      <c r="V252" s="74">
        <v>1</v>
      </c>
      <c r="W252" s="74" t="s">
        <v>47</v>
      </c>
      <c r="X252" s="13">
        <v>417.6</v>
      </c>
      <c r="Y252" s="13">
        <v>30.08</v>
      </c>
      <c r="Z252" s="13">
        <f t="shared" si="297"/>
        <v>447.68</v>
      </c>
      <c r="AB252" s="74">
        <v>1</v>
      </c>
      <c r="AC252" s="74" t="s">
        <v>47</v>
      </c>
      <c r="AD252" s="13">
        <v>537.95000000000005</v>
      </c>
      <c r="AE252" s="13">
        <v>38.75</v>
      </c>
      <c r="AF252" s="13">
        <f t="shared" si="298"/>
        <v>576.70000000000005</v>
      </c>
      <c r="AH252" s="89">
        <f t="shared" si="257"/>
        <v>-0.3093038386467144</v>
      </c>
      <c r="AI252" s="89">
        <f t="shared" si="258"/>
        <v>-0.2627096774193548</v>
      </c>
      <c r="AJ252" s="89">
        <f t="shared" si="259"/>
        <v>-0.30617305358071789</v>
      </c>
    </row>
    <row r="253" spans="1:36" x14ac:dyDescent="0.3">
      <c r="A253" s="17" t="s">
        <v>516</v>
      </c>
      <c r="B253" s="44" t="s">
        <v>517</v>
      </c>
      <c r="C253" s="12">
        <f t="shared" si="299"/>
        <v>1</v>
      </c>
      <c r="D253" s="41" t="str">
        <f t="shared" si="300"/>
        <v>UN</v>
      </c>
      <c r="E253" s="41">
        <v>279.48</v>
      </c>
      <c r="F253" s="41">
        <v>179.63</v>
      </c>
      <c r="G253" s="41">
        <f t="shared" ref="G253:G316" si="301">F253+E253</f>
        <v>459.11</v>
      </c>
      <c r="H253" s="13">
        <f t="shared" si="294"/>
        <v>279.48</v>
      </c>
      <c r="I253" s="13">
        <f t="shared" si="295"/>
        <v>179.63</v>
      </c>
      <c r="J253" s="14">
        <f t="shared" si="296"/>
        <v>459.11</v>
      </c>
      <c r="M253" s="54"/>
      <c r="N253" s="56"/>
      <c r="V253" s="74">
        <v>1</v>
      </c>
      <c r="W253" s="74" t="s">
        <v>47</v>
      </c>
      <c r="X253" s="13">
        <v>292.20999999999998</v>
      </c>
      <c r="Y253" s="13">
        <v>188.64</v>
      </c>
      <c r="Z253" s="13">
        <f t="shared" si="297"/>
        <v>480.84999999999997</v>
      </c>
      <c r="AB253" s="74">
        <v>1</v>
      </c>
      <c r="AC253" s="74" t="s">
        <v>47</v>
      </c>
      <c r="AD253" s="13">
        <v>376.42</v>
      </c>
      <c r="AE253" s="13">
        <v>243.01</v>
      </c>
      <c r="AF253" s="13">
        <f t="shared" si="298"/>
        <v>619.43000000000006</v>
      </c>
      <c r="AH253" s="89">
        <f t="shared" si="257"/>
        <v>-0.25753148079273147</v>
      </c>
      <c r="AI253" s="89">
        <f t="shared" si="258"/>
        <v>-0.2608123122505247</v>
      </c>
      <c r="AJ253" s="89">
        <f t="shared" si="259"/>
        <v>-0.25881859128553675</v>
      </c>
    </row>
    <row r="254" spans="1:36" x14ac:dyDescent="0.3">
      <c r="A254" s="17" t="s">
        <v>518</v>
      </c>
      <c r="B254" s="44" t="s">
        <v>519</v>
      </c>
      <c r="C254" s="12">
        <f t="shared" si="299"/>
        <v>75</v>
      </c>
      <c r="D254" s="41" t="str">
        <f t="shared" si="300"/>
        <v>UN</v>
      </c>
      <c r="E254" s="41">
        <v>36.06</v>
      </c>
      <c r="F254" s="41">
        <v>21.42</v>
      </c>
      <c r="G254" s="41">
        <f t="shared" si="301"/>
        <v>57.480000000000004</v>
      </c>
      <c r="H254" s="13">
        <f t="shared" si="294"/>
        <v>2704.5</v>
      </c>
      <c r="I254" s="13">
        <f t="shared" si="295"/>
        <v>1606.5000000000002</v>
      </c>
      <c r="J254" s="14">
        <f t="shared" si="296"/>
        <v>4311</v>
      </c>
      <c r="M254" s="54"/>
      <c r="N254" s="56"/>
      <c r="V254" s="74">
        <v>75</v>
      </c>
      <c r="W254" s="74" t="s">
        <v>47</v>
      </c>
      <c r="X254" s="13">
        <v>35</v>
      </c>
      <c r="Y254" s="13">
        <v>22.52</v>
      </c>
      <c r="Z254" s="13">
        <f t="shared" si="297"/>
        <v>57.519999999999996</v>
      </c>
      <c r="AB254" s="74">
        <v>75</v>
      </c>
      <c r="AC254" s="74" t="s">
        <v>47</v>
      </c>
      <c r="AD254" s="13">
        <v>45.09</v>
      </c>
      <c r="AE254" s="13">
        <v>29.01</v>
      </c>
      <c r="AF254" s="13">
        <f t="shared" si="298"/>
        <v>74.100000000000009</v>
      </c>
      <c r="AH254" s="89">
        <f t="shared" si="257"/>
        <v>-0.20026613439787089</v>
      </c>
      <c r="AI254" s="89">
        <f t="shared" si="258"/>
        <v>-0.26163391933815927</v>
      </c>
      <c r="AJ254" s="89">
        <f t="shared" si="259"/>
        <v>-0.22429149797570858</v>
      </c>
    </row>
    <row r="255" spans="1:36" x14ac:dyDescent="0.3">
      <c r="A255" s="17" t="s">
        <v>520</v>
      </c>
      <c r="B255" s="44" t="s">
        <v>521</v>
      </c>
      <c r="C255" s="12">
        <f t="shared" si="299"/>
        <v>1</v>
      </c>
      <c r="D255" s="41" t="str">
        <f t="shared" si="300"/>
        <v>UN</v>
      </c>
      <c r="E255" s="41">
        <v>0</v>
      </c>
      <c r="F255" s="41">
        <v>32.119999999999997</v>
      </c>
      <c r="G255" s="41">
        <f t="shared" si="301"/>
        <v>32.119999999999997</v>
      </c>
      <c r="H255" s="13">
        <f t="shared" si="294"/>
        <v>0</v>
      </c>
      <c r="I255" s="13">
        <f t="shared" si="295"/>
        <v>32.119999999999997</v>
      </c>
      <c r="J255" s="14">
        <f t="shared" si="296"/>
        <v>32.119999999999997</v>
      </c>
      <c r="M255" s="54"/>
      <c r="N255" s="56"/>
      <c r="V255" s="74">
        <v>1</v>
      </c>
      <c r="W255" s="74" t="s">
        <v>47</v>
      </c>
      <c r="X255" s="13">
        <v>0</v>
      </c>
      <c r="Y255" s="13">
        <v>33.78</v>
      </c>
      <c r="Z255" s="13">
        <f t="shared" si="297"/>
        <v>33.78</v>
      </c>
      <c r="AB255" s="74">
        <v>1</v>
      </c>
      <c r="AC255" s="74" t="s">
        <v>47</v>
      </c>
      <c r="AD255" s="13">
        <v>0</v>
      </c>
      <c r="AE255" s="13">
        <v>43.52</v>
      </c>
      <c r="AF255" s="13">
        <f t="shared" si="298"/>
        <v>43.52</v>
      </c>
      <c r="AH255" s="89">
        <f t="shared" si="257"/>
        <v>0</v>
      </c>
      <c r="AI255" s="89">
        <f t="shared" si="258"/>
        <v>-0.26194852941176483</v>
      </c>
      <c r="AJ255" s="89">
        <f t="shared" si="259"/>
        <v>-0.26194852941176483</v>
      </c>
    </row>
    <row r="256" spans="1:36" x14ac:dyDescent="0.3">
      <c r="A256" s="17" t="s">
        <v>522</v>
      </c>
      <c r="B256" s="44" t="s">
        <v>523</v>
      </c>
      <c r="C256" s="12">
        <f t="shared" si="299"/>
        <v>225</v>
      </c>
      <c r="D256" s="41" t="str">
        <f t="shared" si="300"/>
        <v>UN</v>
      </c>
      <c r="E256" s="41">
        <v>29.88</v>
      </c>
      <c r="F256" s="41">
        <v>14.13</v>
      </c>
      <c r="G256" s="41">
        <f t="shared" si="301"/>
        <v>44.01</v>
      </c>
      <c r="H256" s="13">
        <f t="shared" si="294"/>
        <v>6723</v>
      </c>
      <c r="I256" s="13">
        <f t="shared" si="295"/>
        <v>3179.25</v>
      </c>
      <c r="J256" s="14">
        <f t="shared" si="296"/>
        <v>9902.25</v>
      </c>
      <c r="M256" s="54"/>
      <c r="N256" s="56"/>
      <c r="V256" s="74">
        <v>225</v>
      </c>
      <c r="W256" s="74" t="s">
        <v>47</v>
      </c>
      <c r="X256" s="13">
        <v>43.16</v>
      </c>
      <c r="Y256" s="13">
        <v>14.86</v>
      </c>
      <c r="Z256" s="13">
        <f t="shared" si="297"/>
        <v>58.019999999999996</v>
      </c>
      <c r="AB256" s="74">
        <v>225</v>
      </c>
      <c r="AC256" s="74" t="s">
        <v>47</v>
      </c>
      <c r="AD256" s="13">
        <v>55.6</v>
      </c>
      <c r="AE256" s="13">
        <v>19.14</v>
      </c>
      <c r="AF256" s="13">
        <f t="shared" si="298"/>
        <v>74.740000000000009</v>
      </c>
      <c r="AH256" s="89">
        <f t="shared" si="257"/>
        <v>-0.46258992805755395</v>
      </c>
      <c r="AI256" s="89">
        <f t="shared" si="258"/>
        <v>-0.26175548589341691</v>
      </c>
      <c r="AJ256" s="89">
        <f t="shared" si="259"/>
        <v>-0.41115868343591122</v>
      </c>
    </row>
    <row r="257" spans="1:36" x14ac:dyDescent="0.3">
      <c r="A257" s="17" t="s">
        <v>524</v>
      </c>
      <c r="B257" s="44" t="s">
        <v>525</v>
      </c>
      <c r="C257" s="12">
        <f t="shared" si="299"/>
        <v>3349</v>
      </c>
      <c r="D257" s="41" t="str">
        <f t="shared" si="300"/>
        <v>UN</v>
      </c>
      <c r="E257" s="41">
        <v>0</v>
      </c>
      <c r="F257" s="41">
        <v>21.42</v>
      </c>
      <c r="G257" s="41">
        <f t="shared" si="301"/>
        <v>21.42</v>
      </c>
      <c r="H257" s="13">
        <f t="shared" si="294"/>
        <v>0</v>
      </c>
      <c r="I257" s="13">
        <f t="shared" si="295"/>
        <v>71735.58</v>
      </c>
      <c r="J257" s="14">
        <f t="shared" si="296"/>
        <v>71735.58</v>
      </c>
      <c r="M257" s="54"/>
      <c r="N257" s="56"/>
      <c r="V257" s="74">
        <v>3349</v>
      </c>
      <c r="W257" s="74" t="s">
        <v>47</v>
      </c>
      <c r="X257" s="13">
        <v>0</v>
      </c>
      <c r="Y257" s="13">
        <v>22.52</v>
      </c>
      <c r="Z257" s="13">
        <f t="shared" si="297"/>
        <v>22.52</v>
      </c>
      <c r="AB257" s="74">
        <v>3349</v>
      </c>
      <c r="AC257" s="74" t="s">
        <v>47</v>
      </c>
      <c r="AD257" s="13">
        <v>0</v>
      </c>
      <c r="AE257" s="13">
        <v>29.01</v>
      </c>
      <c r="AF257" s="13">
        <f t="shared" si="298"/>
        <v>29.01</v>
      </c>
      <c r="AH257" s="89">
        <f t="shared" si="257"/>
        <v>0</v>
      </c>
      <c r="AI257" s="89">
        <f t="shared" si="258"/>
        <v>-0.26163391933815927</v>
      </c>
      <c r="AJ257" s="89">
        <f t="shared" si="259"/>
        <v>-0.26163391933815927</v>
      </c>
    </row>
    <row r="258" spans="1:36" x14ac:dyDescent="0.3">
      <c r="A258" s="17" t="s">
        <v>526</v>
      </c>
      <c r="B258" s="44" t="s">
        <v>527</v>
      </c>
      <c r="C258" s="12">
        <f t="shared" si="299"/>
        <v>1</v>
      </c>
      <c r="D258" s="41" t="str">
        <f t="shared" si="300"/>
        <v>UN</v>
      </c>
      <c r="E258" s="41">
        <v>358.52</v>
      </c>
      <c r="F258" s="41">
        <v>21.42</v>
      </c>
      <c r="G258" s="41">
        <f t="shared" si="301"/>
        <v>379.94</v>
      </c>
      <c r="H258" s="13">
        <f t="shared" si="294"/>
        <v>358.52</v>
      </c>
      <c r="I258" s="13">
        <f t="shared" si="295"/>
        <v>21.42</v>
      </c>
      <c r="J258" s="14">
        <f t="shared" si="296"/>
        <v>379.94</v>
      </c>
      <c r="M258" s="54"/>
      <c r="N258" s="56"/>
      <c r="V258" s="74">
        <v>1</v>
      </c>
      <c r="W258" s="74" t="s">
        <v>47</v>
      </c>
      <c r="X258" s="13">
        <v>411.11</v>
      </c>
      <c r="Y258" s="13">
        <v>22.52</v>
      </c>
      <c r="Z258" s="13">
        <f t="shared" si="297"/>
        <v>433.63</v>
      </c>
      <c r="AB258" s="74">
        <v>1</v>
      </c>
      <c r="AC258" s="74" t="s">
        <v>47</v>
      </c>
      <c r="AD258" s="13">
        <v>529.59</v>
      </c>
      <c r="AE258" s="13">
        <v>29.01</v>
      </c>
      <c r="AF258" s="13">
        <f t="shared" si="298"/>
        <v>558.6</v>
      </c>
      <c r="AH258" s="89">
        <f t="shared" si="257"/>
        <v>-0.32302347098699002</v>
      </c>
      <c r="AI258" s="89">
        <f t="shared" si="258"/>
        <v>-0.26163391933815927</v>
      </c>
      <c r="AJ258" s="89">
        <f t="shared" si="259"/>
        <v>-0.31983530254206949</v>
      </c>
    </row>
    <row r="259" spans="1:36" x14ac:dyDescent="0.3">
      <c r="A259" s="17" t="s">
        <v>528</v>
      </c>
      <c r="B259" s="44" t="s">
        <v>529</v>
      </c>
      <c r="C259" s="12">
        <f t="shared" si="299"/>
        <v>1</v>
      </c>
      <c r="D259" s="41" t="str">
        <f t="shared" si="300"/>
        <v>UN</v>
      </c>
      <c r="E259" s="41">
        <v>47.32</v>
      </c>
      <c r="F259" s="41">
        <v>7.84</v>
      </c>
      <c r="G259" s="41">
        <f t="shared" si="301"/>
        <v>55.16</v>
      </c>
      <c r="H259" s="13">
        <f t="shared" si="294"/>
        <v>47.32</v>
      </c>
      <c r="I259" s="13">
        <f t="shared" si="295"/>
        <v>7.84</v>
      </c>
      <c r="J259" s="14">
        <f t="shared" si="296"/>
        <v>55.16</v>
      </c>
      <c r="M259" s="54"/>
      <c r="N259" s="56"/>
      <c r="V259" s="74">
        <v>1</v>
      </c>
      <c r="W259" s="74" t="s">
        <v>47</v>
      </c>
      <c r="X259" s="13">
        <v>58.99</v>
      </c>
      <c r="Y259" s="13">
        <v>8.2200000000000006</v>
      </c>
      <c r="Z259" s="13">
        <f t="shared" si="297"/>
        <v>67.210000000000008</v>
      </c>
      <c r="AB259" s="74">
        <v>1</v>
      </c>
      <c r="AC259" s="74" t="s">
        <v>47</v>
      </c>
      <c r="AD259" s="13">
        <v>75.989999999999995</v>
      </c>
      <c r="AE259" s="13">
        <v>10.59</v>
      </c>
      <c r="AF259" s="13">
        <f t="shared" si="298"/>
        <v>86.58</v>
      </c>
      <c r="AH259" s="89">
        <f t="shared" si="257"/>
        <v>-0.37728648506382412</v>
      </c>
      <c r="AI259" s="89">
        <f t="shared" si="258"/>
        <v>-0.2596789423984891</v>
      </c>
      <c r="AJ259" s="89">
        <f t="shared" si="259"/>
        <v>-0.36290136290136288</v>
      </c>
    </row>
    <row r="260" spans="1:36" x14ac:dyDescent="0.3">
      <c r="A260" s="17" t="s">
        <v>530</v>
      </c>
      <c r="B260" s="44" t="s">
        <v>531</v>
      </c>
      <c r="C260" s="12">
        <f t="shared" si="299"/>
        <v>3396</v>
      </c>
      <c r="D260" s="41" t="str">
        <f t="shared" si="300"/>
        <v>UN</v>
      </c>
      <c r="E260" s="41">
        <v>36.72</v>
      </c>
      <c r="F260" s="41">
        <v>11.82</v>
      </c>
      <c r="G260" s="41">
        <f t="shared" si="301"/>
        <v>48.54</v>
      </c>
      <c r="H260" s="13">
        <f t="shared" si="294"/>
        <v>124701.12</v>
      </c>
      <c r="I260" s="13">
        <f t="shared" si="295"/>
        <v>40140.720000000001</v>
      </c>
      <c r="J260" s="14">
        <f t="shared" si="296"/>
        <v>164841.84</v>
      </c>
      <c r="M260" s="54"/>
      <c r="N260" s="56"/>
      <c r="V260" s="74">
        <v>3396</v>
      </c>
      <c r="W260" s="74" t="s">
        <v>47</v>
      </c>
      <c r="X260" s="13">
        <v>45</v>
      </c>
      <c r="Y260" s="13">
        <v>12.35</v>
      </c>
      <c r="Z260" s="13">
        <f t="shared" si="297"/>
        <v>57.35</v>
      </c>
      <c r="AB260" s="74">
        <v>3396</v>
      </c>
      <c r="AC260" s="74" t="s">
        <v>47</v>
      </c>
      <c r="AD260" s="13">
        <v>57.97</v>
      </c>
      <c r="AE260" s="13">
        <v>15.91</v>
      </c>
      <c r="AF260" s="13">
        <f t="shared" si="298"/>
        <v>73.88</v>
      </c>
      <c r="AH260" s="89">
        <f t="shared" si="257"/>
        <v>-0.36656891495601174</v>
      </c>
      <c r="AI260" s="89">
        <f t="shared" si="258"/>
        <v>-0.25707102451288499</v>
      </c>
      <c r="AJ260" s="89">
        <f t="shared" si="259"/>
        <v>-0.34298863021115322</v>
      </c>
    </row>
    <row r="261" spans="1:36" x14ac:dyDescent="0.3">
      <c r="A261" s="17" t="s">
        <v>532</v>
      </c>
      <c r="B261" s="44" t="s">
        <v>533</v>
      </c>
      <c r="C261" s="12">
        <f t="shared" si="299"/>
        <v>1</v>
      </c>
      <c r="D261" s="41" t="str">
        <f t="shared" si="300"/>
        <v>UN</v>
      </c>
      <c r="E261" s="41">
        <v>101.83</v>
      </c>
      <c r="F261" s="41">
        <v>42.82</v>
      </c>
      <c r="G261" s="41">
        <f t="shared" si="301"/>
        <v>144.65</v>
      </c>
      <c r="H261" s="13">
        <f t="shared" si="294"/>
        <v>101.83</v>
      </c>
      <c r="I261" s="13">
        <f t="shared" si="295"/>
        <v>42.82</v>
      </c>
      <c r="J261" s="14">
        <f t="shared" si="296"/>
        <v>144.65</v>
      </c>
      <c r="M261" s="54"/>
      <c r="N261" s="56"/>
      <c r="V261" s="74">
        <v>1</v>
      </c>
      <c r="W261" s="74" t="s">
        <v>47</v>
      </c>
      <c r="X261" s="13">
        <v>124.8</v>
      </c>
      <c r="Y261" s="13">
        <v>45.04</v>
      </c>
      <c r="Z261" s="13">
        <f t="shared" si="297"/>
        <v>169.84</v>
      </c>
      <c r="AB261" s="74">
        <v>1</v>
      </c>
      <c r="AC261" s="74" t="s">
        <v>47</v>
      </c>
      <c r="AD261" s="13">
        <v>160.77000000000001</v>
      </c>
      <c r="AE261" s="13">
        <v>58.02</v>
      </c>
      <c r="AF261" s="13">
        <f t="shared" si="298"/>
        <v>218.79000000000002</v>
      </c>
      <c r="AH261" s="89">
        <f t="shared" si="257"/>
        <v>-0.36661068607327241</v>
      </c>
      <c r="AI261" s="89">
        <f t="shared" si="258"/>
        <v>-0.26197862805928995</v>
      </c>
      <c r="AJ261" s="89">
        <f t="shared" si="259"/>
        <v>-0.33886375062845653</v>
      </c>
    </row>
    <row r="262" spans="1:36" x14ac:dyDescent="0.3">
      <c r="A262" s="17" t="s">
        <v>534</v>
      </c>
      <c r="B262" s="44" t="s">
        <v>535</v>
      </c>
      <c r="C262" s="12">
        <f t="shared" si="299"/>
        <v>24</v>
      </c>
      <c r="D262" s="41" t="str">
        <f t="shared" si="300"/>
        <v>UN</v>
      </c>
      <c r="E262" s="41">
        <v>179.52</v>
      </c>
      <c r="F262" s="41">
        <v>42.82</v>
      </c>
      <c r="G262" s="41">
        <f t="shared" si="301"/>
        <v>222.34</v>
      </c>
      <c r="H262" s="13">
        <f t="shared" si="294"/>
        <v>4308.4800000000005</v>
      </c>
      <c r="I262" s="13">
        <f t="shared" si="295"/>
        <v>1027.68</v>
      </c>
      <c r="J262" s="14">
        <f t="shared" si="296"/>
        <v>5336.16</v>
      </c>
      <c r="M262" s="54"/>
      <c r="N262" s="56"/>
      <c r="V262" s="74">
        <v>24</v>
      </c>
      <c r="W262" s="74" t="s">
        <v>47</v>
      </c>
      <c r="X262" s="13">
        <v>220</v>
      </c>
      <c r="Y262" s="13">
        <v>45.04</v>
      </c>
      <c r="Z262" s="13">
        <f t="shared" si="297"/>
        <v>265.04000000000002</v>
      </c>
      <c r="AB262" s="74">
        <v>24</v>
      </c>
      <c r="AC262" s="74" t="s">
        <v>47</v>
      </c>
      <c r="AD262" s="13">
        <v>283.39999999999998</v>
      </c>
      <c r="AE262" s="13">
        <v>58.02</v>
      </c>
      <c r="AF262" s="13">
        <f t="shared" si="298"/>
        <v>341.41999999999996</v>
      </c>
      <c r="AH262" s="89">
        <f t="shared" si="257"/>
        <v>-0.3665490472829922</v>
      </c>
      <c r="AI262" s="89">
        <f t="shared" si="258"/>
        <v>-0.26197862805928995</v>
      </c>
      <c r="AJ262" s="89">
        <f t="shared" si="259"/>
        <v>-0.34877863042586832</v>
      </c>
    </row>
    <row r="263" spans="1:36" x14ac:dyDescent="0.3">
      <c r="A263" s="17" t="s">
        <v>536</v>
      </c>
      <c r="B263" s="44" t="s">
        <v>537</v>
      </c>
      <c r="C263" s="12">
        <f t="shared" si="299"/>
        <v>1</v>
      </c>
      <c r="D263" s="41" t="str">
        <f t="shared" si="300"/>
        <v>UN</v>
      </c>
      <c r="E263" s="41">
        <v>60.37</v>
      </c>
      <c r="F263" s="41">
        <v>85.66</v>
      </c>
      <c r="G263" s="41">
        <f t="shared" si="301"/>
        <v>146.03</v>
      </c>
      <c r="H263" s="13">
        <f t="shared" si="294"/>
        <v>60.37</v>
      </c>
      <c r="I263" s="13">
        <f t="shared" si="295"/>
        <v>85.66</v>
      </c>
      <c r="J263" s="14">
        <f t="shared" si="296"/>
        <v>146.03</v>
      </c>
      <c r="M263" s="54"/>
      <c r="N263" s="56"/>
      <c r="V263" s="74">
        <v>1</v>
      </c>
      <c r="W263" s="74" t="s">
        <v>47</v>
      </c>
      <c r="X263" s="13">
        <v>87.2</v>
      </c>
      <c r="Y263" s="13">
        <v>90.08</v>
      </c>
      <c r="Z263" s="13">
        <f t="shared" si="297"/>
        <v>177.28</v>
      </c>
      <c r="AB263" s="74">
        <v>1</v>
      </c>
      <c r="AC263" s="74" t="s">
        <v>47</v>
      </c>
      <c r="AD263" s="13">
        <v>112.33</v>
      </c>
      <c r="AE263" s="13">
        <v>116.04</v>
      </c>
      <c r="AF263" s="13">
        <f t="shared" si="298"/>
        <v>228.37</v>
      </c>
      <c r="AH263" s="89">
        <f t="shared" si="257"/>
        <v>-0.46256565476720379</v>
      </c>
      <c r="AI263" s="89">
        <f t="shared" si="258"/>
        <v>-0.26180627369872467</v>
      </c>
      <c r="AJ263" s="89">
        <f t="shared" si="259"/>
        <v>-0.36055523930463718</v>
      </c>
    </row>
    <row r="264" spans="1:36" x14ac:dyDescent="0.3">
      <c r="A264" s="17" t="s">
        <v>538</v>
      </c>
      <c r="B264" s="44" t="s">
        <v>539</v>
      </c>
      <c r="C264" s="12">
        <f t="shared" si="299"/>
        <v>1</v>
      </c>
      <c r="D264" s="41" t="str">
        <f t="shared" si="300"/>
        <v>UN</v>
      </c>
      <c r="E264" s="41">
        <v>25.25</v>
      </c>
      <c r="F264" s="41">
        <v>25.69</v>
      </c>
      <c r="G264" s="41">
        <f t="shared" si="301"/>
        <v>50.94</v>
      </c>
      <c r="H264" s="13">
        <f t="shared" si="294"/>
        <v>25.25</v>
      </c>
      <c r="I264" s="13">
        <f t="shared" si="295"/>
        <v>25.69</v>
      </c>
      <c r="J264" s="14">
        <f t="shared" si="296"/>
        <v>50.94</v>
      </c>
      <c r="M264" s="54"/>
      <c r="N264" s="56"/>
      <c r="V264" s="74">
        <v>1</v>
      </c>
      <c r="W264" s="74" t="s">
        <v>47</v>
      </c>
      <c r="X264" s="13">
        <v>30.95</v>
      </c>
      <c r="Y264" s="13">
        <v>27.02</v>
      </c>
      <c r="Z264" s="13">
        <f t="shared" si="297"/>
        <v>57.97</v>
      </c>
      <c r="AB264" s="74">
        <v>1</v>
      </c>
      <c r="AC264" s="74" t="s">
        <v>47</v>
      </c>
      <c r="AD264" s="13">
        <v>39.869999999999997</v>
      </c>
      <c r="AE264" s="13">
        <v>34.81</v>
      </c>
      <c r="AF264" s="13">
        <f t="shared" si="298"/>
        <v>74.680000000000007</v>
      </c>
      <c r="AH264" s="89">
        <f t="shared" si="257"/>
        <v>-0.36669174818159012</v>
      </c>
      <c r="AI264" s="89">
        <f t="shared" si="258"/>
        <v>-0.26199367997701806</v>
      </c>
      <c r="AJ264" s="89">
        <f t="shared" si="259"/>
        <v>-0.31788966256025719</v>
      </c>
    </row>
    <row r="265" spans="1:36" x14ac:dyDescent="0.3">
      <c r="A265" s="17" t="s">
        <v>540</v>
      </c>
      <c r="B265" s="44" t="s">
        <v>541</v>
      </c>
      <c r="C265" s="12">
        <f t="shared" si="299"/>
        <v>1</v>
      </c>
      <c r="D265" s="41" t="str">
        <f t="shared" si="300"/>
        <v>UN</v>
      </c>
      <c r="E265" s="41">
        <v>126.48</v>
      </c>
      <c r="F265" s="41">
        <v>25.69</v>
      </c>
      <c r="G265" s="41">
        <f t="shared" si="301"/>
        <v>152.17000000000002</v>
      </c>
      <c r="H265" s="13">
        <f t="shared" si="294"/>
        <v>126.48</v>
      </c>
      <c r="I265" s="13">
        <f t="shared" si="295"/>
        <v>25.69</v>
      </c>
      <c r="J265" s="14">
        <f t="shared" si="296"/>
        <v>152.17000000000002</v>
      </c>
      <c r="M265" s="54"/>
      <c r="N265" s="56"/>
      <c r="V265" s="74">
        <v>1</v>
      </c>
      <c r="W265" s="74" t="s">
        <v>47</v>
      </c>
      <c r="X265" s="13">
        <v>155</v>
      </c>
      <c r="Y265" s="13">
        <v>27.02</v>
      </c>
      <c r="Z265" s="13">
        <f t="shared" si="297"/>
        <v>182.02</v>
      </c>
      <c r="AB265" s="74">
        <v>1</v>
      </c>
      <c r="AC265" s="74" t="s">
        <v>47</v>
      </c>
      <c r="AD265" s="13">
        <v>199.67</v>
      </c>
      <c r="AE265" s="13">
        <v>34.81</v>
      </c>
      <c r="AF265" s="13">
        <f t="shared" si="298"/>
        <v>234.48</v>
      </c>
      <c r="AH265" s="89">
        <f t="shared" si="257"/>
        <v>-0.36655481544548496</v>
      </c>
      <c r="AI265" s="89">
        <f t="shared" si="258"/>
        <v>-0.26199367997701806</v>
      </c>
      <c r="AJ265" s="89">
        <f t="shared" si="259"/>
        <v>-0.35103207096554068</v>
      </c>
    </row>
    <row r="266" spans="1:36" x14ac:dyDescent="0.3">
      <c r="A266" s="17" t="s">
        <v>542</v>
      </c>
      <c r="B266" s="44" t="s">
        <v>543</v>
      </c>
      <c r="C266" s="12">
        <f t="shared" si="299"/>
        <v>3441</v>
      </c>
      <c r="D266" s="41" t="str">
        <f t="shared" si="300"/>
        <v>UN</v>
      </c>
      <c r="E266" s="41">
        <v>9.52</v>
      </c>
      <c r="F266" s="41">
        <v>7.84</v>
      </c>
      <c r="G266" s="41">
        <f t="shared" si="301"/>
        <v>17.36</v>
      </c>
      <c r="H266" s="13">
        <f t="shared" si="294"/>
        <v>32758.32</v>
      </c>
      <c r="I266" s="13">
        <f t="shared" si="295"/>
        <v>26977.439999999999</v>
      </c>
      <c r="J266" s="14">
        <f t="shared" si="296"/>
        <v>59735.759999999995</v>
      </c>
      <c r="M266" s="54"/>
      <c r="N266" s="56"/>
      <c r="V266" s="74">
        <v>3441</v>
      </c>
      <c r="W266" s="74" t="s">
        <v>47</v>
      </c>
      <c r="X266" s="13">
        <v>11.67</v>
      </c>
      <c r="Y266" s="13">
        <v>8.2200000000000006</v>
      </c>
      <c r="Z266" s="13">
        <f t="shared" si="297"/>
        <v>19.89</v>
      </c>
      <c r="AB266" s="74">
        <v>3441</v>
      </c>
      <c r="AC266" s="74" t="s">
        <v>47</v>
      </c>
      <c r="AD266" s="13">
        <v>15.03</v>
      </c>
      <c r="AE266" s="13">
        <v>10.59</v>
      </c>
      <c r="AF266" s="13">
        <f t="shared" si="298"/>
        <v>25.619999999999997</v>
      </c>
      <c r="AH266" s="89">
        <f t="shared" si="257"/>
        <v>-0.36660013306719896</v>
      </c>
      <c r="AI266" s="89">
        <f t="shared" si="258"/>
        <v>-0.2596789423984891</v>
      </c>
      <c r="AJ266" s="89">
        <f t="shared" si="259"/>
        <v>-0.32240437158469937</v>
      </c>
    </row>
    <row r="267" spans="1:36" x14ac:dyDescent="0.3">
      <c r="A267" s="17" t="s">
        <v>544</v>
      </c>
      <c r="B267" s="44" t="s">
        <v>545</v>
      </c>
      <c r="C267" s="12">
        <f t="shared" si="299"/>
        <v>2283</v>
      </c>
      <c r="D267" s="41" t="str">
        <f t="shared" si="300"/>
        <v>UN</v>
      </c>
      <c r="E267" s="41">
        <v>13.68</v>
      </c>
      <c r="F267" s="41">
        <v>5.24</v>
      </c>
      <c r="G267" s="41">
        <f t="shared" si="301"/>
        <v>18.920000000000002</v>
      </c>
      <c r="H267" s="13">
        <f t="shared" si="294"/>
        <v>31231.439999999999</v>
      </c>
      <c r="I267" s="13">
        <f t="shared" si="295"/>
        <v>11962.92</v>
      </c>
      <c r="J267" s="14">
        <f t="shared" si="296"/>
        <v>43194.36</v>
      </c>
      <c r="M267" s="54"/>
      <c r="N267" s="56"/>
      <c r="V267" s="74">
        <v>2283</v>
      </c>
      <c r="W267" s="74" t="s">
        <v>47</v>
      </c>
      <c r="X267" s="13">
        <v>16.77</v>
      </c>
      <c r="Y267" s="13">
        <v>5.49</v>
      </c>
      <c r="Z267" s="13">
        <f t="shared" si="297"/>
        <v>22.259999999999998</v>
      </c>
      <c r="AB267" s="74">
        <v>2283</v>
      </c>
      <c r="AC267" s="74" t="s">
        <v>47</v>
      </c>
      <c r="AD267" s="13">
        <v>21.6</v>
      </c>
      <c r="AE267" s="13">
        <v>7.07</v>
      </c>
      <c r="AF267" s="13">
        <f t="shared" si="298"/>
        <v>28.67</v>
      </c>
      <c r="AH267" s="89">
        <f t="shared" si="257"/>
        <v>-0.3666666666666667</v>
      </c>
      <c r="AI267" s="89">
        <f t="shared" si="258"/>
        <v>-0.25884016973125878</v>
      </c>
      <c r="AJ267" s="89">
        <f t="shared" si="259"/>
        <v>-0.34007673526334148</v>
      </c>
    </row>
    <row r="268" spans="1:36" x14ac:dyDescent="0.3">
      <c r="A268" s="17" t="s">
        <v>546</v>
      </c>
      <c r="B268" s="44" t="s">
        <v>547</v>
      </c>
      <c r="C268" s="12">
        <f t="shared" si="299"/>
        <v>4491</v>
      </c>
      <c r="D268" s="41" t="str">
        <f t="shared" si="300"/>
        <v>UN</v>
      </c>
      <c r="E268" s="41">
        <v>7.14</v>
      </c>
      <c r="F268" s="41">
        <v>7.84</v>
      </c>
      <c r="G268" s="41">
        <f t="shared" si="301"/>
        <v>14.98</v>
      </c>
      <c r="H268" s="13">
        <f t="shared" si="294"/>
        <v>32065.739999999998</v>
      </c>
      <c r="I268" s="13">
        <f t="shared" si="295"/>
        <v>35209.440000000002</v>
      </c>
      <c r="J268" s="14">
        <f t="shared" si="296"/>
        <v>67275.180000000008</v>
      </c>
      <c r="M268" s="54"/>
      <c r="N268" s="56"/>
      <c r="V268" s="74">
        <v>4491</v>
      </c>
      <c r="W268" s="74" t="s">
        <v>47</v>
      </c>
      <c r="X268" s="13">
        <v>8.76</v>
      </c>
      <c r="Y268" s="13">
        <v>8.2200000000000006</v>
      </c>
      <c r="Z268" s="13">
        <f t="shared" si="297"/>
        <v>16.98</v>
      </c>
      <c r="AB268" s="74">
        <v>4491</v>
      </c>
      <c r="AC268" s="74" t="s">
        <v>47</v>
      </c>
      <c r="AD268" s="13">
        <v>11.28</v>
      </c>
      <c r="AE268" s="13">
        <v>10.59</v>
      </c>
      <c r="AF268" s="13">
        <f t="shared" si="298"/>
        <v>21.869999999999997</v>
      </c>
      <c r="AH268" s="89">
        <f t="shared" si="257"/>
        <v>-0.36702127659574468</v>
      </c>
      <c r="AI268" s="89">
        <f t="shared" si="258"/>
        <v>-0.2596789423984891</v>
      </c>
      <c r="AJ268" s="89">
        <f t="shared" si="259"/>
        <v>-0.31504343850022853</v>
      </c>
    </row>
    <row r="269" spans="1:36" x14ac:dyDescent="0.3">
      <c r="A269" s="17" t="s">
        <v>548</v>
      </c>
      <c r="B269" s="44" t="s">
        <v>549</v>
      </c>
      <c r="C269" s="12">
        <f t="shared" si="299"/>
        <v>3972</v>
      </c>
      <c r="D269" s="41" t="str">
        <f t="shared" si="300"/>
        <v>UN</v>
      </c>
      <c r="E269" s="41">
        <v>7.57</v>
      </c>
      <c r="F269" s="41">
        <v>7.84</v>
      </c>
      <c r="G269" s="41">
        <f t="shared" si="301"/>
        <v>15.41</v>
      </c>
      <c r="H269" s="13">
        <f t="shared" si="294"/>
        <v>30068.04</v>
      </c>
      <c r="I269" s="13">
        <f t="shared" si="295"/>
        <v>31140.48</v>
      </c>
      <c r="J269" s="14">
        <f t="shared" si="296"/>
        <v>61208.520000000004</v>
      </c>
      <c r="M269" s="54"/>
      <c r="N269" s="56"/>
      <c r="V269" s="74">
        <v>3972</v>
      </c>
      <c r="W269" s="74" t="s">
        <v>47</v>
      </c>
      <c r="X269" s="13">
        <v>9.2899999999999991</v>
      </c>
      <c r="Y269" s="13">
        <v>8.2200000000000006</v>
      </c>
      <c r="Z269" s="13">
        <f t="shared" si="297"/>
        <v>17.509999999999998</v>
      </c>
      <c r="AB269" s="74">
        <v>3972</v>
      </c>
      <c r="AC269" s="74" t="s">
        <v>47</v>
      </c>
      <c r="AD269" s="13">
        <v>11.97</v>
      </c>
      <c r="AE269" s="13">
        <v>10.59</v>
      </c>
      <c r="AF269" s="13">
        <f t="shared" si="298"/>
        <v>22.560000000000002</v>
      </c>
      <c r="AH269" s="89">
        <f t="shared" si="257"/>
        <v>-0.36758563074352546</v>
      </c>
      <c r="AI269" s="89">
        <f t="shared" si="258"/>
        <v>-0.2596789423984891</v>
      </c>
      <c r="AJ269" s="89">
        <f t="shared" si="259"/>
        <v>-0.31693262411347523</v>
      </c>
    </row>
    <row r="270" spans="1:36" x14ac:dyDescent="0.3">
      <c r="A270" s="17" t="s">
        <v>550</v>
      </c>
      <c r="B270" s="44" t="s">
        <v>551</v>
      </c>
      <c r="C270" s="12">
        <f t="shared" si="299"/>
        <v>1914</v>
      </c>
      <c r="D270" s="41" t="str">
        <f t="shared" si="300"/>
        <v>UN</v>
      </c>
      <c r="E270" s="41">
        <v>9.52</v>
      </c>
      <c r="F270" s="41">
        <v>7.84</v>
      </c>
      <c r="G270" s="41">
        <f t="shared" si="301"/>
        <v>17.36</v>
      </c>
      <c r="H270" s="13">
        <f t="shared" si="294"/>
        <v>18221.28</v>
      </c>
      <c r="I270" s="13">
        <f t="shared" si="295"/>
        <v>15005.76</v>
      </c>
      <c r="J270" s="14">
        <f t="shared" si="296"/>
        <v>33227.040000000001</v>
      </c>
      <c r="M270" s="54"/>
      <c r="N270" s="56"/>
      <c r="V270" s="74">
        <v>1914</v>
      </c>
      <c r="W270" s="74" t="s">
        <v>47</v>
      </c>
      <c r="X270" s="13">
        <v>11.67</v>
      </c>
      <c r="Y270" s="13">
        <v>8.2200000000000006</v>
      </c>
      <c r="Z270" s="13">
        <f t="shared" si="297"/>
        <v>19.89</v>
      </c>
      <c r="AB270" s="74">
        <v>1914</v>
      </c>
      <c r="AC270" s="74" t="s">
        <v>47</v>
      </c>
      <c r="AD270" s="13">
        <v>15.03</v>
      </c>
      <c r="AE270" s="13">
        <v>10.59</v>
      </c>
      <c r="AF270" s="13">
        <f t="shared" si="298"/>
        <v>25.619999999999997</v>
      </c>
      <c r="AH270" s="89">
        <f t="shared" si="257"/>
        <v>-0.36660013306719896</v>
      </c>
      <c r="AI270" s="89">
        <f t="shared" si="258"/>
        <v>-0.2596789423984891</v>
      </c>
      <c r="AJ270" s="89">
        <f t="shared" si="259"/>
        <v>-0.32240437158469937</v>
      </c>
    </row>
    <row r="271" spans="1:36" x14ac:dyDescent="0.3">
      <c r="A271" s="17" t="s">
        <v>552</v>
      </c>
      <c r="B271" s="44" t="s">
        <v>553</v>
      </c>
      <c r="C271" s="12">
        <f t="shared" si="299"/>
        <v>1</v>
      </c>
      <c r="D271" s="41" t="str">
        <f t="shared" si="300"/>
        <v>UN</v>
      </c>
      <c r="E271" s="41">
        <v>34.39</v>
      </c>
      <c r="F271" s="41">
        <v>5.24</v>
      </c>
      <c r="G271" s="41">
        <f t="shared" si="301"/>
        <v>39.630000000000003</v>
      </c>
      <c r="H271" s="13">
        <f t="shared" si="294"/>
        <v>34.39</v>
      </c>
      <c r="I271" s="13">
        <f t="shared" si="295"/>
        <v>5.24</v>
      </c>
      <c r="J271" s="14">
        <f t="shared" si="296"/>
        <v>39.630000000000003</v>
      </c>
      <c r="M271" s="54"/>
      <c r="N271" s="56"/>
      <c r="V271" s="74">
        <v>1</v>
      </c>
      <c r="W271" s="74" t="s">
        <v>47</v>
      </c>
      <c r="X271" s="13">
        <v>42.15</v>
      </c>
      <c r="Y271" s="13">
        <v>5.49</v>
      </c>
      <c r="Z271" s="13">
        <f t="shared" si="297"/>
        <v>47.64</v>
      </c>
      <c r="AB271" s="74">
        <v>1</v>
      </c>
      <c r="AC271" s="74" t="s">
        <v>47</v>
      </c>
      <c r="AD271" s="13">
        <v>54.3</v>
      </c>
      <c r="AE271" s="13">
        <v>7.07</v>
      </c>
      <c r="AF271" s="13">
        <f t="shared" si="298"/>
        <v>61.37</v>
      </c>
      <c r="AH271" s="89">
        <f t="shared" si="257"/>
        <v>-0.36666666666666659</v>
      </c>
      <c r="AI271" s="89">
        <f t="shared" si="258"/>
        <v>-0.25884016973125878</v>
      </c>
      <c r="AJ271" s="89">
        <f t="shared" si="259"/>
        <v>-0.35424474498940839</v>
      </c>
    </row>
    <row r="272" spans="1:36" x14ac:dyDescent="0.3">
      <c r="A272" s="17" t="s">
        <v>554</v>
      </c>
      <c r="B272" s="44" t="s">
        <v>555</v>
      </c>
      <c r="C272" s="12">
        <f t="shared" si="299"/>
        <v>1</v>
      </c>
      <c r="D272" s="41" t="str">
        <f t="shared" si="300"/>
        <v>UN</v>
      </c>
      <c r="E272" s="41">
        <v>48.33</v>
      </c>
      <c r="F272" s="41">
        <v>5.24</v>
      </c>
      <c r="G272" s="41">
        <f t="shared" si="301"/>
        <v>53.57</v>
      </c>
      <c r="H272" s="13">
        <f t="shared" si="294"/>
        <v>48.33</v>
      </c>
      <c r="I272" s="13">
        <f t="shared" si="295"/>
        <v>5.24</v>
      </c>
      <c r="J272" s="14">
        <f t="shared" si="296"/>
        <v>53.57</v>
      </c>
      <c r="M272" s="54"/>
      <c r="N272" s="56"/>
      <c r="V272" s="74">
        <v>1</v>
      </c>
      <c r="W272" s="74" t="s">
        <v>47</v>
      </c>
      <c r="X272" s="13">
        <v>59.23</v>
      </c>
      <c r="Y272" s="13">
        <v>5.49</v>
      </c>
      <c r="Z272" s="13">
        <f t="shared" si="297"/>
        <v>64.72</v>
      </c>
      <c r="AB272" s="74">
        <v>1</v>
      </c>
      <c r="AC272" s="74" t="s">
        <v>47</v>
      </c>
      <c r="AD272" s="13">
        <v>76.3</v>
      </c>
      <c r="AE272" s="13">
        <v>7.07</v>
      </c>
      <c r="AF272" s="13">
        <f t="shared" si="298"/>
        <v>83.37</v>
      </c>
      <c r="AH272" s="89">
        <f t="shared" si="257"/>
        <v>-0.36657929226736563</v>
      </c>
      <c r="AI272" s="89">
        <f t="shared" si="258"/>
        <v>-0.25884016973125878</v>
      </c>
      <c r="AJ272" s="89">
        <f t="shared" si="259"/>
        <v>-0.35744272520091158</v>
      </c>
    </row>
    <row r="273" spans="1:36" x14ac:dyDescent="0.3">
      <c r="A273" s="17" t="s">
        <v>556</v>
      </c>
      <c r="B273" s="44" t="s">
        <v>557</v>
      </c>
      <c r="C273" s="12">
        <f t="shared" si="299"/>
        <v>159</v>
      </c>
      <c r="D273" s="41" t="str">
        <f t="shared" si="300"/>
        <v>UN</v>
      </c>
      <c r="E273" s="41">
        <v>19.3</v>
      </c>
      <c r="F273" s="41">
        <v>5.24</v>
      </c>
      <c r="G273" s="41">
        <f t="shared" si="301"/>
        <v>24.54</v>
      </c>
      <c r="H273" s="13">
        <f t="shared" si="294"/>
        <v>3068.7000000000003</v>
      </c>
      <c r="I273" s="13">
        <f t="shared" si="295"/>
        <v>833.16000000000008</v>
      </c>
      <c r="J273" s="14">
        <f t="shared" si="296"/>
        <v>3901.8599999999997</v>
      </c>
      <c r="M273" s="54"/>
      <c r="N273" s="56"/>
      <c r="V273" s="74">
        <v>159</v>
      </c>
      <c r="W273" s="74" t="s">
        <v>47</v>
      </c>
      <c r="X273" s="13">
        <v>21</v>
      </c>
      <c r="Y273" s="13">
        <v>5.49</v>
      </c>
      <c r="Z273" s="13">
        <f t="shared" si="297"/>
        <v>26.490000000000002</v>
      </c>
      <c r="AB273" s="74">
        <v>159</v>
      </c>
      <c r="AC273" s="74" t="s">
        <v>47</v>
      </c>
      <c r="AD273" s="13">
        <v>27.05</v>
      </c>
      <c r="AE273" s="13">
        <v>7.07</v>
      </c>
      <c r="AF273" s="13">
        <f t="shared" si="298"/>
        <v>34.120000000000005</v>
      </c>
      <c r="AH273" s="89">
        <f t="shared" si="257"/>
        <v>-0.28650646950092418</v>
      </c>
      <c r="AI273" s="89">
        <f t="shared" si="258"/>
        <v>-0.25884016973125878</v>
      </c>
      <c r="AJ273" s="89">
        <f t="shared" si="259"/>
        <v>-0.28077373974208686</v>
      </c>
    </row>
    <row r="274" spans="1:36" x14ac:dyDescent="0.3">
      <c r="A274" s="17" t="s">
        <v>558</v>
      </c>
      <c r="B274" s="44" t="s">
        <v>559</v>
      </c>
      <c r="C274" s="12">
        <f t="shared" si="299"/>
        <v>1</v>
      </c>
      <c r="D274" s="41" t="str">
        <f t="shared" si="300"/>
        <v>UN</v>
      </c>
      <c r="E274" s="41">
        <v>93.79</v>
      </c>
      <c r="F274" s="41">
        <v>5.24</v>
      </c>
      <c r="G274" s="41">
        <f t="shared" si="301"/>
        <v>99.03</v>
      </c>
      <c r="H274" s="13">
        <f t="shared" si="294"/>
        <v>93.79</v>
      </c>
      <c r="I274" s="13">
        <f t="shared" si="295"/>
        <v>5.24</v>
      </c>
      <c r="J274" s="14">
        <f t="shared" si="296"/>
        <v>99.03</v>
      </c>
      <c r="M274" s="54"/>
      <c r="N274" s="56"/>
      <c r="V274" s="74">
        <v>1</v>
      </c>
      <c r="W274" s="74" t="s">
        <v>47</v>
      </c>
      <c r="X274" s="13">
        <v>105.33</v>
      </c>
      <c r="Y274" s="13">
        <v>5.49</v>
      </c>
      <c r="Z274" s="13">
        <f t="shared" ref="Z274:Z305" si="302">SUM(X274:Y274)</f>
        <v>110.82</v>
      </c>
      <c r="AB274" s="74">
        <v>1</v>
      </c>
      <c r="AC274" s="74" t="s">
        <v>47</v>
      </c>
      <c r="AD274" s="13">
        <v>135.69</v>
      </c>
      <c r="AE274" s="13">
        <v>7.07</v>
      </c>
      <c r="AF274" s="13">
        <f t="shared" ref="AF274:AF305" si="303">SUM(AD274:AE274)</f>
        <v>142.76</v>
      </c>
      <c r="AH274" s="89">
        <f t="shared" si="257"/>
        <v>-0.30879209963888266</v>
      </c>
      <c r="AI274" s="89">
        <f t="shared" si="258"/>
        <v>-0.25884016973125878</v>
      </c>
      <c r="AJ274" s="89">
        <f t="shared" si="259"/>
        <v>-0.30631829644158026</v>
      </c>
    </row>
    <row r="275" spans="1:36" x14ac:dyDescent="0.3">
      <c r="A275" s="17" t="s">
        <v>560</v>
      </c>
      <c r="B275" s="44" t="s">
        <v>561</v>
      </c>
      <c r="C275" s="12">
        <f t="shared" si="299"/>
        <v>135</v>
      </c>
      <c r="D275" s="41" t="str">
        <f t="shared" si="300"/>
        <v>UN</v>
      </c>
      <c r="E275" s="41">
        <v>4.74</v>
      </c>
      <c r="F275" s="41">
        <v>5.24</v>
      </c>
      <c r="G275" s="41">
        <f t="shared" si="301"/>
        <v>9.98</v>
      </c>
      <c r="H275" s="13">
        <f t="shared" si="294"/>
        <v>639.9</v>
      </c>
      <c r="I275" s="13">
        <f t="shared" si="295"/>
        <v>707.4</v>
      </c>
      <c r="J275" s="14">
        <f t="shared" si="296"/>
        <v>1347.3</v>
      </c>
      <c r="M275" s="54"/>
      <c r="N275" s="56"/>
      <c r="V275" s="74">
        <v>135</v>
      </c>
      <c r="W275" s="74" t="s">
        <v>47</v>
      </c>
      <c r="X275" s="13">
        <v>6.85</v>
      </c>
      <c r="Y275" s="13">
        <v>5.49</v>
      </c>
      <c r="Z275" s="13">
        <f t="shared" si="302"/>
        <v>12.34</v>
      </c>
      <c r="AB275" s="74">
        <v>135</v>
      </c>
      <c r="AC275" s="74" t="s">
        <v>47</v>
      </c>
      <c r="AD275" s="13">
        <v>8.82</v>
      </c>
      <c r="AE275" s="13">
        <v>7.07</v>
      </c>
      <c r="AF275" s="13">
        <f t="shared" si="303"/>
        <v>15.89</v>
      </c>
      <c r="AH275" s="89">
        <f t="shared" si="257"/>
        <v>-0.4625850340136054</v>
      </c>
      <c r="AI275" s="89">
        <f t="shared" si="258"/>
        <v>-0.25884016973125878</v>
      </c>
      <c r="AJ275" s="89">
        <f t="shared" si="259"/>
        <v>-0.37193203272498421</v>
      </c>
    </row>
    <row r="276" spans="1:36" x14ac:dyDescent="0.3">
      <c r="A276" s="17" t="s">
        <v>562</v>
      </c>
      <c r="B276" s="44" t="s">
        <v>563</v>
      </c>
      <c r="C276" s="12">
        <f t="shared" si="299"/>
        <v>9</v>
      </c>
      <c r="D276" s="41" t="str">
        <f t="shared" si="300"/>
        <v>UN</v>
      </c>
      <c r="E276" s="41">
        <v>47.77</v>
      </c>
      <c r="F276" s="41">
        <v>7.84</v>
      </c>
      <c r="G276" s="41">
        <f t="shared" si="301"/>
        <v>55.61</v>
      </c>
      <c r="H276" s="13">
        <f t="shared" si="294"/>
        <v>429.93</v>
      </c>
      <c r="I276" s="13">
        <f t="shared" si="295"/>
        <v>70.56</v>
      </c>
      <c r="J276" s="14">
        <f t="shared" si="296"/>
        <v>500.49</v>
      </c>
      <c r="M276" s="54"/>
      <c r="N276" s="56"/>
      <c r="V276" s="74">
        <v>9</v>
      </c>
      <c r="W276" s="74" t="s">
        <v>47</v>
      </c>
      <c r="X276" s="13">
        <v>69</v>
      </c>
      <c r="Y276" s="13">
        <v>8.2200000000000006</v>
      </c>
      <c r="Z276" s="13">
        <f t="shared" si="302"/>
        <v>77.22</v>
      </c>
      <c r="AB276" s="74">
        <v>9</v>
      </c>
      <c r="AC276" s="74" t="s">
        <v>47</v>
      </c>
      <c r="AD276" s="13">
        <v>88.89</v>
      </c>
      <c r="AE276" s="13">
        <v>10.59</v>
      </c>
      <c r="AF276" s="13">
        <f t="shared" si="303"/>
        <v>99.48</v>
      </c>
      <c r="AH276" s="89">
        <f t="shared" si="257"/>
        <v>-0.46259421757228036</v>
      </c>
      <c r="AI276" s="89">
        <f t="shared" si="258"/>
        <v>-0.2596789423984891</v>
      </c>
      <c r="AJ276" s="89">
        <f t="shared" si="259"/>
        <v>-0.4409931644551669</v>
      </c>
    </row>
    <row r="277" spans="1:36" x14ac:dyDescent="0.3">
      <c r="A277" s="17" t="s">
        <v>564</v>
      </c>
      <c r="B277" s="44" t="s">
        <v>565</v>
      </c>
      <c r="C277" s="12">
        <f t="shared" si="299"/>
        <v>12</v>
      </c>
      <c r="D277" s="41" t="str">
        <f t="shared" si="300"/>
        <v>UN</v>
      </c>
      <c r="E277" s="41">
        <v>6.33</v>
      </c>
      <c r="F277" s="41">
        <v>7.84</v>
      </c>
      <c r="G277" s="41">
        <f t="shared" si="301"/>
        <v>14.17</v>
      </c>
      <c r="H277" s="13">
        <f t="shared" si="294"/>
        <v>75.960000000000008</v>
      </c>
      <c r="I277" s="13">
        <f t="shared" si="295"/>
        <v>94.08</v>
      </c>
      <c r="J277" s="14">
        <f t="shared" si="296"/>
        <v>170.04</v>
      </c>
      <c r="M277" s="54"/>
      <c r="N277" s="56"/>
      <c r="V277" s="74">
        <v>12</v>
      </c>
      <c r="W277" s="74" t="s">
        <v>47</v>
      </c>
      <c r="X277" s="13">
        <v>9.15</v>
      </c>
      <c r="Y277" s="13">
        <v>8.2200000000000006</v>
      </c>
      <c r="Z277" s="13">
        <f t="shared" si="302"/>
        <v>17.37</v>
      </c>
      <c r="AB277" s="74">
        <v>12</v>
      </c>
      <c r="AC277" s="74" t="s">
        <v>47</v>
      </c>
      <c r="AD277" s="13">
        <v>11.79</v>
      </c>
      <c r="AE277" s="13">
        <v>10.59</v>
      </c>
      <c r="AF277" s="13">
        <f t="shared" si="303"/>
        <v>22.38</v>
      </c>
      <c r="AH277" s="89">
        <f t="shared" ref="AH277:AH340" si="304">IF(E277=0,0,(E277/AD277)-1)</f>
        <v>-0.46310432569974547</v>
      </c>
      <c r="AI277" s="89">
        <f t="shared" si="258"/>
        <v>-0.2596789423984891</v>
      </c>
      <c r="AJ277" s="89">
        <f t="shared" si="259"/>
        <v>-0.36684539767649682</v>
      </c>
    </row>
    <row r="278" spans="1:36" x14ac:dyDescent="0.3">
      <c r="A278" s="17" t="s">
        <v>566</v>
      </c>
      <c r="B278" s="44" t="s">
        <v>567</v>
      </c>
      <c r="C278" s="12">
        <f t="shared" si="299"/>
        <v>126</v>
      </c>
      <c r="D278" s="41" t="str">
        <f t="shared" si="300"/>
        <v>UN</v>
      </c>
      <c r="E278" s="41">
        <v>9.08</v>
      </c>
      <c r="F278" s="41">
        <v>7.84</v>
      </c>
      <c r="G278" s="41">
        <f t="shared" si="301"/>
        <v>16.920000000000002</v>
      </c>
      <c r="H278" s="13">
        <f t="shared" si="294"/>
        <v>1144.08</v>
      </c>
      <c r="I278" s="13">
        <f t="shared" si="295"/>
        <v>987.84</v>
      </c>
      <c r="J278" s="14">
        <f t="shared" si="296"/>
        <v>2131.92</v>
      </c>
      <c r="M278" s="54"/>
      <c r="N278" s="56"/>
      <c r="V278" s="74">
        <v>126</v>
      </c>
      <c r="W278" s="74" t="s">
        <v>47</v>
      </c>
      <c r="X278" s="13">
        <v>13.13</v>
      </c>
      <c r="Y278" s="13">
        <v>8.2200000000000006</v>
      </c>
      <c r="Z278" s="13">
        <f t="shared" si="302"/>
        <v>21.35</v>
      </c>
      <c r="AB278" s="74">
        <v>126</v>
      </c>
      <c r="AC278" s="74" t="s">
        <v>47</v>
      </c>
      <c r="AD278" s="13">
        <v>16.91</v>
      </c>
      <c r="AE278" s="13">
        <v>10.59</v>
      </c>
      <c r="AF278" s="13">
        <f t="shared" si="303"/>
        <v>27.5</v>
      </c>
      <c r="AH278" s="89">
        <f t="shared" si="304"/>
        <v>-0.46303962152572442</v>
      </c>
      <c r="AI278" s="89">
        <f t="shared" ref="AI278:AI341" si="305">IF(F278=0,0,(F278/AE278)-1)</f>
        <v>-0.2596789423984891</v>
      </c>
      <c r="AJ278" s="89">
        <f t="shared" ref="AJ278:AJ341" si="306">IF(G278=0,0,(G278/AF278)-1)</f>
        <v>-0.3847272727272727</v>
      </c>
    </row>
    <row r="279" spans="1:36" x14ac:dyDescent="0.3">
      <c r="A279" s="17" t="s">
        <v>568</v>
      </c>
      <c r="B279" s="44" t="s">
        <v>569</v>
      </c>
      <c r="C279" s="12">
        <f t="shared" si="299"/>
        <v>1</v>
      </c>
      <c r="D279" s="41" t="str">
        <f t="shared" si="300"/>
        <v>UN</v>
      </c>
      <c r="E279" s="41">
        <v>31.9</v>
      </c>
      <c r="F279" s="41">
        <v>7.84</v>
      </c>
      <c r="G279" s="41">
        <f t="shared" si="301"/>
        <v>39.739999999999995</v>
      </c>
      <c r="H279" s="13">
        <f t="shared" si="294"/>
        <v>31.9</v>
      </c>
      <c r="I279" s="13">
        <f t="shared" si="295"/>
        <v>7.84</v>
      </c>
      <c r="J279" s="14">
        <f t="shared" si="296"/>
        <v>39.739999999999995</v>
      </c>
      <c r="M279" s="54"/>
      <c r="N279" s="56"/>
      <c r="V279" s="74">
        <v>1</v>
      </c>
      <c r="W279" s="74" t="s">
        <v>47</v>
      </c>
      <c r="X279" s="13">
        <v>39.1</v>
      </c>
      <c r="Y279" s="13">
        <v>8.2200000000000006</v>
      </c>
      <c r="Z279" s="13">
        <f t="shared" si="302"/>
        <v>47.32</v>
      </c>
      <c r="AB279" s="74">
        <v>1</v>
      </c>
      <c r="AC279" s="74" t="s">
        <v>47</v>
      </c>
      <c r="AD279" s="13">
        <v>50.37</v>
      </c>
      <c r="AE279" s="13">
        <v>10.59</v>
      </c>
      <c r="AF279" s="13">
        <f t="shared" si="303"/>
        <v>60.959999999999994</v>
      </c>
      <c r="AH279" s="89">
        <f t="shared" si="304"/>
        <v>-0.36668651975382172</v>
      </c>
      <c r="AI279" s="89">
        <f t="shared" si="305"/>
        <v>-0.2596789423984891</v>
      </c>
      <c r="AJ279" s="89">
        <f t="shared" si="306"/>
        <v>-0.3480971128608924</v>
      </c>
    </row>
    <row r="280" spans="1:36" x14ac:dyDescent="0.3">
      <c r="A280" s="17" t="s">
        <v>570</v>
      </c>
      <c r="B280" s="44" t="s">
        <v>571</v>
      </c>
      <c r="C280" s="12">
        <f t="shared" si="299"/>
        <v>1</v>
      </c>
      <c r="D280" s="41" t="str">
        <f t="shared" si="300"/>
        <v>UN</v>
      </c>
      <c r="E280" s="41">
        <v>39.56</v>
      </c>
      <c r="F280" s="41">
        <v>12.85</v>
      </c>
      <c r="G280" s="41">
        <f t="shared" si="301"/>
        <v>52.410000000000004</v>
      </c>
      <c r="H280" s="13">
        <f t="shared" si="294"/>
        <v>39.56</v>
      </c>
      <c r="I280" s="13">
        <f t="shared" si="295"/>
        <v>12.85</v>
      </c>
      <c r="J280" s="14">
        <f t="shared" si="296"/>
        <v>52.410000000000004</v>
      </c>
      <c r="M280" s="54"/>
      <c r="N280" s="56"/>
      <c r="V280" s="74">
        <v>1</v>
      </c>
      <c r="W280" s="74" t="s">
        <v>47</v>
      </c>
      <c r="X280" s="13">
        <v>48.49</v>
      </c>
      <c r="Y280" s="13">
        <v>13.51</v>
      </c>
      <c r="Z280" s="13">
        <f t="shared" si="302"/>
        <v>62</v>
      </c>
      <c r="AB280" s="74">
        <v>1</v>
      </c>
      <c r="AC280" s="74" t="s">
        <v>47</v>
      </c>
      <c r="AD280" s="13">
        <v>62.46</v>
      </c>
      <c r="AE280" s="13">
        <v>17.399999999999999</v>
      </c>
      <c r="AF280" s="13">
        <f t="shared" si="303"/>
        <v>79.86</v>
      </c>
      <c r="AH280" s="89">
        <f t="shared" si="304"/>
        <v>-0.36663464617355102</v>
      </c>
      <c r="AI280" s="89">
        <f t="shared" si="305"/>
        <v>-0.2614942528735632</v>
      </c>
      <c r="AJ280" s="89">
        <f t="shared" si="306"/>
        <v>-0.34372652141247173</v>
      </c>
    </row>
    <row r="281" spans="1:36" x14ac:dyDescent="0.3">
      <c r="A281" s="17" t="s">
        <v>572</v>
      </c>
      <c r="B281" s="44" t="s">
        <v>573</v>
      </c>
      <c r="C281" s="12">
        <f t="shared" si="299"/>
        <v>18</v>
      </c>
      <c r="D281" s="41" t="str">
        <f t="shared" si="300"/>
        <v>UN</v>
      </c>
      <c r="E281" s="41">
        <v>77.42</v>
      </c>
      <c r="F281" s="41">
        <v>12.85</v>
      </c>
      <c r="G281" s="41">
        <f t="shared" si="301"/>
        <v>90.27</v>
      </c>
      <c r="H281" s="13">
        <f t="shared" si="294"/>
        <v>1393.56</v>
      </c>
      <c r="I281" s="13">
        <f t="shared" si="295"/>
        <v>231.29999999999998</v>
      </c>
      <c r="J281" s="14">
        <f t="shared" si="296"/>
        <v>1624.86</v>
      </c>
      <c r="M281" s="54"/>
      <c r="N281" s="56"/>
      <c r="V281" s="74">
        <v>18</v>
      </c>
      <c r="W281" s="74" t="s">
        <v>47</v>
      </c>
      <c r="X281" s="13">
        <v>94.89</v>
      </c>
      <c r="Y281" s="13">
        <v>13.51</v>
      </c>
      <c r="Z281" s="13">
        <f t="shared" si="302"/>
        <v>108.4</v>
      </c>
      <c r="AB281" s="74">
        <v>18</v>
      </c>
      <c r="AC281" s="74" t="s">
        <v>47</v>
      </c>
      <c r="AD281" s="13">
        <v>122.24</v>
      </c>
      <c r="AE281" s="13">
        <v>17.399999999999999</v>
      </c>
      <c r="AF281" s="13">
        <f t="shared" si="303"/>
        <v>139.63999999999999</v>
      </c>
      <c r="AH281" s="89">
        <f t="shared" si="304"/>
        <v>-0.36665575916230364</v>
      </c>
      <c r="AI281" s="89">
        <f t="shared" si="305"/>
        <v>-0.2614942528735632</v>
      </c>
      <c r="AJ281" s="89">
        <f t="shared" si="306"/>
        <v>-0.35355199083357203</v>
      </c>
    </row>
    <row r="282" spans="1:36" x14ac:dyDescent="0.3">
      <c r="A282" s="17" t="s">
        <v>574</v>
      </c>
      <c r="B282" s="44" t="s">
        <v>575</v>
      </c>
      <c r="C282" s="12">
        <f t="shared" si="299"/>
        <v>1</v>
      </c>
      <c r="D282" s="41" t="str">
        <f t="shared" si="300"/>
        <v>UN</v>
      </c>
      <c r="E282" s="41">
        <v>77.42</v>
      </c>
      <c r="F282" s="41">
        <v>12.85</v>
      </c>
      <c r="G282" s="41">
        <f t="shared" si="301"/>
        <v>90.27</v>
      </c>
      <c r="H282" s="13">
        <f t="shared" si="294"/>
        <v>77.42</v>
      </c>
      <c r="I282" s="13">
        <f t="shared" si="295"/>
        <v>12.85</v>
      </c>
      <c r="J282" s="14">
        <f t="shared" si="296"/>
        <v>90.27</v>
      </c>
      <c r="M282" s="54"/>
      <c r="N282" s="56"/>
      <c r="V282" s="74">
        <v>1</v>
      </c>
      <c r="W282" s="74" t="s">
        <v>47</v>
      </c>
      <c r="X282" s="13">
        <v>94.89</v>
      </c>
      <c r="Y282" s="13">
        <v>13.51</v>
      </c>
      <c r="Z282" s="13">
        <f t="shared" si="302"/>
        <v>108.4</v>
      </c>
      <c r="AB282" s="74">
        <v>1</v>
      </c>
      <c r="AC282" s="74" t="s">
        <v>47</v>
      </c>
      <c r="AD282" s="13">
        <v>122.24</v>
      </c>
      <c r="AE282" s="13">
        <v>17.399999999999999</v>
      </c>
      <c r="AF282" s="13">
        <f t="shared" si="303"/>
        <v>139.63999999999999</v>
      </c>
      <c r="AH282" s="89">
        <f t="shared" si="304"/>
        <v>-0.36665575916230364</v>
      </c>
      <c r="AI282" s="89">
        <f t="shared" si="305"/>
        <v>-0.2614942528735632</v>
      </c>
      <c r="AJ282" s="89">
        <f t="shared" si="306"/>
        <v>-0.35355199083357203</v>
      </c>
    </row>
    <row r="283" spans="1:36" x14ac:dyDescent="0.3">
      <c r="A283" s="17" t="s">
        <v>576</v>
      </c>
      <c r="B283" s="44" t="s">
        <v>577</v>
      </c>
      <c r="C283" s="12">
        <f t="shared" si="299"/>
        <v>1</v>
      </c>
      <c r="D283" s="41" t="str">
        <f t="shared" si="300"/>
        <v>UN</v>
      </c>
      <c r="E283" s="41">
        <v>372.21</v>
      </c>
      <c r="F283" s="41">
        <v>31.96</v>
      </c>
      <c r="G283" s="41">
        <f t="shared" si="301"/>
        <v>404.16999999999996</v>
      </c>
      <c r="H283" s="13">
        <f t="shared" si="294"/>
        <v>372.21</v>
      </c>
      <c r="I283" s="13">
        <f t="shared" si="295"/>
        <v>31.96</v>
      </c>
      <c r="J283" s="14">
        <f t="shared" si="296"/>
        <v>404.16999999999996</v>
      </c>
      <c r="M283" s="54"/>
      <c r="N283" s="56"/>
      <c r="V283" s="74">
        <v>1</v>
      </c>
      <c r="W283" s="74" t="s">
        <v>47</v>
      </c>
      <c r="X283" s="13">
        <v>418.32</v>
      </c>
      <c r="Y283" s="13">
        <v>33.54</v>
      </c>
      <c r="Z283" s="13">
        <f t="shared" si="302"/>
        <v>451.86</v>
      </c>
      <c r="AB283" s="74">
        <v>1</v>
      </c>
      <c r="AC283" s="74" t="s">
        <v>47</v>
      </c>
      <c r="AD283" s="13">
        <v>538.88</v>
      </c>
      <c r="AE283" s="13">
        <v>43.21</v>
      </c>
      <c r="AF283" s="13">
        <f t="shared" si="303"/>
        <v>582.09</v>
      </c>
      <c r="AH283" s="89">
        <f t="shared" si="304"/>
        <v>-0.30928963776722096</v>
      </c>
      <c r="AI283" s="89">
        <f t="shared" si="305"/>
        <v>-0.26035639898171714</v>
      </c>
      <c r="AJ283" s="89">
        <f t="shared" si="306"/>
        <v>-0.30565720077651237</v>
      </c>
    </row>
    <row r="284" spans="1:36" x14ac:dyDescent="0.3">
      <c r="A284" s="17" t="s">
        <v>578</v>
      </c>
      <c r="B284" s="44" t="s">
        <v>579</v>
      </c>
      <c r="C284" s="12">
        <f t="shared" si="299"/>
        <v>831</v>
      </c>
      <c r="D284" s="41" t="str">
        <f t="shared" si="300"/>
        <v>UN</v>
      </c>
      <c r="E284" s="41">
        <v>11.91</v>
      </c>
      <c r="F284" s="41">
        <v>5.67</v>
      </c>
      <c r="G284" s="41">
        <f t="shared" si="301"/>
        <v>17.579999999999998</v>
      </c>
      <c r="H284" s="13">
        <f t="shared" si="294"/>
        <v>9897.2100000000009</v>
      </c>
      <c r="I284" s="13">
        <f t="shared" si="295"/>
        <v>4711.7699999999995</v>
      </c>
      <c r="J284" s="14">
        <f t="shared" si="296"/>
        <v>14608.979999999998</v>
      </c>
      <c r="M284" s="54"/>
      <c r="N284" s="56"/>
      <c r="V284" s="74">
        <v>831</v>
      </c>
      <c r="W284" s="74" t="s">
        <v>47</v>
      </c>
      <c r="X284" s="13">
        <v>17.21</v>
      </c>
      <c r="Y284" s="13">
        <v>5.95</v>
      </c>
      <c r="Z284" s="13">
        <f t="shared" si="302"/>
        <v>23.16</v>
      </c>
      <c r="AB284" s="74">
        <v>831</v>
      </c>
      <c r="AC284" s="74" t="s">
        <v>47</v>
      </c>
      <c r="AD284" s="13">
        <v>22.17</v>
      </c>
      <c r="AE284" s="13">
        <v>7.66</v>
      </c>
      <c r="AF284" s="13">
        <f t="shared" si="303"/>
        <v>29.830000000000002</v>
      </c>
      <c r="AH284" s="89">
        <f t="shared" si="304"/>
        <v>-0.46278755074424904</v>
      </c>
      <c r="AI284" s="89">
        <f t="shared" si="305"/>
        <v>-0.25979112271540472</v>
      </c>
      <c r="AJ284" s="89">
        <f t="shared" si="306"/>
        <v>-0.41066040898424416</v>
      </c>
    </row>
    <row r="285" spans="1:36" x14ac:dyDescent="0.3">
      <c r="A285" s="17" t="s">
        <v>580</v>
      </c>
      <c r="B285" s="44" t="s">
        <v>581</v>
      </c>
      <c r="C285" s="12">
        <f t="shared" si="299"/>
        <v>21</v>
      </c>
      <c r="D285" s="41" t="str">
        <f t="shared" si="300"/>
        <v>UN</v>
      </c>
      <c r="E285" s="41">
        <v>83.89</v>
      </c>
      <c r="F285" s="41">
        <v>31.96</v>
      </c>
      <c r="G285" s="41">
        <f t="shared" si="301"/>
        <v>115.85</v>
      </c>
      <c r="H285" s="13">
        <f t="shared" si="294"/>
        <v>1761.69</v>
      </c>
      <c r="I285" s="13">
        <f t="shared" si="295"/>
        <v>671.16</v>
      </c>
      <c r="J285" s="14">
        <f t="shared" si="296"/>
        <v>2432.85</v>
      </c>
      <c r="M285" s="54"/>
      <c r="N285" s="56"/>
      <c r="V285" s="74">
        <v>21</v>
      </c>
      <c r="W285" s="74" t="s">
        <v>47</v>
      </c>
      <c r="X285" s="13">
        <v>121.17</v>
      </c>
      <c r="Y285" s="13">
        <v>33.54</v>
      </c>
      <c r="Z285" s="13">
        <f t="shared" si="302"/>
        <v>154.71</v>
      </c>
      <c r="AB285" s="74">
        <v>21</v>
      </c>
      <c r="AC285" s="74" t="s">
        <v>47</v>
      </c>
      <c r="AD285" s="13">
        <v>156.09</v>
      </c>
      <c r="AE285" s="13">
        <v>43.21</v>
      </c>
      <c r="AF285" s="13">
        <f t="shared" si="303"/>
        <v>199.3</v>
      </c>
      <c r="AH285" s="89">
        <f t="shared" si="304"/>
        <v>-0.46255365494266132</v>
      </c>
      <c r="AI285" s="89">
        <f t="shared" si="305"/>
        <v>-0.26035639898171714</v>
      </c>
      <c r="AJ285" s="89">
        <f t="shared" si="306"/>
        <v>-0.41871550426492732</v>
      </c>
    </row>
    <row r="286" spans="1:36" x14ac:dyDescent="0.3">
      <c r="A286" s="17" t="s">
        <v>582</v>
      </c>
      <c r="B286" s="44" t="s">
        <v>583</v>
      </c>
      <c r="C286" s="12">
        <f t="shared" si="299"/>
        <v>1</v>
      </c>
      <c r="D286" s="41" t="str">
        <f t="shared" si="300"/>
        <v>UN</v>
      </c>
      <c r="E286" s="41">
        <v>164.35</v>
      </c>
      <c r="F286" s="41">
        <v>31.96</v>
      </c>
      <c r="G286" s="41">
        <f t="shared" si="301"/>
        <v>196.31</v>
      </c>
      <c r="H286" s="13">
        <f t="shared" si="294"/>
        <v>164.35</v>
      </c>
      <c r="I286" s="13">
        <f t="shared" si="295"/>
        <v>31.96</v>
      </c>
      <c r="J286" s="14">
        <f t="shared" si="296"/>
        <v>196.31</v>
      </c>
      <c r="M286" s="54"/>
      <c r="N286" s="56"/>
      <c r="V286" s="74">
        <v>1</v>
      </c>
      <c r="W286" s="74" t="s">
        <v>47</v>
      </c>
      <c r="X286" s="13">
        <v>189.58</v>
      </c>
      <c r="Y286" s="13">
        <v>33.54</v>
      </c>
      <c r="Z286" s="13">
        <f t="shared" si="302"/>
        <v>223.12</v>
      </c>
      <c r="AB286" s="74">
        <v>1</v>
      </c>
      <c r="AC286" s="74" t="s">
        <v>47</v>
      </c>
      <c r="AD286" s="13">
        <v>244.22</v>
      </c>
      <c r="AE286" s="13">
        <v>43.21</v>
      </c>
      <c r="AF286" s="13">
        <f t="shared" si="303"/>
        <v>287.43</v>
      </c>
      <c r="AH286" s="89">
        <f t="shared" si="304"/>
        <v>-0.32704119236753748</v>
      </c>
      <c r="AI286" s="89">
        <f t="shared" si="305"/>
        <v>-0.26035639898171714</v>
      </c>
      <c r="AJ286" s="89">
        <f t="shared" si="306"/>
        <v>-0.31701631701631705</v>
      </c>
    </row>
    <row r="287" spans="1:36" x14ac:dyDescent="0.3">
      <c r="A287" s="17" t="s">
        <v>584</v>
      </c>
      <c r="B287" s="44" t="s">
        <v>585</v>
      </c>
      <c r="C287" s="12">
        <f t="shared" si="299"/>
        <v>15</v>
      </c>
      <c r="D287" s="41" t="str">
        <f t="shared" si="300"/>
        <v>UN</v>
      </c>
      <c r="E287" s="41">
        <v>132.16999999999999</v>
      </c>
      <c r="F287" s="41">
        <v>31.96</v>
      </c>
      <c r="G287" s="41">
        <f t="shared" si="301"/>
        <v>164.13</v>
      </c>
      <c r="H287" s="13">
        <f t="shared" si="294"/>
        <v>1982.5499999999997</v>
      </c>
      <c r="I287" s="13">
        <f t="shared" si="295"/>
        <v>479.40000000000003</v>
      </c>
      <c r="J287" s="14">
        <f t="shared" si="296"/>
        <v>2461.9499999999998</v>
      </c>
      <c r="M287" s="54"/>
      <c r="N287" s="56"/>
      <c r="V287" s="74">
        <v>15</v>
      </c>
      <c r="W287" s="74" t="s">
        <v>47</v>
      </c>
      <c r="X287" s="13">
        <v>190.88</v>
      </c>
      <c r="Y287" s="13">
        <v>33.54</v>
      </c>
      <c r="Z287" s="13">
        <f t="shared" si="302"/>
        <v>224.42</v>
      </c>
      <c r="AB287" s="74">
        <v>15</v>
      </c>
      <c r="AC287" s="74" t="s">
        <v>47</v>
      </c>
      <c r="AD287" s="13">
        <v>245.89</v>
      </c>
      <c r="AE287" s="13">
        <v>43.21</v>
      </c>
      <c r="AF287" s="13">
        <f t="shared" si="303"/>
        <v>289.09999999999997</v>
      </c>
      <c r="AH287" s="89">
        <f t="shared" si="304"/>
        <v>-0.46248322420594579</v>
      </c>
      <c r="AI287" s="89">
        <f t="shared" si="305"/>
        <v>-0.26035639898171714</v>
      </c>
      <c r="AJ287" s="89">
        <f t="shared" si="306"/>
        <v>-0.43227257004496711</v>
      </c>
    </row>
    <row r="288" spans="1:36" ht="28.8" x14ac:dyDescent="0.3">
      <c r="A288" s="17" t="s">
        <v>586</v>
      </c>
      <c r="B288" s="44" t="s">
        <v>587</v>
      </c>
      <c r="C288" s="12">
        <f t="shared" si="299"/>
        <v>24</v>
      </c>
      <c r="D288" s="41" t="str">
        <f t="shared" si="300"/>
        <v>UN</v>
      </c>
      <c r="E288" s="41">
        <v>119.96</v>
      </c>
      <c r="F288" s="41">
        <v>31.96</v>
      </c>
      <c r="G288" s="41">
        <f t="shared" si="301"/>
        <v>151.91999999999999</v>
      </c>
      <c r="H288" s="13">
        <f t="shared" si="294"/>
        <v>2879.04</v>
      </c>
      <c r="I288" s="13">
        <f t="shared" si="295"/>
        <v>767.04</v>
      </c>
      <c r="J288" s="14">
        <f t="shared" si="296"/>
        <v>3646.08</v>
      </c>
      <c r="M288" s="54"/>
      <c r="N288" s="56"/>
      <c r="V288" s="74">
        <v>24</v>
      </c>
      <c r="W288" s="74" t="s">
        <v>47</v>
      </c>
      <c r="X288" s="13">
        <v>136.31</v>
      </c>
      <c r="Y288" s="13">
        <v>33.54</v>
      </c>
      <c r="Z288" s="13">
        <f t="shared" si="302"/>
        <v>169.85</v>
      </c>
      <c r="AB288" s="74">
        <v>24</v>
      </c>
      <c r="AC288" s="74" t="s">
        <v>47</v>
      </c>
      <c r="AD288" s="13">
        <v>175.59</v>
      </c>
      <c r="AE288" s="13">
        <v>43.21</v>
      </c>
      <c r="AF288" s="13">
        <f t="shared" si="303"/>
        <v>218.8</v>
      </c>
      <c r="AH288" s="89">
        <f t="shared" si="304"/>
        <v>-0.31681758642291702</v>
      </c>
      <c r="AI288" s="89">
        <f t="shared" si="305"/>
        <v>-0.26035639898171714</v>
      </c>
      <c r="AJ288" s="89">
        <f t="shared" si="306"/>
        <v>-0.30566727605118837</v>
      </c>
    </row>
    <row r="289" spans="1:36" x14ac:dyDescent="0.3">
      <c r="A289" s="17" t="s">
        <v>588</v>
      </c>
      <c r="B289" s="44" t="s">
        <v>589</v>
      </c>
      <c r="C289" s="12">
        <f t="shared" si="299"/>
        <v>1</v>
      </c>
      <c r="D289" s="41" t="str">
        <f t="shared" si="300"/>
        <v>UN</v>
      </c>
      <c r="E289" s="41">
        <v>46.29</v>
      </c>
      <c r="F289" s="41">
        <v>31.96</v>
      </c>
      <c r="G289" s="41">
        <f t="shared" si="301"/>
        <v>78.25</v>
      </c>
      <c r="H289" s="13">
        <f t="shared" si="294"/>
        <v>46.29</v>
      </c>
      <c r="I289" s="13">
        <f t="shared" si="295"/>
        <v>31.96</v>
      </c>
      <c r="J289" s="14">
        <f t="shared" si="296"/>
        <v>78.25</v>
      </c>
      <c r="M289" s="54"/>
      <c r="N289" s="56"/>
      <c r="V289" s="74">
        <v>1</v>
      </c>
      <c r="W289" s="74" t="s">
        <v>47</v>
      </c>
      <c r="X289" s="13">
        <v>62.76</v>
      </c>
      <c r="Y289" s="13">
        <v>33.54</v>
      </c>
      <c r="Z289" s="13">
        <f t="shared" si="302"/>
        <v>96.3</v>
      </c>
      <c r="AB289" s="74">
        <v>1</v>
      </c>
      <c r="AC289" s="74" t="s">
        <v>47</v>
      </c>
      <c r="AD289" s="13">
        <v>80.849999999999994</v>
      </c>
      <c r="AE289" s="13">
        <v>43.21</v>
      </c>
      <c r="AF289" s="13">
        <f t="shared" si="303"/>
        <v>124.06</v>
      </c>
      <c r="AH289" s="89">
        <f t="shared" si="304"/>
        <v>-0.42745825602968457</v>
      </c>
      <c r="AI289" s="89">
        <f t="shared" si="305"/>
        <v>-0.26035639898171714</v>
      </c>
      <c r="AJ289" s="89">
        <f t="shared" si="306"/>
        <v>-0.36925681122037723</v>
      </c>
    </row>
    <row r="290" spans="1:36" x14ac:dyDescent="0.3">
      <c r="A290" s="17" t="s">
        <v>590</v>
      </c>
      <c r="B290" s="44" t="s">
        <v>591</v>
      </c>
      <c r="C290" s="12">
        <f t="shared" si="299"/>
        <v>1</v>
      </c>
      <c r="D290" s="41" t="str">
        <f t="shared" si="300"/>
        <v>UN</v>
      </c>
      <c r="E290" s="41">
        <v>15.37</v>
      </c>
      <c r="F290" s="41">
        <v>14.13</v>
      </c>
      <c r="G290" s="41">
        <f t="shared" si="301"/>
        <v>29.5</v>
      </c>
      <c r="H290" s="13">
        <f t="shared" si="294"/>
        <v>15.37</v>
      </c>
      <c r="I290" s="13">
        <f t="shared" si="295"/>
        <v>14.13</v>
      </c>
      <c r="J290" s="14">
        <f t="shared" si="296"/>
        <v>29.5</v>
      </c>
      <c r="M290" s="54"/>
      <c r="N290" s="56"/>
      <c r="V290" s="74">
        <v>1</v>
      </c>
      <c r="W290" s="74" t="s">
        <v>47</v>
      </c>
      <c r="X290" s="13">
        <v>17.27</v>
      </c>
      <c r="Y290" s="13">
        <v>14.86</v>
      </c>
      <c r="Z290" s="13">
        <f t="shared" si="302"/>
        <v>32.129999999999995</v>
      </c>
      <c r="AB290" s="74">
        <v>1</v>
      </c>
      <c r="AC290" s="74" t="s">
        <v>47</v>
      </c>
      <c r="AD290" s="13">
        <v>22.25</v>
      </c>
      <c r="AE290" s="13">
        <v>19.14</v>
      </c>
      <c r="AF290" s="13">
        <f t="shared" si="303"/>
        <v>41.39</v>
      </c>
      <c r="AH290" s="89">
        <f t="shared" si="304"/>
        <v>-0.30921348314606745</v>
      </c>
      <c r="AI290" s="89">
        <f t="shared" si="305"/>
        <v>-0.26175548589341691</v>
      </c>
      <c r="AJ290" s="89">
        <f t="shared" si="306"/>
        <v>-0.28726745590722402</v>
      </c>
    </row>
    <row r="291" spans="1:36" x14ac:dyDescent="0.3">
      <c r="A291" s="17" t="s">
        <v>592</v>
      </c>
      <c r="B291" s="44" t="s">
        <v>593</v>
      </c>
      <c r="C291" s="12">
        <f t="shared" si="299"/>
        <v>63</v>
      </c>
      <c r="D291" s="41" t="str">
        <f t="shared" si="300"/>
        <v>UN</v>
      </c>
      <c r="E291" s="41">
        <v>72.040000000000006</v>
      </c>
      <c r="F291" s="41">
        <v>16.39</v>
      </c>
      <c r="G291" s="41">
        <f t="shared" si="301"/>
        <v>88.43</v>
      </c>
      <c r="H291" s="13">
        <f t="shared" si="294"/>
        <v>4538.5200000000004</v>
      </c>
      <c r="I291" s="13">
        <f t="shared" si="295"/>
        <v>1032.57</v>
      </c>
      <c r="J291" s="14">
        <f t="shared" si="296"/>
        <v>5571.09</v>
      </c>
      <c r="M291" s="54"/>
      <c r="N291" s="56"/>
      <c r="V291" s="74">
        <v>63</v>
      </c>
      <c r="W291" s="74" t="s">
        <v>47</v>
      </c>
      <c r="X291" s="13">
        <v>97.52</v>
      </c>
      <c r="Y291" s="13">
        <v>17.29</v>
      </c>
      <c r="Z291" s="13">
        <f t="shared" si="302"/>
        <v>114.81</v>
      </c>
      <c r="AB291" s="74">
        <v>63</v>
      </c>
      <c r="AC291" s="74" t="s">
        <v>47</v>
      </c>
      <c r="AD291" s="13">
        <v>125.63</v>
      </c>
      <c r="AE291" s="13">
        <v>22.27</v>
      </c>
      <c r="AF291" s="13">
        <f t="shared" si="303"/>
        <v>147.9</v>
      </c>
      <c r="AH291" s="89">
        <f t="shared" si="304"/>
        <v>-0.42657008676271579</v>
      </c>
      <c r="AI291" s="89">
        <f t="shared" si="305"/>
        <v>-0.26403233048944763</v>
      </c>
      <c r="AJ291" s="89">
        <f t="shared" si="306"/>
        <v>-0.4020960108181203</v>
      </c>
    </row>
    <row r="292" spans="1:36" x14ac:dyDescent="0.3">
      <c r="A292" s="17" t="s">
        <v>594</v>
      </c>
      <c r="B292" s="44" t="s">
        <v>595</v>
      </c>
      <c r="C292" s="12">
        <f t="shared" si="299"/>
        <v>123</v>
      </c>
      <c r="D292" s="41" t="str">
        <f t="shared" si="300"/>
        <v>UN</v>
      </c>
      <c r="E292" s="41">
        <v>39.840000000000003</v>
      </c>
      <c r="F292" s="41">
        <v>85.66</v>
      </c>
      <c r="G292" s="41">
        <f t="shared" si="301"/>
        <v>125.5</v>
      </c>
      <c r="H292" s="13">
        <f t="shared" si="294"/>
        <v>4900.3200000000006</v>
      </c>
      <c r="I292" s="13">
        <f t="shared" si="295"/>
        <v>10536.18</v>
      </c>
      <c r="J292" s="14">
        <f t="shared" si="296"/>
        <v>15436.5</v>
      </c>
      <c r="M292" s="54"/>
      <c r="N292" s="56"/>
      <c r="V292" s="74">
        <v>123</v>
      </c>
      <c r="W292" s="74" t="s">
        <v>47</v>
      </c>
      <c r="X292" s="13">
        <v>49.5</v>
      </c>
      <c r="Y292" s="13">
        <v>90.08</v>
      </c>
      <c r="Z292" s="13">
        <f t="shared" si="302"/>
        <v>139.57999999999998</v>
      </c>
      <c r="AB292" s="74">
        <v>123</v>
      </c>
      <c r="AC292" s="74" t="s">
        <v>47</v>
      </c>
      <c r="AD292" s="13">
        <v>63.77</v>
      </c>
      <c r="AE292" s="13">
        <v>116.04</v>
      </c>
      <c r="AF292" s="13">
        <f t="shared" si="303"/>
        <v>179.81</v>
      </c>
      <c r="AH292" s="89">
        <f t="shared" si="304"/>
        <v>-0.37525482201662219</v>
      </c>
      <c r="AI292" s="89">
        <f t="shared" si="305"/>
        <v>-0.26180627369872467</v>
      </c>
      <c r="AJ292" s="89">
        <f t="shared" si="306"/>
        <v>-0.30204104332350812</v>
      </c>
    </row>
    <row r="293" spans="1:36" x14ac:dyDescent="0.3">
      <c r="A293" s="17" t="s">
        <v>596</v>
      </c>
      <c r="B293" s="44" t="s">
        <v>597</v>
      </c>
      <c r="C293" s="12">
        <f t="shared" si="299"/>
        <v>27</v>
      </c>
      <c r="D293" s="41" t="str">
        <f t="shared" si="300"/>
        <v>UN</v>
      </c>
      <c r="E293" s="41">
        <v>58.06</v>
      </c>
      <c r="F293" s="41">
        <v>7.79</v>
      </c>
      <c r="G293" s="41">
        <f t="shared" si="301"/>
        <v>65.850000000000009</v>
      </c>
      <c r="H293" s="13">
        <f t="shared" si="294"/>
        <v>1567.6200000000001</v>
      </c>
      <c r="I293" s="13">
        <f t="shared" si="295"/>
        <v>210.33</v>
      </c>
      <c r="J293" s="14">
        <f t="shared" si="296"/>
        <v>1777.9500000000003</v>
      </c>
      <c r="M293" s="54"/>
      <c r="N293" s="56"/>
      <c r="V293" s="74">
        <v>27</v>
      </c>
      <c r="W293" s="74" t="s">
        <v>47</v>
      </c>
      <c r="X293" s="13">
        <v>83.86</v>
      </c>
      <c r="Y293" s="13">
        <v>8.1999999999999993</v>
      </c>
      <c r="Z293" s="13">
        <f t="shared" si="302"/>
        <v>92.06</v>
      </c>
      <c r="AB293" s="74">
        <v>27</v>
      </c>
      <c r="AC293" s="74" t="s">
        <v>47</v>
      </c>
      <c r="AD293" s="13">
        <v>108.03</v>
      </c>
      <c r="AE293" s="13">
        <v>10.56</v>
      </c>
      <c r="AF293" s="13">
        <f t="shared" si="303"/>
        <v>118.59</v>
      </c>
      <c r="AH293" s="89">
        <f t="shared" si="304"/>
        <v>-0.46255669721373693</v>
      </c>
      <c r="AI293" s="89">
        <f t="shared" si="305"/>
        <v>-0.26231060606060608</v>
      </c>
      <c r="AJ293" s="89">
        <f t="shared" si="306"/>
        <v>-0.44472552491778394</v>
      </c>
    </row>
    <row r="294" spans="1:36" x14ac:dyDescent="0.3">
      <c r="A294" s="17" t="s">
        <v>598</v>
      </c>
      <c r="B294" s="44" t="s">
        <v>599</v>
      </c>
      <c r="C294" s="12">
        <f t="shared" si="299"/>
        <v>195</v>
      </c>
      <c r="D294" s="41" t="str">
        <f t="shared" si="300"/>
        <v>UN</v>
      </c>
      <c r="E294" s="41">
        <v>40.08</v>
      </c>
      <c r="F294" s="41">
        <v>42.82</v>
      </c>
      <c r="G294" s="41">
        <f t="shared" si="301"/>
        <v>82.9</v>
      </c>
      <c r="H294" s="13">
        <f t="shared" si="294"/>
        <v>7815.5999999999995</v>
      </c>
      <c r="I294" s="13">
        <f t="shared" si="295"/>
        <v>8349.9</v>
      </c>
      <c r="J294" s="14">
        <f t="shared" si="296"/>
        <v>16165.500000000002</v>
      </c>
      <c r="M294" s="54"/>
      <c r="N294" s="56"/>
      <c r="V294" s="74">
        <v>195</v>
      </c>
      <c r="W294" s="74" t="s">
        <v>47</v>
      </c>
      <c r="X294" s="13">
        <v>49.82</v>
      </c>
      <c r="Y294" s="13">
        <v>45.04</v>
      </c>
      <c r="Z294" s="13">
        <f t="shared" si="302"/>
        <v>94.86</v>
      </c>
      <c r="AB294" s="74">
        <v>195</v>
      </c>
      <c r="AC294" s="74" t="s">
        <v>47</v>
      </c>
      <c r="AD294" s="13">
        <v>64.180000000000007</v>
      </c>
      <c r="AE294" s="13">
        <v>58.02</v>
      </c>
      <c r="AF294" s="13">
        <f t="shared" si="303"/>
        <v>122.20000000000002</v>
      </c>
      <c r="AH294" s="89">
        <f t="shared" si="304"/>
        <v>-0.37550638828295424</v>
      </c>
      <c r="AI294" s="89">
        <f t="shared" si="305"/>
        <v>-0.26197862805928995</v>
      </c>
      <c r="AJ294" s="89">
        <f t="shared" si="306"/>
        <v>-0.32160392798690673</v>
      </c>
    </row>
    <row r="295" spans="1:36" x14ac:dyDescent="0.3">
      <c r="A295" s="17" t="s">
        <v>600</v>
      </c>
      <c r="B295" s="44" t="s">
        <v>601</v>
      </c>
      <c r="C295" s="12">
        <f t="shared" si="299"/>
        <v>9</v>
      </c>
      <c r="D295" s="41" t="str">
        <f t="shared" si="300"/>
        <v>UN</v>
      </c>
      <c r="E295" s="41">
        <v>1350.12</v>
      </c>
      <c r="F295" s="41">
        <v>17.13</v>
      </c>
      <c r="G295" s="41">
        <f t="shared" si="301"/>
        <v>1367.25</v>
      </c>
      <c r="H295" s="13">
        <f t="shared" si="294"/>
        <v>12151.079999999998</v>
      </c>
      <c r="I295" s="13">
        <f t="shared" si="295"/>
        <v>154.16999999999999</v>
      </c>
      <c r="J295" s="14">
        <f t="shared" si="296"/>
        <v>12305.25</v>
      </c>
      <c r="M295" s="54"/>
      <c r="N295" s="56"/>
      <c r="V295" s="74">
        <v>9</v>
      </c>
      <c r="W295" s="74" t="s">
        <v>47</v>
      </c>
      <c r="X295" s="13">
        <v>1949.84</v>
      </c>
      <c r="Y295" s="13">
        <v>18.02</v>
      </c>
      <c r="Z295" s="13">
        <f t="shared" si="302"/>
        <v>1967.86</v>
      </c>
      <c r="AB295" s="74">
        <v>9</v>
      </c>
      <c r="AC295" s="74" t="s">
        <v>47</v>
      </c>
      <c r="AD295" s="13">
        <v>2511.7800000000002</v>
      </c>
      <c r="AE295" s="13">
        <v>23.21</v>
      </c>
      <c r="AF295" s="13">
        <f t="shared" si="303"/>
        <v>2534.9900000000002</v>
      </c>
      <c r="AH295" s="89">
        <f t="shared" si="304"/>
        <v>-0.46248477175548819</v>
      </c>
      <c r="AI295" s="89">
        <f t="shared" si="305"/>
        <v>-0.26195605342524786</v>
      </c>
      <c r="AJ295" s="89">
        <f t="shared" si="306"/>
        <v>-0.46064875995566057</v>
      </c>
    </row>
    <row r="296" spans="1:36" x14ac:dyDescent="0.3">
      <c r="A296" s="17" t="s">
        <v>602</v>
      </c>
      <c r="B296" s="44" t="s">
        <v>603</v>
      </c>
      <c r="C296" s="12">
        <f t="shared" si="299"/>
        <v>15</v>
      </c>
      <c r="D296" s="41" t="str">
        <f t="shared" si="300"/>
        <v>UN</v>
      </c>
      <c r="E296" s="41">
        <v>586.92999999999995</v>
      </c>
      <c r="F296" s="41">
        <v>17.13</v>
      </c>
      <c r="G296" s="41">
        <f t="shared" si="301"/>
        <v>604.05999999999995</v>
      </c>
      <c r="H296" s="13">
        <f t="shared" si="294"/>
        <v>8803.9499999999989</v>
      </c>
      <c r="I296" s="13">
        <f t="shared" si="295"/>
        <v>256.95</v>
      </c>
      <c r="J296" s="14">
        <f t="shared" si="296"/>
        <v>9060.9</v>
      </c>
      <c r="M296" s="54"/>
      <c r="N296" s="56"/>
      <c r="V296" s="74">
        <v>15</v>
      </c>
      <c r="W296" s="74" t="s">
        <v>47</v>
      </c>
      <c r="X296" s="13">
        <v>847.64</v>
      </c>
      <c r="Y296" s="13">
        <v>18.02</v>
      </c>
      <c r="Z296" s="13">
        <f t="shared" si="302"/>
        <v>865.66</v>
      </c>
      <c r="AB296" s="74">
        <v>15</v>
      </c>
      <c r="AC296" s="74" t="s">
        <v>47</v>
      </c>
      <c r="AD296" s="13">
        <v>1091.93</v>
      </c>
      <c r="AE296" s="13">
        <v>23.21</v>
      </c>
      <c r="AF296" s="13">
        <f t="shared" si="303"/>
        <v>1115.1400000000001</v>
      </c>
      <c r="AH296" s="89">
        <f t="shared" si="304"/>
        <v>-0.4624838588554212</v>
      </c>
      <c r="AI296" s="89">
        <f t="shared" si="305"/>
        <v>-0.26195605342524786</v>
      </c>
      <c r="AJ296" s="89">
        <f t="shared" si="306"/>
        <v>-0.4583101673332497</v>
      </c>
    </row>
    <row r="297" spans="1:36" x14ac:dyDescent="0.3">
      <c r="A297" s="17" t="s">
        <v>604</v>
      </c>
      <c r="B297" s="44" t="s">
        <v>605</v>
      </c>
      <c r="C297" s="12">
        <f t="shared" si="299"/>
        <v>1</v>
      </c>
      <c r="D297" s="41" t="str">
        <f t="shared" si="300"/>
        <v>UN</v>
      </c>
      <c r="E297" s="41">
        <v>117.87</v>
      </c>
      <c r="F297" s="41">
        <v>17.13</v>
      </c>
      <c r="G297" s="41">
        <f t="shared" si="301"/>
        <v>135</v>
      </c>
      <c r="H297" s="13">
        <f t="shared" si="294"/>
        <v>117.87</v>
      </c>
      <c r="I297" s="13">
        <f t="shared" si="295"/>
        <v>17.13</v>
      </c>
      <c r="J297" s="14">
        <f t="shared" si="296"/>
        <v>135</v>
      </c>
      <c r="M297" s="54"/>
      <c r="N297" s="56"/>
      <c r="V297" s="74">
        <v>1</v>
      </c>
      <c r="W297" s="74" t="s">
        <v>47</v>
      </c>
      <c r="X297" s="13">
        <v>170.24</v>
      </c>
      <c r="Y297" s="13">
        <v>18.02</v>
      </c>
      <c r="Z297" s="13">
        <f t="shared" si="302"/>
        <v>188.26000000000002</v>
      </c>
      <c r="AB297" s="74">
        <v>1</v>
      </c>
      <c r="AC297" s="74" t="s">
        <v>47</v>
      </c>
      <c r="AD297" s="13">
        <v>219.3</v>
      </c>
      <c r="AE297" s="13">
        <v>23.21</v>
      </c>
      <c r="AF297" s="13">
        <f t="shared" si="303"/>
        <v>242.51000000000002</v>
      </c>
      <c r="AH297" s="89">
        <f t="shared" si="304"/>
        <v>-0.46251709986320111</v>
      </c>
      <c r="AI297" s="89">
        <f t="shared" si="305"/>
        <v>-0.26195605342524786</v>
      </c>
      <c r="AJ297" s="89">
        <f t="shared" si="306"/>
        <v>-0.44332192486907762</v>
      </c>
    </row>
    <row r="298" spans="1:36" x14ac:dyDescent="0.3">
      <c r="A298" s="17" t="s">
        <v>606</v>
      </c>
      <c r="B298" s="44" t="s">
        <v>607</v>
      </c>
      <c r="C298" s="12">
        <f t="shared" si="299"/>
        <v>21</v>
      </c>
      <c r="D298" s="41" t="str">
        <f t="shared" si="300"/>
        <v>UN</v>
      </c>
      <c r="E298" s="41">
        <v>73.180000000000007</v>
      </c>
      <c r="F298" s="41">
        <v>24.32</v>
      </c>
      <c r="G298" s="41">
        <f t="shared" si="301"/>
        <v>97.5</v>
      </c>
      <c r="H298" s="13">
        <f t="shared" si="294"/>
        <v>1536.7800000000002</v>
      </c>
      <c r="I298" s="13">
        <f t="shared" si="295"/>
        <v>510.72</v>
      </c>
      <c r="J298" s="14">
        <f t="shared" si="296"/>
        <v>2047.5</v>
      </c>
      <c r="M298" s="54"/>
      <c r="N298" s="56"/>
      <c r="V298" s="74">
        <v>21</v>
      </c>
      <c r="W298" s="74" t="s">
        <v>47</v>
      </c>
      <c r="X298" s="13">
        <v>105.7</v>
      </c>
      <c r="Y298" s="13">
        <v>25.58</v>
      </c>
      <c r="Z298" s="13">
        <f t="shared" si="302"/>
        <v>131.28</v>
      </c>
      <c r="AB298" s="74">
        <v>21</v>
      </c>
      <c r="AC298" s="74" t="s">
        <v>47</v>
      </c>
      <c r="AD298" s="13">
        <v>136.16</v>
      </c>
      <c r="AE298" s="13">
        <v>32.950000000000003</v>
      </c>
      <c r="AF298" s="13">
        <f t="shared" si="303"/>
        <v>169.11</v>
      </c>
      <c r="AH298" s="89">
        <f t="shared" si="304"/>
        <v>-0.46254406580493534</v>
      </c>
      <c r="AI298" s="89">
        <f t="shared" si="305"/>
        <v>-0.2619119878603946</v>
      </c>
      <c r="AJ298" s="89">
        <f t="shared" si="306"/>
        <v>-0.42345219088167474</v>
      </c>
    </row>
    <row r="299" spans="1:36" x14ac:dyDescent="0.3">
      <c r="A299" s="17" t="s">
        <v>608</v>
      </c>
      <c r="B299" s="44" t="s">
        <v>609</v>
      </c>
      <c r="C299" s="12">
        <f t="shared" si="299"/>
        <v>36</v>
      </c>
      <c r="D299" s="41" t="str">
        <f t="shared" si="300"/>
        <v>UN</v>
      </c>
      <c r="E299" s="41">
        <v>58.05</v>
      </c>
      <c r="F299" s="41">
        <v>16.190000000000001</v>
      </c>
      <c r="G299" s="41">
        <f t="shared" si="301"/>
        <v>74.239999999999995</v>
      </c>
      <c r="H299" s="13">
        <f t="shared" si="294"/>
        <v>2089.7999999999997</v>
      </c>
      <c r="I299" s="13">
        <f t="shared" si="295"/>
        <v>582.84</v>
      </c>
      <c r="J299" s="14">
        <f t="shared" si="296"/>
        <v>2672.64</v>
      </c>
      <c r="M299" s="54"/>
      <c r="N299" s="56"/>
      <c r="V299" s="74">
        <v>36</v>
      </c>
      <c r="W299" s="74" t="s">
        <v>47</v>
      </c>
      <c r="X299" s="13">
        <v>83.84</v>
      </c>
      <c r="Y299" s="13">
        <v>17.03</v>
      </c>
      <c r="Z299" s="13">
        <f t="shared" si="302"/>
        <v>100.87</v>
      </c>
      <c r="AB299" s="74">
        <v>36</v>
      </c>
      <c r="AC299" s="74" t="s">
        <v>47</v>
      </c>
      <c r="AD299" s="13">
        <v>108</v>
      </c>
      <c r="AE299" s="13">
        <v>21.94</v>
      </c>
      <c r="AF299" s="13">
        <f t="shared" si="303"/>
        <v>129.94</v>
      </c>
      <c r="AH299" s="89">
        <f t="shared" si="304"/>
        <v>-0.46250000000000002</v>
      </c>
      <c r="AI299" s="89">
        <f t="shared" si="305"/>
        <v>-0.26207839562443025</v>
      </c>
      <c r="AJ299" s="89">
        <f t="shared" si="306"/>
        <v>-0.42865938125288594</v>
      </c>
    </row>
    <row r="300" spans="1:36" x14ac:dyDescent="0.3">
      <c r="A300" s="17" t="s">
        <v>610</v>
      </c>
      <c r="B300" s="44" t="s">
        <v>611</v>
      </c>
      <c r="C300" s="12">
        <f t="shared" si="299"/>
        <v>1</v>
      </c>
      <c r="D300" s="41" t="str">
        <f t="shared" si="300"/>
        <v>UN</v>
      </c>
      <c r="E300" s="41">
        <v>16.13</v>
      </c>
      <c r="F300" s="41">
        <v>8.09</v>
      </c>
      <c r="G300" s="41">
        <f t="shared" si="301"/>
        <v>24.22</v>
      </c>
      <c r="H300" s="13">
        <f t="shared" si="294"/>
        <v>16.13</v>
      </c>
      <c r="I300" s="13">
        <f t="shared" si="295"/>
        <v>8.09</v>
      </c>
      <c r="J300" s="14">
        <f t="shared" si="296"/>
        <v>24.22</v>
      </c>
      <c r="M300" s="54"/>
      <c r="N300" s="56"/>
      <c r="V300" s="74">
        <v>1</v>
      </c>
      <c r="W300" s="74" t="s">
        <v>47</v>
      </c>
      <c r="X300" s="13">
        <v>23.31</v>
      </c>
      <c r="Y300" s="13">
        <v>8.51</v>
      </c>
      <c r="Z300" s="13">
        <f t="shared" si="302"/>
        <v>31.82</v>
      </c>
      <c r="AB300" s="74">
        <v>1</v>
      </c>
      <c r="AC300" s="74" t="s">
        <v>47</v>
      </c>
      <c r="AD300" s="13">
        <v>30.03</v>
      </c>
      <c r="AE300" s="13">
        <v>10.96</v>
      </c>
      <c r="AF300" s="13">
        <f t="shared" si="303"/>
        <v>40.99</v>
      </c>
      <c r="AH300" s="89">
        <f t="shared" si="304"/>
        <v>-0.46287046287046296</v>
      </c>
      <c r="AI300" s="89">
        <f t="shared" si="305"/>
        <v>-0.26186131386861322</v>
      </c>
      <c r="AJ300" s="89">
        <f t="shared" si="306"/>
        <v>-0.40912417662844602</v>
      </c>
    </row>
    <row r="301" spans="1:36" x14ac:dyDescent="0.3">
      <c r="A301" s="17" t="s">
        <v>612</v>
      </c>
      <c r="B301" s="44" t="s">
        <v>613</v>
      </c>
      <c r="C301" s="12">
        <f t="shared" si="299"/>
        <v>1</v>
      </c>
      <c r="D301" s="41" t="str">
        <f t="shared" si="300"/>
        <v>UN</v>
      </c>
      <c r="E301" s="41">
        <v>76.900000000000006</v>
      </c>
      <c r="F301" s="41">
        <v>8.09</v>
      </c>
      <c r="G301" s="41">
        <f t="shared" si="301"/>
        <v>84.990000000000009</v>
      </c>
      <c r="H301" s="13">
        <f t="shared" si="294"/>
        <v>76.900000000000006</v>
      </c>
      <c r="I301" s="13">
        <f t="shared" si="295"/>
        <v>8.09</v>
      </c>
      <c r="J301" s="14">
        <f t="shared" si="296"/>
        <v>84.990000000000009</v>
      </c>
      <c r="M301" s="54"/>
      <c r="N301" s="56"/>
      <c r="V301" s="74">
        <v>1</v>
      </c>
      <c r="W301" s="74" t="s">
        <v>47</v>
      </c>
      <c r="X301" s="13">
        <v>111.06</v>
      </c>
      <c r="Y301" s="13">
        <v>8.51</v>
      </c>
      <c r="Z301" s="13">
        <f t="shared" si="302"/>
        <v>119.57000000000001</v>
      </c>
      <c r="AB301" s="74">
        <v>1</v>
      </c>
      <c r="AC301" s="74" t="s">
        <v>47</v>
      </c>
      <c r="AD301" s="13">
        <v>143.07</v>
      </c>
      <c r="AE301" s="13">
        <v>10.96</v>
      </c>
      <c r="AF301" s="13">
        <f t="shared" si="303"/>
        <v>154.03</v>
      </c>
      <c r="AH301" s="89">
        <f t="shared" si="304"/>
        <v>-0.4625008736981896</v>
      </c>
      <c r="AI301" s="89">
        <f t="shared" si="305"/>
        <v>-0.26186131386861322</v>
      </c>
      <c r="AJ301" s="89">
        <f t="shared" si="306"/>
        <v>-0.4482243718756086</v>
      </c>
    </row>
    <row r="302" spans="1:36" x14ac:dyDescent="0.3">
      <c r="A302" s="17" t="s">
        <v>614</v>
      </c>
      <c r="B302" s="44" t="s">
        <v>615</v>
      </c>
      <c r="C302" s="12">
        <f t="shared" si="299"/>
        <v>12</v>
      </c>
      <c r="D302" s="41" t="str">
        <f t="shared" si="300"/>
        <v>UN</v>
      </c>
      <c r="E302" s="41">
        <v>194.35</v>
      </c>
      <c r="F302" s="41">
        <v>8.09</v>
      </c>
      <c r="G302" s="41">
        <f t="shared" si="301"/>
        <v>202.44</v>
      </c>
      <c r="H302" s="13">
        <f t="shared" si="294"/>
        <v>2332.1999999999998</v>
      </c>
      <c r="I302" s="13">
        <f t="shared" si="295"/>
        <v>97.08</v>
      </c>
      <c r="J302" s="14">
        <f t="shared" si="296"/>
        <v>2429.2799999999997</v>
      </c>
      <c r="M302" s="54"/>
      <c r="N302" s="56"/>
      <c r="V302" s="74">
        <v>12</v>
      </c>
      <c r="W302" s="74" t="s">
        <v>47</v>
      </c>
      <c r="X302" s="13">
        <v>280.69</v>
      </c>
      <c r="Y302" s="13">
        <v>8.51</v>
      </c>
      <c r="Z302" s="13">
        <f t="shared" si="302"/>
        <v>289.2</v>
      </c>
      <c r="AB302" s="74">
        <v>12</v>
      </c>
      <c r="AC302" s="74" t="s">
        <v>47</v>
      </c>
      <c r="AD302" s="13">
        <v>361.58</v>
      </c>
      <c r="AE302" s="13">
        <v>10.96</v>
      </c>
      <c r="AF302" s="13">
        <f t="shared" si="303"/>
        <v>372.53999999999996</v>
      </c>
      <c r="AH302" s="89">
        <f t="shared" si="304"/>
        <v>-0.46249792577023063</v>
      </c>
      <c r="AI302" s="89">
        <f t="shared" si="305"/>
        <v>-0.26186131386861322</v>
      </c>
      <c r="AJ302" s="89">
        <f t="shared" si="306"/>
        <v>-0.45659526493799318</v>
      </c>
    </row>
    <row r="303" spans="1:36" x14ac:dyDescent="0.3">
      <c r="A303" s="17" t="s">
        <v>616</v>
      </c>
      <c r="B303" s="44" t="s">
        <v>617</v>
      </c>
      <c r="C303" s="12">
        <f t="shared" si="299"/>
        <v>1</v>
      </c>
      <c r="D303" s="41" t="str">
        <f t="shared" si="300"/>
        <v>UN</v>
      </c>
      <c r="E303" s="41">
        <v>194.35</v>
      </c>
      <c r="F303" s="41">
        <v>8.09</v>
      </c>
      <c r="G303" s="41">
        <f t="shared" si="301"/>
        <v>202.44</v>
      </c>
      <c r="H303" s="13">
        <f t="shared" si="294"/>
        <v>194.35</v>
      </c>
      <c r="I303" s="13">
        <f t="shared" si="295"/>
        <v>8.09</v>
      </c>
      <c r="J303" s="14">
        <f t="shared" si="296"/>
        <v>202.44</v>
      </c>
      <c r="M303" s="54"/>
      <c r="N303" s="56"/>
      <c r="V303" s="74">
        <v>1</v>
      </c>
      <c r="W303" s="74" t="s">
        <v>47</v>
      </c>
      <c r="X303" s="13">
        <v>280.69</v>
      </c>
      <c r="Y303" s="13">
        <v>8.51</v>
      </c>
      <c r="Z303" s="13">
        <f t="shared" si="302"/>
        <v>289.2</v>
      </c>
      <c r="AB303" s="74">
        <v>1</v>
      </c>
      <c r="AC303" s="74" t="s">
        <v>47</v>
      </c>
      <c r="AD303" s="13">
        <v>361.58</v>
      </c>
      <c r="AE303" s="13">
        <v>10.96</v>
      </c>
      <c r="AF303" s="13">
        <f t="shared" si="303"/>
        <v>372.53999999999996</v>
      </c>
      <c r="AH303" s="89">
        <f t="shared" si="304"/>
        <v>-0.46249792577023063</v>
      </c>
      <c r="AI303" s="89">
        <f t="shared" si="305"/>
        <v>-0.26186131386861322</v>
      </c>
      <c r="AJ303" s="89">
        <f t="shared" si="306"/>
        <v>-0.45659526493799318</v>
      </c>
    </row>
    <row r="304" spans="1:36" x14ac:dyDescent="0.3">
      <c r="A304" s="17" t="s">
        <v>618</v>
      </c>
      <c r="B304" s="44" t="s">
        <v>619</v>
      </c>
      <c r="C304" s="12">
        <f t="shared" si="299"/>
        <v>1</v>
      </c>
      <c r="D304" s="41" t="str">
        <f t="shared" si="300"/>
        <v>UN</v>
      </c>
      <c r="E304" s="41">
        <v>165.01</v>
      </c>
      <c r="F304" s="41">
        <v>16.190000000000001</v>
      </c>
      <c r="G304" s="41">
        <f t="shared" si="301"/>
        <v>181.2</v>
      </c>
      <c r="H304" s="13">
        <f t="shared" si="294"/>
        <v>165.01</v>
      </c>
      <c r="I304" s="13">
        <f t="shared" si="295"/>
        <v>16.190000000000001</v>
      </c>
      <c r="J304" s="14">
        <f t="shared" si="296"/>
        <v>181.2</v>
      </c>
      <c r="M304" s="54"/>
      <c r="N304" s="56"/>
      <c r="V304" s="74">
        <v>1</v>
      </c>
      <c r="W304" s="74" t="s">
        <v>47</v>
      </c>
      <c r="X304" s="13">
        <v>238.32</v>
      </c>
      <c r="Y304" s="13">
        <v>17.03</v>
      </c>
      <c r="Z304" s="13">
        <f t="shared" si="302"/>
        <v>255.35</v>
      </c>
      <c r="AB304" s="74">
        <v>1</v>
      </c>
      <c r="AC304" s="74" t="s">
        <v>47</v>
      </c>
      <c r="AD304" s="13">
        <v>307</v>
      </c>
      <c r="AE304" s="13">
        <v>21.94</v>
      </c>
      <c r="AF304" s="13">
        <f t="shared" si="303"/>
        <v>328.94</v>
      </c>
      <c r="AH304" s="89">
        <f t="shared" si="304"/>
        <v>-0.46250814332247558</v>
      </c>
      <c r="AI304" s="89">
        <f t="shared" si="305"/>
        <v>-0.26207839562443025</v>
      </c>
      <c r="AJ304" s="89">
        <f t="shared" si="306"/>
        <v>-0.44913966072840039</v>
      </c>
    </row>
    <row r="305" spans="1:36" x14ac:dyDescent="0.3">
      <c r="A305" s="17" t="s">
        <v>620</v>
      </c>
      <c r="B305" s="44" t="s">
        <v>621</v>
      </c>
      <c r="C305" s="12">
        <f t="shared" si="299"/>
        <v>1</v>
      </c>
      <c r="D305" s="41" t="str">
        <f t="shared" si="300"/>
        <v>UN</v>
      </c>
      <c r="E305" s="41">
        <v>174.43</v>
      </c>
      <c r="F305" s="41">
        <v>24.32</v>
      </c>
      <c r="G305" s="41">
        <f t="shared" si="301"/>
        <v>198.75</v>
      </c>
      <c r="H305" s="13">
        <f t="shared" si="294"/>
        <v>174.43</v>
      </c>
      <c r="I305" s="13">
        <f t="shared" si="295"/>
        <v>24.32</v>
      </c>
      <c r="J305" s="14">
        <f t="shared" si="296"/>
        <v>198.75</v>
      </c>
      <c r="M305" s="54"/>
      <c r="N305" s="56"/>
      <c r="V305" s="74">
        <v>1</v>
      </c>
      <c r="W305" s="74" t="s">
        <v>47</v>
      </c>
      <c r="X305" s="13">
        <v>251.92</v>
      </c>
      <c r="Y305" s="13">
        <v>25.58</v>
      </c>
      <c r="Z305" s="13">
        <f t="shared" si="302"/>
        <v>277.5</v>
      </c>
      <c r="AB305" s="74">
        <v>1</v>
      </c>
      <c r="AC305" s="74" t="s">
        <v>47</v>
      </c>
      <c r="AD305" s="13">
        <v>324.52</v>
      </c>
      <c r="AE305" s="13">
        <v>32.950000000000003</v>
      </c>
      <c r="AF305" s="13">
        <f t="shared" si="303"/>
        <v>357.46999999999997</v>
      </c>
      <c r="AH305" s="89">
        <f t="shared" si="304"/>
        <v>-0.46249845926291133</v>
      </c>
      <c r="AI305" s="89">
        <f t="shared" si="305"/>
        <v>-0.2619119878603946</v>
      </c>
      <c r="AJ305" s="89">
        <f t="shared" si="306"/>
        <v>-0.44400928749265667</v>
      </c>
    </row>
    <row r="306" spans="1:36" x14ac:dyDescent="0.3">
      <c r="A306" s="17" t="s">
        <v>622</v>
      </c>
      <c r="B306" s="44" t="s">
        <v>623</v>
      </c>
      <c r="C306" s="12">
        <f t="shared" si="299"/>
        <v>1</v>
      </c>
      <c r="D306" s="41" t="str">
        <f t="shared" si="300"/>
        <v>UN</v>
      </c>
      <c r="E306" s="41">
        <v>189.79</v>
      </c>
      <c r="F306" s="41">
        <v>24.32</v>
      </c>
      <c r="G306" s="41">
        <f t="shared" si="301"/>
        <v>214.10999999999999</v>
      </c>
      <c r="H306" s="13">
        <f t="shared" ref="H306:H371" si="307">C306*E306</f>
        <v>189.79</v>
      </c>
      <c r="I306" s="13">
        <f t="shared" ref="I306:I371" si="308">C306*F306</f>
        <v>24.32</v>
      </c>
      <c r="J306" s="14">
        <f t="shared" ref="J306:J374" si="309">SUM(E306:F306)*C306</f>
        <v>214.10999999999999</v>
      </c>
      <c r="M306" s="54"/>
      <c r="N306" s="56"/>
      <c r="V306" s="74">
        <v>1</v>
      </c>
      <c r="W306" s="74" t="s">
        <v>47</v>
      </c>
      <c r="X306" s="13">
        <v>274.10000000000002</v>
      </c>
      <c r="Y306" s="13">
        <v>25.58</v>
      </c>
      <c r="Z306" s="13">
        <f t="shared" ref="Z306:Z337" si="310">SUM(X306:Y306)</f>
        <v>299.68</v>
      </c>
      <c r="AB306" s="74">
        <v>1</v>
      </c>
      <c r="AC306" s="74" t="s">
        <v>47</v>
      </c>
      <c r="AD306" s="13">
        <v>353.1</v>
      </c>
      <c r="AE306" s="13">
        <v>32.950000000000003</v>
      </c>
      <c r="AF306" s="13">
        <f t="shared" ref="AF306:AF337" si="311">SUM(AD306:AE306)</f>
        <v>386.05</v>
      </c>
      <c r="AH306" s="89">
        <f t="shared" si="304"/>
        <v>-0.46250354007363359</v>
      </c>
      <c r="AI306" s="89">
        <f t="shared" si="305"/>
        <v>-0.2619119878603946</v>
      </c>
      <c r="AJ306" s="89">
        <f t="shared" si="306"/>
        <v>-0.44538272244527921</v>
      </c>
    </row>
    <row r="307" spans="1:36" x14ac:dyDescent="0.3">
      <c r="A307" s="17" t="s">
        <v>624</v>
      </c>
      <c r="B307" s="44" t="s">
        <v>625</v>
      </c>
      <c r="C307" s="12">
        <f t="shared" si="299"/>
        <v>57</v>
      </c>
      <c r="D307" s="41" t="str">
        <f t="shared" si="300"/>
        <v>UN</v>
      </c>
      <c r="E307" s="41">
        <v>154.22999999999999</v>
      </c>
      <c r="F307" s="41">
        <v>145.36000000000001</v>
      </c>
      <c r="G307" s="41">
        <f t="shared" si="301"/>
        <v>299.59000000000003</v>
      </c>
      <c r="H307" s="13">
        <f t="shared" si="307"/>
        <v>8791.1099999999988</v>
      </c>
      <c r="I307" s="13">
        <f t="shared" si="308"/>
        <v>8285.52</v>
      </c>
      <c r="J307" s="14">
        <f t="shared" si="309"/>
        <v>17076.63</v>
      </c>
      <c r="M307" s="54"/>
      <c r="N307" s="56"/>
      <c r="V307" s="74">
        <v>57</v>
      </c>
      <c r="W307" s="74" t="s">
        <v>47</v>
      </c>
      <c r="X307" s="13">
        <v>183.67</v>
      </c>
      <c r="Y307" s="13">
        <v>152.61000000000001</v>
      </c>
      <c r="Z307" s="13">
        <f t="shared" si="310"/>
        <v>336.28</v>
      </c>
      <c r="AB307" s="74">
        <v>57</v>
      </c>
      <c r="AC307" s="74" t="s">
        <v>47</v>
      </c>
      <c r="AD307" s="13">
        <v>236.6</v>
      </c>
      <c r="AE307" s="13">
        <v>196.59</v>
      </c>
      <c r="AF307" s="13">
        <f t="shared" si="311"/>
        <v>433.19</v>
      </c>
      <c r="AH307" s="89">
        <f t="shared" si="304"/>
        <v>-0.34814032121724436</v>
      </c>
      <c r="AI307" s="89">
        <f t="shared" si="305"/>
        <v>-0.26059311256930662</v>
      </c>
      <c r="AJ307" s="89">
        <f t="shared" si="306"/>
        <v>-0.30840970474849361</v>
      </c>
    </row>
    <row r="308" spans="1:36" x14ac:dyDescent="0.3">
      <c r="A308" s="17" t="s">
        <v>626</v>
      </c>
      <c r="B308" s="44" t="s">
        <v>627</v>
      </c>
      <c r="C308" s="12">
        <f t="shared" ref="C308:C371" si="312">V308</f>
        <v>1</v>
      </c>
      <c r="D308" s="41" t="str">
        <f t="shared" ref="D308:D371" si="313">W308</f>
        <v>UN</v>
      </c>
      <c r="E308" s="41">
        <v>587.26</v>
      </c>
      <c r="F308" s="41">
        <v>179.63</v>
      </c>
      <c r="G308" s="41">
        <f t="shared" si="301"/>
        <v>766.89</v>
      </c>
      <c r="H308" s="13">
        <f t="shared" si="307"/>
        <v>587.26</v>
      </c>
      <c r="I308" s="13">
        <f t="shared" si="308"/>
        <v>179.63</v>
      </c>
      <c r="J308" s="14">
        <f t="shared" si="309"/>
        <v>766.89</v>
      </c>
      <c r="M308" s="54"/>
      <c r="N308" s="56"/>
      <c r="V308" s="74">
        <v>1</v>
      </c>
      <c r="W308" s="74" t="s">
        <v>47</v>
      </c>
      <c r="X308" s="13">
        <v>699.35</v>
      </c>
      <c r="Y308" s="13">
        <v>188.64</v>
      </c>
      <c r="Z308" s="13">
        <f t="shared" si="310"/>
        <v>887.99</v>
      </c>
      <c r="AB308" s="74">
        <v>1</v>
      </c>
      <c r="AC308" s="74" t="s">
        <v>47</v>
      </c>
      <c r="AD308" s="13">
        <v>900.9</v>
      </c>
      <c r="AE308" s="13">
        <v>243.01</v>
      </c>
      <c r="AF308" s="13">
        <f t="shared" si="311"/>
        <v>1143.9099999999999</v>
      </c>
      <c r="AH308" s="89">
        <f t="shared" si="304"/>
        <v>-0.34814074814074814</v>
      </c>
      <c r="AI308" s="89">
        <f t="shared" si="305"/>
        <v>-0.2608123122505247</v>
      </c>
      <c r="AJ308" s="89">
        <f t="shared" si="306"/>
        <v>-0.32958886625696071</v>
      </c>
    </row>
    <row r="309" spans="1:36" x14ac:dyDescent="0.3">
      <c r="A309" s="17" t="s">
        <v>628</v>
      </c>
      <c r="B309" s="44" t="s">
        <v>629</v>
      </c>
      <c r="C309" s="12">
        <f t="shared" si="312"/>
        <v>1</v>
      </c>
      <c r="D309" s="41" t="str">
        <f t="shared" si="313"/>
        <v>UN</v>
      </c>
      <c r="E309" s="41">
        <v>1515.4</v>
      </c>
      <c r="F309" s="41">
        <v>209.61</v>
      </c>
      <c r="G309" s="41">
        <f t="shared" si="301"/>
        <v>1725.0100000000002</v>
      </c>
      <c r="H309" s="13">
        <f t="shared" si="307"/>
        <v>1515.4</v>
      </c>
      <c r="I309" s="13">
        <f t="shared" si="308"/>
        <v>209.61</v>
      </c>
      <c r="J309" s="14">
        <f t="shared" si="309"/>
        <v>1725.0100000000002</v>
      </c>
      <c r="M309" s="54"/>
      <c r="N309" s="56"/>
      <c r="V309" s="74">
        <v>1</v>
      </c>
      <c r="W309" s="74" t="s">
        <v>47</v>
      </c>
      <c r="X309" s="13">
        <v>1804.63</v>
      </c>
      <c r="Y309" s="13">
        <v>220.17</v>
      </c>
      <c r="Z309" s="13">
        <f t="shared" si="310"/>
        <v>2024.8000000000002</v>
      </c>
      <c r="AB309" s="74">
        <v>1</v>
      </c>
      <c r="AC309" s="74" t="s">
        <v>47</v>
      </c>
      <c r="AD309" s="13">
        <v>2324.7199999999998</v>
      </c>
      <c r="AE309" s="13">
        <v>283.62</v>
      </c>
      <c r="AF309" s="13">
        <f t="shared" si="311"/>
        <v>2608.3399999999997</v>
      </c>
      <c r="AH309" s="89">
        <f t="shared" si="304"/>
        <v>-0.34813654977803765</v>
      </c>
      <c r="AI309" s="89">
        <f t="shared" si="305"/>
        <v>-0.26094774698540302</v>
      </c>
      <c r="AJ309" s="89">
        <f t="shared" si="306"/>
        <v>-0.3386560034351348</v>
      </c>
    </row>
    <row r="310" spans="1:36" x14ac:dyDescent="0.3">
      <c r="A310" s="17" t="s">
        <v>630</v>
      </c>
      <c r="B310" s="44" t="s">
        <v>631</v>
      </c>
      <c r="C310" s="12">
        <f t="shared" si="312"/>
        <v>1</v>
      </c>
      <c r="D310" s="41" t="str">
        <f t="shared" si="313"/>
        <v>UN</v>
      </c>
      <c r="E310" s="41">
        <v>32.65</v>
      </c>
      <c r="F310" s="41">
        <v>16.190000000000001</v>
      </c>
      <c r="G310" s="41">
        <f t="shared" si="301"/>
        <v>48.84</v>
      </c>
      <c r="H310" s="13">
        <f t="shared" si="307"/>
        <v>32.65</v>
      </c>
      <c r="I310" s="13">
        <f t="shared" si="308"/>
        <v>16.190000000000001</v>
      </c>
      <c r="J310" s="14">
        <f t="shared" si="309"/>
        <v>48.84</v>
      </c>
      <c r="M310" s="54"/>
      <c r="N310" s="56"/>
      <c r="V310" s="74">
        <v>1</v>
      </c>
      <c r="W310" s="74" t="s">
        <v>47</v>
      </c>
      <c r="X310" s="13">
        <v>38.33</v>
      </c>
      <c r="Y310" s="13">
        <v>17.03</v>
      </c>
      <c r="Z310" s="13">
        <f t="shared" si="310"/>
        <v>55.36</v>
      </c>
      <c r="AB310" s="74">
        <v>1</v>
      </c>
      <c r="AC310" s="74" t="s">
        <v>47</v>
      </c>
      <c r="AD310" s="13">
        <v>49.38</v>
      </c>
      <c r="AE310" s="13">
        <v>21.94</v>
      </c>
      <c r="AF310" s="13">
        <f t="shared" si="311"/>
        <v>71.320000000000007</v>
      </c>
      <c r="AH310" s="89">
        <f t="shared" si="304"/>
        <v>-0.33880113406237344</v>
      </c>
      <c r="AI310" s="89">
        <f t="shared" si="305"/>
        <v>-0.26207839562443025</v>
      </c>
      <c r="AJ310" s="89">
        <f t="shared" si="306"/>
        <v>-0.3151991026360067</v>
      </c>
    </row>
    <row r="311" spans="1:36" x14ac:dyDescent="0.3">
      <c r="A311" s="17" t="s">
        <v>632</v>
      </c>
      <c r="B311" s="44" t="s">
        <v>633</v>
      </c>
      <c r="C311" s="12">
        <f t="shared" si="312"/>
        <v>1</v>
      </c>
      <c r="D311" s="41" t="str">
        <f t="shared" si="313"/>
        <v>UN</v>
      </c>
      <c r="E311" s="41">
        <v>55.78</v>
      </c>
      <c r="F311" s="41">
        <v>24.32</v>
      </c>
      <c r="G311" s="41">
        <f t="shared" si="301"/>
        <v>80.099999999999994</v>
      </c>
      <c r="H311" s="13">
        <f t="shared" si="307"/>
        <v>55.78</v>
      </c>
      <c r="I311" s="13">
        <f t="shared" si="308"/>
        <v>24.32</v>
      </c>
      <c r="J311" s="14">
        <f t="shared" si="309"/>
        <v>80.099999999999994</v>
      </c>
      <c r="M311" s="54"/>
      <c r="N311" s="56"/>
      <c r="V311" s="74">
        <v>1</v>
      </c>
      <c r="W311" s="74" t="s">
        <v>47</v>
      </c>
      <c r="X311" s="13">
        <v>67.09</v>
      </c>
      <c r="Y311" s="13">
        <v>25.58</v>
      </c>
      <c r="Z311" s="13">
        <f t="shared" si="310"/>
        <v>92.67</v>
      </c>
      <c r="AB311" s="74">
        <v>1</v>
      </c>
      <c r="AC311" s="74" t="s">
        <v>47</v>
      </c>
      <c r="AD311" s="13">
        <v>86.43</v>
      </c>
      <c r="AE311" s="13">
        <v>32.950000000000003</v>
      </c>
      <c r="AF311" s="13">
        <f t="shared" si="311"/>
        <v>119.38000000000001</v>
      </c>
      <c r="AH311" s="89">
        <f t="shared" si="304"/>
        <v>-0.3546222376489645</v>
      </c>
      <c r="AI311" s="89">
        <f t="shared" si="305"/>
        <v>-0.2619119878603946</v>
      </c>
      <c r="AJ311" s="89">
        <f t="shared" si="306"/>
        <v>-0.32903333891774178</v>
      </c>
    </row>
    <row r="312" spans="1:36" x14ac:dyDescent="0.3">
      <c r="A312" s="17" t="s">
        <v>634</v>
      </c>
      <c r="B312" s="44" t="s">
        <v>635</v>
      </c>
      <c r="C312" s="12">
        <f t="shared" si="312"/>
        <v>1</v>
      </c>
      <c r="D312" s="41" t="str">
        <f t="shared" si="313"/>
        <v>UN</v>
      </c>
      <c r="E312" s="41">
        <v>87.27</v>
      </c>
      <c r="F312" s="41">
        <v>18.41</v>
      </c>
      <c r="G312" s="41">
        <f t="shared" si="301"/>
        <v>105.67999999999999</v>
      </c>
      <c r="H312" s="13">
        <f t="shared" si="307"/>
        <v>87.27</v>
      </c>
      <c r="I312" s="13">
        <f t="shared" si="308"/>
        <v>18.41</v>
      </c>
      <c r="J312" s="14">
        <f t="shared" si="309"/>
        <v>105.67999999999999</v>
      </c>
      <c r="M312" s="54"/>
      <c r="N312" s="56"/>
      <c r="V312" s="74">
        <v>1</v>
      </c>
      <c r="W312" s="74" t="s">
        <v>47</v>
      </c>
      <c r="X312" s="13">
        <v>126.04</v>
      </c>
      <c r="Y312" s="13">
        <v>19.329999999999998</v>
      </c>
      <c r="Z312" s="13">
        <f t="shared" si="310"/>
        <v>145.37</v>
      </c>
      <c r="AB312" s="74">
        <v>1</v>
      </c>
      <c r="AC312" s="74" t="s">
        <v>47</v>
      </c>
      <c r="AD312" s="13">
        <v>162.36000000000001</v>
      </c>
      <c r="AE312" s="13">
        <v>24.9</v>
      </c>
      <c r="AF312" s="13">
        <f t="shared" si="311"/>
        <v>187.26000000000002</v>
      </c>
      <c r="AH312" s="89">
        <f t="shared" si="304"/>
        <v>-0.46249076127124911</v>
      </c>
      <c r="AI312" s="89">
        <f t="shared" si="305"/>
        <v>-0.26064257028112447</v>
      </c>
      <c r="AJ312" s="89">
        <f t="shared" si="306"/>
        <v>-0.4356509665705437</v>
      </c>
    </row>
    <row r="313" spans="1:36" x14ac:dyDescent="0.3">
      <c r="A313" s="17" t="s">
        <v>636</v>
      </c>
      <c r="B313" s="44" t="s">
        <v>637</v>
      </c>
      <c r="C313" s="12">
        <f t="shared" si="312"/>
        <v>39</v>
      </c>
      <c r="D313" s="41" t="str">
        <f t="shared" si="313"/>
        <v>m</v>
      </c>
      <c r="E313" s="41">
        <v>10.79</v>
      </c>
      <c r="F313" s="41">
        <v>4.1100000000000003</v>
      </c>
      <c r="G313" s="41">
        <f t="shared" si="301"/>
        <v>14.899999999999999</v>
      </c>
      <c r="H313" s="13">
        <f t="shared" si="307"/>
        <v>420.80999999999995</v>
      </c>
      <c r="I313" s="13">
        <f t="shared" si="308"/>
        <v>160.29000000000002</v>
      </c>
      <c r="J313" s="14">
        <f t="shared" si="309"/>
        <v>581.09999999999991</v>
      </c>
      <c r="M313" s="54"/>
      <c r="N313" s="56"/>
      <c r="V313" s="74">
        <v>39</v>
      </c>
      <c r="W313" s="74" t="s">
        <v>76</v>
      </c>
      <c r="X313" s="13">
        <v>11.18</v>
      </c>
      <c r="Y313" s="13">
        <v>4.32</v>
      </c>
      <c r="Z313" s="13">
        <f t="shared" si="310"/>
        <v>15.5</v>
      </c>
      <c r="AB313" s="74">
        <v>39</v>
      </c>
      <c r="AC313" s="74" t="s">
        <v>76</v>
      </c>
      <c r="AD313" s="13">
        <v>14.4</v>
      </c>
      <c r="AE313" s="13">
        <v>5.57</v>
      </c>
      <c r="AF313" s="13">
        <f t="shared" si="311"/>
        <v>19.97</v>
      </c>
      <c r="AH313" s="89">
        <f t="shared" si="304"/>
        <v>-0.25069444444444455</v>
      </c>
      <c r="AI313" s="89">
        <f t="shared" si="305"/>
        <v>-0.26211849192100534</v>
      </c>
      <c r="AJ313" s="89">
        <f t="shared" si="306"/>
        <v>-0.25388082123184785</v>
      </c>
    </row>
    <row r="314" spans="1:36" x14ac:dyDescent="0.3">
      <c r="A314" s="17" t="s">
        <v>638</v>
      </c>
      <c r="B314" s="44" t="s">
        <v>639</v>
      </c>
      <c r="C314" s="12">
        <f t="shared" si="312"/>
        <v>9</v>
      </c>
      <c r="D314" s="41" t="str">
        <f t="shared" si="313"/>
        <v>m</v>
      </c>
      <c r="E314" s="41">
        <v>25.33</v>
      </c>
      <c r="F314" s="41">
        <v>2.93</v>
      </c>
      <c r="G314" s="41">
        <f t="shared" si="301"/>
        <v>28.259999999999998</v>
      </c>
      <c r="H314" s="13">
        <f t="shared" si="307"/>
        <v>227.96999999999997</v>
      </c>
      <c r="I314" s="13">
        <f t="shared" si="308"/>
        <v>26.37</v>
      </c>
      <c r="J314" s="14">
        <f t="shared" si="309"/>
        <v>254.33999999999997</v>
      </c>
      <c r="M314" s="54"/>
      <c r="N314" s="56"/>
      <c r="V314" s="74">
        <v>9</v>
      </c>
      <c r="W314" s="74" t="s">
        <v>76</v>
      </c>
      <c r="X314" s="13">
        <v>28.69</v>
      </c>
      <c r="Y314" s="13">
        <v>3.09</v>
      </c>
      <c r="Z314" s="13">
        <f t="shared" si="310"/>
        <v>31.78</v>
      </c>
      <c r="AB314" s="74">
        <v>9</v>
      </c>
      <c r="AC314" s="74" t="s">
        <v>76</v>
      </c>
      <c r="AD314" s="13">
        <v>36.96</v>
      </c>
      <c r="AE314" s="13">
        <v>3.98</v>
      </c>
      <c r="AF314" s="13">
        <f t="shared" si="311"/>
        <v>40.94</v>
      </c>
      <c r="AH314" s="89">
        <f t="shared" si="304"/>
        <v>-0.31466450216450226</v>
      </c>
      <c r="AI314" s="89">
        <f t="shared" si="305"/>
        <v>-0.26381909547738691</v>
      </c>
      <c r="AJ314" s="89">
        <f t="shared" si="306"/>
        <v>-0.30972154372252081</v>
      </c>
    </row>
    <row r="315" spans="1:36" x14ac:dyDescent="0.3">
      <c r="A315" s="17" t="s">
        <v>640</v>
      </c>
      <c r="B315" s="44" t="s">
        <v>641</v>
      </c>
      <c r="C315" s="12">
        <f t="shared" si="312"/>
        <v>31</v>
      </c>
      <c r="D315" s="41" t="str">
        <f t="shared" si="313"/>
        <v>m</v>
      </c>
      <c r="E315" s="41">
        <v>51.87</v>
      </c>
      <c r="F315" s="41">
        <v>4.1100000000000003</v>
      </c>
      <c r="G315" s="41">
        <f t="shared" si="301"/>
        <v>55.98</v>
      </c>
      <c r="H315" s="13">
        <f t="shared" si="307"/>
        <v>1607.97</v>
      </c>
      <c r="I315" s="13">
        <f t="shared" si="308"/>
        <v>127.41000000000001</v>
      </c>
      <c r="J315" s="14">
        <f t="shared" si="309"/>
        <v>1735.3799999999999</v>
      </c>
      <c r="M315" s="54"/>
      <c r="N315" s="56"/>
      <c r="V315" s="74">
        <v>31</v>
      </c>
      <c r="W315" s="74" t="s">
        <v>76</v>
      </c>
      <c r="X315" s="13">
        <v>61.75</v>
      </c>
      <c r="Y315" s="13">
        <v>4.32</v>
      </c>
      <c r="Z315" s="13">
        <f t="shared" si="310"/>
        <v>66.069999999999993</v>
      </c>
      <c r="AB315" s="74">
        <v>31</v>
      </c>
      <c r="AC315" s="74" t="s">
        <v>76</v>
      </c>
      <c r="AD315" s="13">
        <v>79.55</v>
      </c>
      <c r="AE315" s="13">
        <v>5.57</v>
      </c>
      <c r="AF315" s="13">
        <f t="shared" si="311"/>
        <v>85.12</v>
      </c>
      <c r="AH315" s="89">
        <f t="shared" si="304"/>
        <v>-0.34795725958516655</v>
      </c>
      <c r="AI315" s="89">
        <f t="shared" si="305"/>
        <v>-0.26211849192100534</v>
      </c>
      <c r="AJ315" s="89">
        <f t="shared" si="306"/>
        <v>-0.34234022556390986</v>
      </c>
    </row>
    <row r="316" spans="1:36" x14ac:dyDescent="0.3">
      <c r="A316" s="17" t="s">
        <v>642</v>
      </c>
      <c r="B316" s="44" t="s">
        <v>643</v>
      </c>
      <c r="C316" s="12">
        <f t="shared" si="312"/>
        <v>13</v>
      </c>
      <c r="D316" s="41" t="str">
        <f t="shared" si="313"/>
        <v>m</v>
      </c>
      <c r="E316" s="41">
        <v>103.82</v>
      </c>
      <c r="F316" s="41">
        <v>6.57</v>
      </c>
      <c r="G316" s="41">
        <f t="shared" si="301"/>
        <v>110.38999999999999</v>
      </c>
      <c r="H316" s="13">
        <f t="shared" si="307"/>
        <v>1349.6599999999999</v>
      </c>
      <c r="I316" s="13">
        <f t="shared" si="308"/>
        <v>85.41</v>
      </c>
      <c r="J316" s="14">
        <f t="shared" si="309"/>
        <v>1435.0699999999997</v>
      </c>
      <c r="M316" s="54"/>
      <c r="N316" s="56"/>
      <c r="V316" s="74">
        <v>13</v>
      </c>
      <c r="W316" s="74" t="s">
        <v>76</v>
      </c>
      <c r="X316" s="13">
        <v>123.59</v>
      </c>
      <c r="Y316" s="13">
        <v>6.91</v>
      </c>
      <c r="Z316" s="13">
        <f t="shared" si="310"/>
        <v>130.5</v>
      </c>
      <c r="AB316" s="74">
        <v>13</v>
      </c>
      <c r="AC316" s="74" t="s">
        <v>76</v>
      </c>
      <c r="AD316" s="13">
        <v>159.21</v>
      </c>
      <c r="AE316" s="13">
        <v>8.9</v>
      </c>
      <c r="AF316" s="13">
        <f t="shared" si="311"/>
        <v>168.11</v>
      </c>
      <c r="AH316" s="89">
        <f t="shared" si="304"/>
        <v>-0.34790528233151197</v>
      </c>
      <c r="AI316" s="89">
        <f t="shared" si="305"/>
        <v>-0.26179775280898876</v>
      </c>
      <c r="AJ316" s="89">
        <f t="shared" si="306"/>
        <v>-0.34334661828564639</v>
      </c>
    </row>
    <row r="317" spans="1:36" x14ac:dyDescent="0.3">
      <c r="A317" s="17" t="s">
        <v>644</v>
      </c>
      <c r="B317" s="44" t="s">
        <v>645</v>
      </c>
      <c r="C317" s="12">
        <f t="shared" si="312"/>
        <v>1</v>
      </c>
      <c r="D317" s="41" t="str">
        <f t="shared" si="313"/>
        <v>m</v>
      </c>
      <c r="E317" s="41">
        <v>178.21</v>
      </c>
      <c r="F317" s="41">
        <v>10.17</v>
      </c>
      <c r="G317" s="41">
        <f t="shared" ref="G317:G382" si="314">F317+E317</f>
        <v>188.38</v>
      </c>
      <c r="H317" s="13">
        <f t="shared" si="307"/>
        <v>178.21</v>
      </c>
      <c r="I317" s="13">
        <f t="shared" si="308"/>
        <v>10.17</v>
      </c>
      <c r="J317" s="14">
        <f t="shared" si="309"/>
        <v>188.38</v>
      </c>
      <c r="M317" s="54"/>
      <c r="N317" s="56"/>
      <c r="V317" s="74">
        <v>1</v>
      </c>
      <c r="W317" s="74" t="s">
        <v>76</v>
      </c>
      <c r="X317" s="13">
        <v>212.14</v>
      </c>
      <c r="Y317" s="13">
        <v>10.7</v>
      </c>
      <c r="Z317" s="13">
        <f t="shared" si="310"/>
        <v>222.83999999999997</v>
      </c>
      <c r="AB317" s="74">
        <v>1</v>
      </c>
      <c r="AC317" s="74" t="s">
        <v>76</v>
      </c>
      <c r="AD317" s="13">
        <v>273.27999999999997</v>
      </c>
      <c r="AE317" s="13">
        <v>13.78</v>
      </c>
      <c r="AF317" s="13">
        <f t="shared" si="311"/>
        <v>287.05999999999995</v>
      </c>
      <c r="AH317" s="89">
        <f t="shared" si="304"/>
        <v>-0.3478849531615924</v>
      </c>
      <c r="AI317" s="89">
        <f t="shared" si="305"/>
        <v>-0.26197387518142234</v>
      </c>
      <c r="AJ317" s="89">
        <f t="shared" si="306"/>
        <v>-0.34376088622587597</v>
      </c>
    </row>
    <row r="318" spans="1:36" x14ac:dyDescent="0.3">
      <c r="A318" s="17" t="s">
        <v>646</v>
      </c>
      <c r="B318" s="44" t="s">
        <v>647</v>
      </c>
      <c r="C318" s="12">
        <f t="shared" si="312"/>
        <v>243</v>
      </c>
      <c r="D318" s="41" t="str">
        <f t="shared" si="313"/>
        <v>UN</v>
      </c>
      <c r="E318" s="41">
        <v>1.54</v>
      </c>
      <c r="F318" s="41">
        <v>13</v>
      </c>
      <c r="G318" s="41">
        <f t="shared" si="314"/>
        <v>14.54</v>
      </c>
      <c r="H318" s="13">
        <f t="shared" si="307"/>
        <v>374.22</v>
      </c>
      <c r="I318" s="13">
        <f t="shared" si="308"/>
        <v>3159</v>
      </c>
      <c r="J318" s="14">
        <f t="shared" si="309"/>
        <v>3533.22</v>
      </c>
      <c r="M318" s="54"/>
      <c r="N318" s="56"/>
      <c r="V318" s="74">
        <v>243</v>
      </c>
      <c r="W318" s="74" t="s">
        <v>47</v>
      </c>
      <c r="X318" s="13">
        <v>1.98</v>
      </c>
      <c r="Y318" s="13">
        <v>13.58</v>
      </c>
      <c r="Z318" s="13">
        <f t="shared" si="310"/>
        <v>15.56</v>
      </c>
      <c r="AB318" s="74">
        <v>243</v>
      </c>
      <c r="AC318" s="74" t="s">
        <v>47</v>
      </c>
      <c r="AD318" s="13">
        <v>2.5499999999999998</v>
      </c>
      <c r="AE318" s="13">
        <v>17.489999999999998</v>
      </c>
      <c r="AF318" s="13">
        <f t="shared" si="311"/>
        <v>20.04</v>
      </c>
      <c r="AH318" s="89">
        <f t="shared" si="304"/>
        <v>-0.39607843137254894</v>
      </c>
      <c r="AI318" s="89">
        <f t="shared" si="305"/>
        <v>-0.25671812464265287</v>
      </c>
      <c r="AJ318" s="89">
        <f t="shared" si="306"/>
        <v>-0.27445109780439125</v>
      </c>
    </row>
    <row r="319" spans="1:36" x14ac:dyDescent="0.3">
      <c r="A319" s="17" t="s">
        <v>648</v>
      </c>
      <c r="B319" s="44" t="s">
        <v>649</v>
      </c>
      <c r="C319" s="12">
        <f t="shared" si="312"/>
        <v>108</v>
      </c>
      <c r="D319" s="41" t="str">
        <f t="shared" si="313"/>
        <v>UN</v>
      </c>
      <c r="E319" s="41">
        <v>234.42</v>
      </c>
      <c r="F319" s="41">
        <v>23.55</v>
      </c>
      <c r="G319" s="41">
        <f t="shared" si="314"/>
        <v>257.96999999999997</v>
      </c>
      <c r="H319" s="13">
        <f t="shared" si="307"/>
        <v>25317.359999999997</v>
      </c>
      <c r="I319" s="13">
        <f t="shared" si="308"/>
        <v>2543.4</v>
      </c>
      <c r="J319" s="14">
        <f t="shared" si="309"/>
        <v>27860.76</v>
      </c>
      <c r="M319" s="54"/>
      <c r="N319" s="56"/>
      <c r="V319" s="74">
        <v>108</v>
      </c>
      <c r="W319" s="74" t="s">
        <v>47</v>
      </c>
      <c r="X319" s="13">
        <v>250.33</v>
      </c>
      <c r="Y319" s="13">
        <v>24.77</v>
      </c>
      <c r="Z319" s="13">
        <f t="shared" si="310"/>
        <v>275.10000000000002</v>
      </c>
      <c r="AB319" s="74">
        <v>108</v>
      </c>
      <c r="AC319" s="74" t="s">
        <v>47</v>
      </c>
      <c r="AD319" s="13">
        <v>322.48</v>
      </c>
      <c r="AE319" s="13">
        <v>31.91</v>
      </c>
      <c r="AF319" s="13">
        <f t="shared" si="311"/>
        <v>354.39000000000004</v>
      </c>
      <c r="AH319" s="89">
        <f t="shared" si="304"/>
        <v>-0.27307119821384285</v>
      </c>
      <c r="AI319" s="89">
        <f t="shared" si="305"/>
        <v>-0.26198683798182387</v>
      </c>
      <c r="AJ319" s="89">
        <f t="shared" si="306"/>
        <v>-0.27207313976128011</v>
      </c>
    </row>
    <row r="320" spans="1:36" x14ac:dyDescent="0.3">
      <c r="A320" s="17" t="s">
        <v>650</v>
      </c>
      <c r="B320" s="44" t="s">
        <v>651</v>
      </c>
      <c r="C320" s="12">
        <f t="shared" si="312"/>
        <v>1</v>
      </c>
      <c r="D320" s="41" t="str">
        <f t="shared" si="313"/>
        <v>UN</v>
      </c>
      <c r="E320" s="41">
        <v>162.1</v>
      </c>
      <c r="F320" s="41">
        <v>23.55</v>
      </c>
      <c r="G320" s="41">
        <f t="shared" si="314"/>
        <v>185.65</v>
      </c>
      <c r="H320" s="13">
        <f t="shared" si="307"/>
        <v>162.1</v>
      </c>
      <c r="I320" s="13">
        <f t="shared" si="308"/>
        <v>23.55</v>
      </c>
      <c r="J320" s="14">
        <f t="shared" si="309"/>
        <v>185.65</v>
      </c>
      <c r="M320" s="54"/>
      <c r="N320" s="56"/>
      <c r="V320" s="74">
        <v>1</v>
      </c>
      <c r="W320" s="74" t="s">
        <v>47</v>
      </c>
      <c r="X320" s="13">
        <v>157.32</v>
      </c>
      <c r="Y320" s="13">
        <v>24.77</v>
      </c>
      <c r="Z320" s="13">
        <f t="shared" si="310"/>
        <v>182.09</v>
      </c>
      <c r="AB320" s="74">
        <v>1</v>
      </c>
      <c r="AC320" s="74" t="s">
        <v>47</v>
      </c>
      <c r="AD320" s="13">
        <v>202.66</v>
      </c>
      <c r="AE320" s="13">
        <v>31.91</v>
      </c>
      <c r="AF320" s="13">
        <f t="shared" si="311"/>
        <v>234.57</v>
      </c>
      <c r="AH320" s="89">
        <f t="shared" si="304"/>
        <v>-0.20013816243955396</v>
      </c>
      <c r="AI320" s="89">
        <f t="shared" si="305"/>
        <v>-0.26198683798182387</v>
      </c>
      <c r="AJ320" s="89">
        <f t="shared" si="306"/>
        <v>-0.20855181822057378</v>
      </c>
    </row>
    <row r="321" spans="1:36" x14ac:dyDescent="0.3">
      <c r="A321" s="17" t="s">
        <v>652</v>
      </c>
      <c r="B321" s="44" t="s">
        <v>653</v>
      </c>
      <c r="C321" s="12">
        <f t="shared" si="312"/>
        <v>1</v>
      </c>
      <c r="D321" s="41" t="str">
        <f t="shared" si="313"/>
        <v>UN</v>
      </c>
      <c r="E321" s="41">
        <v>23.64</v>
      </c>
      <c r="F321" s="41">
        <v>25.69</v>
      </c>
      <c r="G321" s="41">
        <f t="shared" si="314"/>
        <v>49.33</v>
      </c>
      <c r="H321" s="13">
        <f t="shared" si="307"/>
        <v>23.64</v>
      </c>
      <c r="I321" s="13">
        <f t="shared" si="308"/>
        <v>25.69</v>
      </c>
      <c r="J321" s="14">
        <f t="shared" si="309"/>
        <v>49.33</v>
      </c>
      <c r="M321" s="54"/>
      <c r="N321" s="56"/>
      <c r="V321" s="74">
        <v>1</v>
      </c>
      <c r="W321" s="74" t="s">
        <v>47</v>
      </c>
      <c r="X321" s="13">
        <v>22.94</v>
      </c>
      <c r="Y321" s="13">
        <v>27.02</v>
      </c>
      <c r="Z321" s="13">
        <f t="shared" si="310"/>
        <v>49.96</v>
      </c>
      <c r="AB321" s="74">
        <v>1</v>
      </c>
      <c r="AC321" s="74" t="s">
        <v>47</v>
      </c>
      <c r="AD321" s="13">
        <v>29.55</v>
      </c>
      <c r="AE321" s="13">
        <v>34.81</v>
      </c>
      <c r="AF321" s="13">
        <f t="shared" si="311"/>
        <v>64.36</v>
      </c>
      <c r="AH321" s="89">
        <f t="shared" si="304"/>
        <v>-0.19999999999999996</v>
      </c>
      <c r="AI321" s="89">
        <f t="shared" si="305"/>
        <v>-0.26199367997701806</v>
      </c>
      <c r="AJ321" s="89">
        <f t="shared" si="306"/>
        <v>-0.23353014294592922</v>
      </c>
    </row>
    <row r="322" spans="1:36" x14ac:dyDescent="0.3">
      <c r="A322" s="17" t="s">
        <v>654</v>
      </c>
      <c r="B322" s="44" t="s">
        <v>655</v>
      </c>
      <c r="C322" s="12">
        <f t="shared" si="312"/>
        <v>1</v>
      </c>
      <c r="D322" s="41" t="str">
        <f t="shared" si="313"/>
        <v>UN</v>
      </c>
      <c r="E322" s="41">
        <v>65.92</v>
      </c>
      <c r="F322" s="41">
        <v>25.69</v>
      </c>
      <c r="G322" s="41">
        <f t="shared" si="314"/>
        <v>91.61</v>
      </c>
      <c r="H322" s="13">
        <f t="shared" si="307"/>
        <v>65.92</v>
      </c>
      <c r="I322" s="13">
        <f t="shared" si="308"/>
        <v>25.69</v>
      </c>
      <c r="J322" s="14">
        <f t="shared" si="309"/>
        <v>91.61</v>
      </c>
      <c r="M322" s="54"/>
      <c r="N322" s="56"/>
      <c r="V322" s="74">
        <v>1</v>
      </c>
      <c r="W322" s="74" t="s">
        <v>47</v>
      </c>
      <c r="X322" s="13">
        <v>93.36</v>
      </c>
      <c r="Y322" s="13">
        <v>27.02</v>
      </c>
      <c r="Z322" s="13">
        <f t="shared" si="310"/>
        <v>120.38</v>
      </c>
      <c r="AB322" s="74">
        <v>1</v>
      </c>
      <c r="AC322" s="74" t="s">
        <v>47</v>
      </c>
      <c r="AD322" s="13">
        <v>120.27</v>
      </c>
      <c r="AE322" s="13">
        <v>34.81</v>
      </c>
      <c r="AF322" s="13">
        <f t="shared" si="311"/>
        <v>155.07999999999998</v>
      </c>
      <c r="AH322" s="89">
        <f t="shared" si="304"/>
        <v>-0.45189989190986946</v>
      </c>
      <c r="AI322" s="89">
        <f t="shared" si="305"/>
        <v>-0.26199367997701806</v>
      </c>
      <c r="AJ322" s="89">
        <f t="shared" si="306"/>
        <v>-0.40927263347949439</v>
      </c>
    </row>
    <row r="323" spans="1:36" x14ac:dyDescent="0.3">
      <c r="A323" s="17" t="s">
        <v>656</v>
      </c>
      <c r="B323" s="44" t="s">
        <v>657</v>
      </c>
      <c r="C323" s="12">
        <f t="shared" si="312"/>
        <v>1</v>
      </c>
      <c r="D323" s="41" t="str">
        <f t="shared" si="313"/>
        <v>UN</v>
      </c>
      <c r="E323" s="41">
        <v>182.57</v>
      </c>
      <c r="F323" s="41">
        <v>31.96</v>
      </c>
      <c r="G323" s="41">
        <f t="shared" si="314"/>
        <v>214.53</v>
      </c>
      <c r="H323" s="13">
        <f t="shared" si="307"/>
        <v>182.57</v>
      </c>
      <c r="I323" s="13">
        <f t="shared" si="308"/>
        <v>31.96</v>
      </c>
      <c r="J323" s="14">
        <f t="shared" si="309"/>
        <v>214.53</v>
      </c>
      <c r="M323" s="54"/>
      <c r="N323" s="56"/>
      <c r="V323" s="74">
        <v>1</v>
      </c>
      <c r="W323" s="74" t="s">
        <v>47</v>
      </c>
      <c r="X323" s="13">
        <v>221.56</v>
      </c>
      <c r="Y323" s="13">
        <v>33.54</v>
      </c>
      <c r="Z323" s="13">
        <f t="shared" si="310"/>
        <v>255.1</v>
      </c>
      <c r="AB323" s="74">
        <v>1</v>
      </c>
      <c r="AC323" s="74" t="s">
        <v>47</v>
      </c>
      <c r="AD323" s="13">
        <v>285.41000000000003</v>
      </c>
      <c r="AE323" s="13">
        <v>43.21</v>
      </c>
      <c r="AF323" s="13">
        <f t="shared" si="311"/>
        <v>328.62</v>
      </c>
      <c r="AH323" s="89">
        <f t="shared" si="304"/>
        <v>-0.36032374478819951</v>
      </c>
      <c r="AI323" s="89">
        <f t="shared" si="305"/>
        <v>-0.26035639898171714</v>
      </c>
      <c r="AJ323" s="89">
        <f t="shared" si="306"/>
        <v>-0.34717911265291224</v>
      </c>
    </row>
    <row r="324" spans="1:36" x14ac:dyDescent="0.3">
      <c r="A324" s="17" t="s">
        <v>658</v>
      </c>
      <c r="B324" s="44" t="s">
        <v>659</v>
      </c>
      <c r="C324" s="12">
        <f t="shared" si="312"/>
        <v>1</v>
      </c>
      <c r="D324" s="41" t="str">
        <f t="shared" si="313"/>
        <v>UN</v>
      </c>
      <c r="E324" s="41">
        <v>117.15</v>
      </c>
      <c r="F324" s="41">
        <v>5.67</v>
      </c>
      <c r="G324" s="41">
        <f t="shared" si="314"/>
        <v>122.82000000000001</v>
      </c>
      <c r="H324" s="13">
        <f t="shared" si="307"/>
        <v>117.15</v>
      </c>
      <c r="I324" s="13">
        <f t="shared" si="308"/>
        <v>5.67</v>
      </c>
      <c r="J324" s="14">
        <f t="shared" si="309"/>
        <v>122.82000000000001</v>
      </c>
      <c r="M324" s="54"/>
      <c r="N324" s="56"/>
      <c r="V324" s="74">
        <v>1</v>
      </c>
      <c r="W324" s="74" t="s">
        <v>47</v>
      </c>
      <c r="X324" s="13">
        <v>169.2</v>
      </c>
      <c r="Y324" s="13">
        <v>5.95</v>
      </c>
      <c r="Z324" s="13">
        <f t="shared" si="310"/>
        <v>175.14999999999998</v>
      </c>
      <c r="AB324" s="74">
        <v>1</v>
      </c>
      <c r="AC324" s="74" t="s">
        <v>47</v>
      </c>
      <c r="AD324" s="13">
        <v>217.96</v>
      </c>
      <c r="AE324" s="13">
        <v>7.66</v>
      </c>
      <c r="AF324" s="13">
        <f t="shared" si="311"/>
        <v>225.62</v>
      </c>
      <c r="AH324" s="89">
        <f t="shared" si="304"/>
        <v>-0.46251605799229212</v>
      </c>
      <c r="AI324" s="89">
        <f t="shared" si="305"/>
        <v>-0.25979112271540472</v>
      </c>
      <c r="AJ324" s="89">
        <f t="shared" si="306"/>
        <v>-0.45563336583636205</v>
      </c>
    </row>
    <row r="325" spans="1:36" x14ac:dyDescent="0.3">
      <c r="A325" s="17" t="s">
        <v>660</v>
      </c>
      <c r="B325" s="44" t="s">
        <v>661</v>
      </c>
      <c r="C325" s="12">
        <f t="shared" si="312"/>
        <v>1</v>
      </c>
      <c r="D325" s="41" t="str">
        <f t="shared" si="313"/>
        <v>UN</v>
      </c>
      <c r="E325" s="41">
        <v>239.81</v>
      </c>
      <c r="F325" s="41">
        <v>5.67</v>
      </c>
      <c r="G325" s="41">
        <f t="shared" si="314"/>
        <v>245.48</v>
      </c>
      <c r="H325" s="13">
        <f t="shared" si="307"/>
        <v>239.81</v>
      </c>
      <c r="I325" s="13">
        <f t="shared" si="308"/>
        <v>5.67</v>
      </c>
      <c r="J325" s="14">
        <f t="shared" si="309"/>
        <v>245.48</v>
      </c>
      <c r="M325" s="54"/>
      <c r="N325" s="56"/>
      <c r="V325" s="74">
        <v>1</v>
      </c>
      <c r="W325" s="74" t="s">
        <v>47</v>
      </c>
      <c r="X325" s="13">
        <v>233</v>
      </c>
      <c r="Y325" s="13">
        <v>5.95</v>
      </c>
      <c r="Z325" s="13">
        <f t="shared" si="310"/>
        <v>238.95</v>
      </c>
      <c r="AB325" s="74">
        <v>1</v>
      </c>
      <c r="AC325" s="74" t="s">
        <v>47</v>
      </c>
      <c r="AD325" s="13">
        <v>300.14999999999998</v>
      </c>
      <c r="AE325" s="13">
        <v>7.66</v>
      </c>
      <c r="AF325" s="13">
        <f t="shared" si="311"/>
        <v>307.81</v>
      </c>
      <c r="AH325" s="89">
        <f t="shared" si="304"/>
        <v>-0.20103281692487085</v>
      </c>
      <c r="AI325" s="89">
        <f t="shared" si="305"/>
        <v>-0.25979112271540472</v>
      </c>
      <c r="AJ325" s="89">
        <f t="shared" si="306"/>
        <v>-0.20249504564504084</v>
      </c>
    </row>
    <row r="326" spans="1:36" x14ac:dyDescent="0.3">
      <c r="A326" s="17" t="s">
        <v>662</v>
      </c>
      <c r="B326" s="44" t="s">
        <v>663</v>
      </c>
      <c r="C326" s="12">
        <f t="shared" si="312"/>
        <v>1</v>
      </c>
      <c r="D326" s="41" t="str">
        <f t="shared" si="313"/>
        <v>UN</v>
      </c>
      <c r="E326" s="41">
        <v>223.87</v>
      </c>
      <c r="F326" s="41">
        <v>5.67</v>
      </c>
      <c r="G326" s="41">
        <f t="shared" si="314"/>
        <v>229.54</v>
      </c>
      <c r="H326" s="13">
        <f t="shared" si="307"/>
        <v>223.87</v>
      </c>
      <c r="I326" s="13">
        <f t="shared" si="308"/>
        <v>5.67</v>
      </c>
      <c r="J326" s="14">
        <f t="shared" si="309"/>
        <v>229.54</v>
      </c>
      <c r="M326" s="54"/>
      <c r="N326" s="56"/>
      <c r="V326" s="74">
        <v>1</v>
      </c>
      <c r="W326" s="74" t="s">
        <v>47</v>
      </c>
      <c r="X326" s="13">
        <v>251.37</v>
      </c>
      <c r="Y326" s="13">
        <v>5.95</v>
      </c>
      <c r="Z326" s="13">
        <f t="shared" si="310"/>
        <v>257.32</v>
      </c>
      <c r="AB326" s="74">
        <v>1</v>
      </c>
      <c r="AC326" s="74" t="s">
        <v>47</v>
      </c>
      <c r="AD326" s="13">
        <v>323.81</v>
      </c>
      <c r="AE326" s="13">
        <v>7.66</v>
      </c>
      <c r="AF326" s="13">
        <f t="shared" si="311"/>
        <v>331.47</v>
      </c>
      <c r="AH326" s="89">
        <f t="shared" si="304"/>
        <v>-0.30863778141502729</v>
      </c>
      <c r="AI326" s="89">
        <f t="shared" si="305"/>
        <v>-0.25979112271540472</v>
      </c>
      <c r="AJ326" s="89">
        <f t="shared" si="306"/>
        <v>-0.30750897517120712</v>
      </c>
    </row>
    <row r="327" spans="1:36" x14ac:dyDescent="0.3">
      <c r="A327" s="17" t="s">
        <v>664</v>
      </c>
      <c r="B327" s="44" t="s">
        <v>665</v>
      </c>
      <c r="C327" s="12">
        <f t="shared" si="312"/>
        <v>1</v>
      </c>
      <c r="D327" s="41" t="str">
        <f t="shared" si="313"/>
        <v>m</v>
      </c>
      <c r="E327" s="41">
        <v>9.9700000000000006</v>
      </c>
      <c r="F327" s="41">
        <v>3.62</v>
      </c>
      <c r="G327" s="41">
        <f t="shared" si="314"/>
        <v>13.59</v>
      </c>
      <c r="H327" s="13">
        <f t="shared" si="307"/>
        <v>9.9700000000000006</v>
      </c>
      <c r="I327" s="13">
        <f t="shared" si="308"/>
        <v>3.62</v>
      </c>
      <c r="J327" s="14">
        <f t="shared" si="309"/>
        <v>13.59</v>
      </c>
      <c r="M327" s="54"/>
      <c r="N327" s="56"/>
      <c r="V327" s="74">
        <v>1</v>
      </c>
      <c r="W327" s="74" t="s">
        <v>76</v>
      </c>
      <c r="X327" s="13">
        <v>10.6</v>
      </c>
      <c r="Y327" s="13">
        <v>3.81</v>
      </c>
      <c r="Z327" s="13">
        <f t="shared" si="310"/>
        <v>14.41</v>
      </c>
      <c r="AB327" s="74">
        <v>1</v>
      </c>
      <c r="AC327" s="74" t="s">
        <v>76</v>
      </c>
      <c r="AD327" s="13">
        <v>13.65</v>
      </c>
      <c r="AE327" s="13">
        <v>4.91</v>
      </c>
      <c r="AF327" s="13">
        <f t="shared" si="311"/>
        <v>18.560000000000002</v>
      </c>
      <c r="AH327" s="89">
        <f t="shared" si="304"/>
        <v>-0.26959706959706953</v>
      </c>
      <c r="AI327" s="89">
        <f t="shared" si="305"/>
        <v>-0.2627291242362525</v>
      </c>
      <c r="AJ327" s="89">
        <f t="shared" si="306"/>
        <v>-0.26778017241379315</v>
      </c>
    </row>
    <row r="328" spans="1:36" x14ac:dyDescent="0.3">
      <c r="A328" s="17" t="s">
        <v>666</v>
      </c>
      <c r="B328" s="44" t="s">
        <v>667</v>
      </c>
      <c r="C328" s="12">
        <f t="shared" si="312"/>
        <v>1</v>
      </c>
      <c r="D328" s="41" t="str">
        <f t="shared" si="313"/>
        <v>m</v>
      </c>
      <c r="E328" s="41">
        <v>14.02</v>
      </c>
      <c r="F328" s="41">
        <v>3.62</v>
      </c>
      <c r="G328" s="41">
        <f t="shared" si="314"/>
        <v>17.64</v>
      </c>
      <c r="H328" s="13">
        <f t="shared" si="307"/>
        <v>14.02</v>
      </c>
      <c r="I328" s="13">
        <f t="shared" si="308"/>
        <v>3.62</v>
      </c>
      <c r="J328" s="14">
        <f t="shared" si="309"/>
        <v>17.64</v>
      </c>
      <c r="M328" s="54"/>
      <c r="N328" s="56"/>
      <c r="V328" s="74">
        <v>1</v>
      </c>
      <c r="W328" s="74" t="s">
        <v>76</v>
      </c>
      <c r="X328" s="13">
        <v>14.81</v>
      </c>
      <c r="Y328" s="13">
        <v>3.81</v>
      </c>
      <c r="Z328" s="13">
        <f t="shared" si="310"/>
        <v>18.62</v>
      </c>
      <c r="AB328" s="74">
        <v>1</v>
      </c>
      <c r="AC328" s="74" t="s">
        <v>76</v>
      </c>
      <c r="AD328" s="13">
        <v>19.079999999999998</v>
      </c>
      <c r="AE328" s="13">
        <v>4.91</v>
      </c>
      <c r="AF328" s="13">
        <f t="shared" si="311"/>
        <v>23.99</v>
      </c>
      <c r="AH328" s="89">
        <f t="shared" si="304"/>
        <v>-0.26519916142557642</v>
      </c>
      <c r="AI328" s="89">
        <f t="shared" si="305"/>
        <v>-0.2627291242362525</v>
      </c>
      <c r="AJ328" s="89">
        <f t="shared" si="306"/>
        <v>-0.26469362234264271</v>
      </c>
    </row>
    <row r="329" spans="1:36" x14ac:dyDescent="0.3">
      <c r="A329" s="17" t="s">
        <v>668</v>
      </c>
      <c r="B329" s="44" t="s">
        <v>669</v>
      </c>
      <c r="C329" s="12">
        <f t="shared" si="312"/>
        <v>12</v>
      </c>
      <c r="D329" s="41" t="str">
        <f t="shared" si="313"/>
        <v>UN</v>
      </c>
      <c r="E329" s="41">
        <v>412.3</v>
      </c>
      <c r="F329" s="41">
        <v>23.55</v>
      </c>
      <c r="G329" s="41">
        <f t="shared" si="314"/>
        <v>435.85</v>
      </c>
      <c r="H329" s="13">
        <f t="shared" si="307"/>
        <v>4947.6000000000004</v>
      </c>
      <c r="I329" s="13">
        <f t="shared" si="308"/>
        <v>282.60000000000002</v>
      </c>
      <c r="J329" s="14">
        <f t="shared" si="309"/>
        <v>5230.2000000000007</v>
      </c>
      <c r="M329" s="54"/>
      <c r="N329" s="56"/>
      <c r="V329" s="74">
        <v>12</v>
      </c>
      <c r="W329" s="74" t="s">
        <v>47</v>
      </c>
      <c r="X329" s="13">
        <v>464.58</v>
      </c>
      <c r="Y329" s="13">
        <v>24.77</v>
      </c>
      <c r="Z329" s="13">
        <f t="shared" si="310"/>
        <v>489.34999999999997</v>
      </c>
      <c r="AB329" s="74">
        <v>12</v>
      </c>
      <c r="AC329" s="74" t="s">
        <v>47</v>
      </c>
      <c r="AD329" s="13">
        <v>598.47</v>
      </c>
      <c r="AE329" s="13">
        <v>31.91</v>
      </c>
      <c r="AF329" s="13">
        <f t="shared" si="311"/>
        <v>630.38</v>
      </c>
      <c r="AH329" s="89">
        <f t="shared" si="304"/>
        <v>-0.31107657860878579</v>
      </c>
      <c r="AI329" s="89">
        <f t="shared" si="305"/>
        <v>-0.26198683798182387</v>
      </c>
      <c r="AJ329" s="89">
        <f t="shared" si="306"/>
        <v>-0.30859164313588627</v>
      </c>
    </row>
    <row r="330" spans="1:36" x14ac:dyDescent="0.3">
      <c r="A330" s="17" t="s">
        <v>670</v>
      </c>
      <c r="B330" s="44" t="s">
        <v>671</v>
      </c>
      <c r="C330" s="12">
        <f t="shared" si="312"/>
        <v>1</v>
      </c>
      <c r="D330" s="41" t="str">
        <f t="shared" si="313"/>
        <v>UN</v>
      </c>
      <c r="E330" s="41">
        <v>27.62</v>
      </c>
      <c r="F330" s="41">
        <v>7.8</v>
      </c>
      <c r="G330" s="41">
        <f t="shared" si="314"/>
        <v>35.42</v>
      </c>
      <c r="H330" s="13">
        <f t="shared" si="307"/>
        <v>27.62</v>
      </c>
      <c r="I330" s="13">
        <f t="shared" si="308"/>
        <v>7.8</v>
      </c>
      <c r="J330" s="14">
        <f t="shared" si="309"/>
        <v>35.42</v>
      </c>
      <c r="M330" s="54"/>
      <c r="N330" s="56"/>
      <c r="V330" s="74">
        <v>1</v>
      </c>
      <c r="W330" s="74" t="s">
        <v>47</v>
      </c>
      <c r="X330" s="13">
        <v>39.9</v>
      </c>
      <c r="Y330" s="13">
        <v>8.15</v>
      </c>
      <c r="Z330" s="13">
        <f t="shared" si="310"/>
        <v>48.05</v>
      </c>
      <c r="AB330" s="74">
        <v>1</v>
      </c>
      <c r="AC330" s="74" t="s">
        <v>47</v>
      </c>
      <c r="AD330" s="13">
        <v>51.4</v>
      </c>
      <c r="AE330" s="13">
        <v>10.5</v>
      </c>
      <c r="AF330" s="13">
        <f t="shared" si="311"/>
        <v>61.9</v>
      </c>
      <c r="AH330" s="89">
        <f t="shared" si="304"/>
        <v>-0.46264591439688707</v>
      </c>
      <c r="AI330" s="89">
        <f t="shared" si="305"/>
        <v>-0.25714285714285712</v>
      </c>
      <c r="AJ330" s="89">
        <f t="shared" si="306"/>
        <v>-0.42778675282714052</v>
      </c>
    </row>
    <row r="331" spans="1:36" x14ac:dyDescent="0.3">
      <c r="A331" s="17" t="s">
        <v>672</v>
      </c>
      <c r="B331" s="44" t="s">
        <v>673</v>
      </c>
      <c r="C331" s="12">
        <f t="shared" si="312"/>
        <v>1</v>
      </c>
      <c r="D331" s="41" t="str">
        <f t="shared" si="313"/>
        <v>UN</v>
      </c>
      <c r="E331" s="41">
        <v>198.86</v>
      </c>
      <c r="F331" s="41">
        <v>31.96</v>
      </c>
      <c r="G331" s="41">
        <f t="shared" si="314"/>
        <v>230.82000000000002</v>
      </c>
      <c r="H331" s="13">
        <f t="shared" si="307"/>
        <v>198.86</v>
      </c>
      <c r="I331" s="13">
        <f t="shared" si="308"/>
        <v>31.96</v>
      </c>
      <c r="J331" s="14">
        <f t="shared" si="309"/>
        <v>230.82000000000002</v>
      </c>
      <c r="M331" s="54"/>
      <c r="N331" s="56"/>
      <c r="V331" s="74">
        <v>1</v>
      </c>
      <c r="W331" s="74" t="s">
        <v>47</v>
      </c>
      <c r="X331" s="13">
        <v>223.57</v>
      </c>
      <c r="Y331" s="13">
        <v>33.54</v>
      </c>
      <c r="Z331" s="13">
        <f t="shared" si="310"/>
        <v>257.11</v>
      </c>
      <c r="AB331" s="74">
        <v>1</v>
      </c>
      <c r="AC331" s="74" t="s">
        <v>47</v>
      </c>
      <c r="AD331" s="13">
        <v>288</v>
      </c>
      <c r="AE331" s="13">
        <v>43.21</v>
      </c>
      <c r="AF331" s="13">
        <f t="shared" si="311"/>
        <v>331.21</v>
      </c>
      <c r="AH331" s="89">
        <f t="shared" si="304"/>
        <v>-0.30951388888888887</v>
      </c>
      <c r="AI331" s="89">
        <f t="shared" si="305"/>
        <v>-0.26035639898171714</v>
      </c>
      <c r="AJ331" s="89">
        <f t="shared" si="306"/>
        <v>-0.30310075178889517</v>
      </c>
    </row>
    <row r="332" spans="1:36" x14ac:dyDescent="0.3">
      <c r="A332" s="17" t="s">
        <v>674</v>
      </c>
      <c r="B332" s="44" t="s">
        <v>675</v>
      </c>
      <c r="C332" s="12">
        <f t="shared" si="312"/>
        <v>18</v>
      </c>
      <c r="D332" s="41" t="str">
        <f t="shared" si="313"/>
        <v>UN</v>
      </c>
      <c r="E332" s="41">
        <v>781.83</v>
      </c>
      <c r="F332" s="41">
        <v>265.58</v>
      </c>
      <c r="G332" s="41">
        <f t="shared" si="314"/>
        <v>1047.4100000000001</v>
      </c>
      <c r="H332" s="13">
        <f t="shared" si="307"/>
        <v>14072.94</v>
      </c>
      <c r="I332" s="13">
        <f t="shared" si="308"/>
        <v>4780.4399999999996</v>
      </c>
      <c r="J332" s="14">
        <f t="shared" si="309"/>
        <v>18853.38</v>
      </c>
      <c r="M332" s="54"/>
      <c r="N332" s="56"/>
      <c r="V332" s="74">
        <v>18</v>
      </c>
      <c r="W332" s="74" t="s">
        <v>47</v>
      </c>
      <c r="X332" s="13">
        <v>810.03</v>
      </c>
      <c r="Y332" s="13">
        <v>279.27999999999997</v>
      </c>
      <c r="Z332" s="13">
        <f t="shared" si="310"/>
        <v>1089.31</v>
      </c>
      <c r="AB332" s="74">
        <v>18</v>
      </c>
      <c r="AC332" s="74" t="s">
        <v>47</v>
      </c>
      <c r="AD332" s="13">
        <v>1043.48</v>
      </c>
      <c r="AE332" s="13">
        <v>359.77</v>
      </c>
      <c r="AF332" s="13">
        <f t="shared" si="311"/>
        <v>1403.25</v>
      </c>
      <c r="AH332" s="89">
        <f t="shared" si="304"/>
        <v>-0.25074749875416869</v>
      </c>
      <c r="AI332" s="89">
        <f t="shared" si="305"/>
        <v>-0.26180615393167861</v>
      </c>
      <c r="AJ332" s="89">
        <f t="shared" si="306"/>
        <v>-0.25358275432032773</v>
      </c>
    </row>
    <row r="333" spans="1:36" x14ac:dyDescent="0.3">
      <c r="A333" s="17" t="s">
        <v>676</v>
      </c>
      <c r="B333" s="44" t="s">
        <v>677</v>
      </c>
      <c r="C333" s="12">
        <f t="shared" si="312"/>
        <v>1</v>
      </c>
      <c r="D333" s="41" t="str">
        <f t="shared" si="313"/>
        <v>UN</v>
      </c>
      <c r="E333" s="41">
        <v>67.91</v>
      </c>
      <c r="F333" s="41">
        <v>7.23</v>
      </c>
      <c r="G333" s="41">
        <f t="shared" si="314"/>
        <v>75.14</v>
      </c>
      <c r="H333" s="13">
        <f t="shared" si="307"/>
        <v>67.91</v>
      </c>
      <c r="I333" s="13">
        <f t="shared" si="308"/>
        <v>7.23</v>
      </c>
      <c r="J333" s="14">
        <f t="shared" si="309"/>
        <v>75.14</v>
      </c>
      <c r="M333" s="54"/>
      <c r="N333" s="56"/>
      <c r="V333" s="74">
        <v>1</v>
      </c>
      <c r="W333" s="74" t="s">
        <v>47</v>
      </c>
      <c r="X333" s="13">
        <v>76.69</v>
      </c>
      <c r="Y333" s="13">
        <v>7.61</v>
      </c>
      <c r="Z333" s="13">
        <f t="shared" si="310"/>
        <v>84.3</v>
      </c>
      <c r="AB333" s="74">
        <v>1</v>
      </c>
      <c r="AC333" s="74" t="s">
        <v>47</v>
      </c>
      <c r="AD333" s="13">
        <v>98.79</v>
      </c>
      <c r="AE333" s="13">
        <v>9.8000000000000007</v>
      </c>
      <c r="AF333" s="13">
        <f t="shared" si="311"/>
        <v>108.59</v>
      </c>
      <c r="AH333" s="89">
        <f t="shared" si="304"/>
        <v>-0.31258224516651489</v>
      </c>
      <c r="AI333" s="89">
        <f t="shared" si="305"/>
        <v>-0.26224489795918371</v>
      </c>
      <c r="AJ333" s="89">
        <f t="shared" si="306"/>
        <v>-0.30803941431071002</v>
      </c>
    </row>
    <row r="334" spans="1:36" x14ac:dyDescent="0.3">
      <c r="A334" s="17" t="s">
        <v>678</v>
      </c>
      <c r="B334" s="44" t="s">
        <v>679</v>
      </c>
      <c r="C334" s="12">
        <f t="shared" si="312"/>
        <v>1</v>
      </c>
      <c r="D334" s="41" t="str">
        <f t="shared" si="313"/>
        <v>UN</v>
      </c>
      <c r="E334" s="41">
        <v>47.05</v>
      </c>
      <c r="F334" s="41">
        <v>3.62</v>
      </c>
      <c r="G334" s="41">
        <f t="shared" si="314"/>
        <v>50.669999999999995</v>
      </c>
      <c r="H334" s="13">
        <f t="shared" si="307"/>
        <v>47.05</v>
      </c>
      <c r="I334" s="13">
        <f t="shared" si="308"/>
        <v>3.62</v>
      </c>
      <c r="J334" s="14">
        <f t="shared" si="309"/>
        <v>50.669999999999995</v>
      </c>
      <c r="M334" s="54"/>
      <c r="N334" s="56"/>
      <c r="V334" s="74">
        <v>1</v>
      </c>
      <c r="W334" s="74" t="s">
        <v>47</v>
      </c>
      <c r="X334" s="13">
        <v>52.85</v>
      </c>
      <c r="Y334" s="13">
        <v>3.81</v>
      </c>
      <c r="Z334" s="13">
        <f t="shared" si="310"/>
        <v>56.660000000000004</v>
      </c>
      <c r="AB334" s="74">
        <v>1</v>
      </c>
      <c r="AC334" s="74" t="s">
        <v>47</v>
      </c>
      <c r="AD334" s="13">
        <v>68.08</v>
      </c>
      <c r="AE334" s="13">
        <v>4.91</v>
      </c>
      <c r="AF334" s="13">
        <f t="shared" si="311"/>
        <v>72.989999999999995</v>
      </c>
      <c r="AH334" s="89">
        <f t="shared" si="304"/>
        <v>-0.30890129259694477</v>
      </c>
      <c r="AI334" s="89">
        <f t="shared" si="305"/>
        <v>-0.2627291242362525</v>
      </c>
      <c r="AJ334" s="89">
        <f t="shared" si="306"/>
        <v>-0.30579531442663377</v>
      </c>
    </row>
    <row r="335" spans="1:36" x14ac:dyDescent="0.3">
      <c r="A335" s="17" t="s">
        <v>680</v>
      </c>
      <c r="B335" s="44" t="s">
        <v>681</v>
      </c>
      <c r="C335" s="12">
        <f t="shared" si="312"/>
        <v>45</v>
      </c>
      <c r="D335" s="41" t="str">
        <f t="shared" si="313"/>
        <v>UN</v>
      </c>
      <c r="E335" s="41">
        <v>36.61</v>
      </c>
      <c r="F335" s="41">
        <v>1.81</v>
      </c>
      <c r="G335" s="41">
        <f t="shared" si="314"/>
        <v>38.42</v>
      </c>
      <c r="H335" s="13">
        <f t="shared" si="307"/>
        <v>1647.45</v>
      </c>
      <c r="I335" s="13">
        <f t="shared" si="308"/>
        <v>81.45</v>
      </c>
      <c r="J335" s="14">
        <f t="shared" si="309"/>
        <v>1728.9</v>
      </c>
      <c r="M335" s="54"/>
      <c r="N335" s="56"/>
      <c r="V335" s="74">
        <v>45</v>
      </c>
      <c r="W335" s="74" t="s">
        <v>47</v>
      </c>
      <c r="X335" s="13">
        <v>40.94</v>
      </c>
      <c r="Y335" s="13">
        <v>1.9</v>
      </c>
      <c r="Z335" s="13">
        <f t="shared" si="310"/>
        <v>42.839999999999996</v>
      </c>
      <c r="AB335" s="74">
        <v>45</v>
      </c>
      <c r="AC335" s="74" t="s">
        <v>47</v>
      </c>
      <c r="AD335" s="13">
        <v>52.74</v>
      </c>
      <c r="AE335" s="13">
        <v>2.4500000000000002</v>
      </c>
      <c r="AF335" s="13">
        <f t="shared" si="311"/>
        <v>55.190000000000005</v>
      </c>
      <c r="AH335" s="89">
        <f t="shared" si="304"/>
        <v>-0.30583996966249527</v>
      </c>
      <c r="AI335" s="89">
        <f t="shared" si="305"/>
        <v>-0.26122448979591839</v>
      </c>
      <c r="AJ335" s="89">
        <f t="shared" si="306"/>
        <v>-0.30385939481790181</v>
      </c>
    </row>
    <row r="336" spans="1:36" x14ac:dyDescent="0.3">
      <c r="A336" s="17" t="s">
        <v>682</v>
      </c>
      <c r="B336" s="44" t="s">
        <v>683</v>
      </c>
      <c r="C336" s="12">
        <f t="shared" si="312"/>
        <v>51</v>
      </c>
      <c r="D336" s="41" t="str">
        <f t="shared" si="313"/>
        <v>UN</v>
      </c>
      <c r="E336" s="41">
        <v>32.44</v>
      </c>
      <c r="F336" s="41">
        <v>1.08</v>
      </c>
      <c r="G336" s="41">
        <f t="shared" si="314"/>
        <v>33.519999999999996</v>
      </c>
      <c r="H336" s="13">
        <f t="shared" si="307"/>
        <v>1654.4399999999998</v>
      </c>
      <c r="I336" s="13">
        <f t="shared" si="308"/>
        <v>55.080000000000005</v>
      </c>
      <c r="J336" s="14">
        <f t="shared" si="309"/>
        <v>1709.5199999999998</v>
      </c>
      <c r="M336" s="54"/>
      <c r="N336" s="56"/>
      <c r="V336" s="74">
        <v>51</v>
      </c>
      <c r="W336" s="74" t="s">
        <v>47</v>
      </c>
      <c r="X336" s="13">
        <v>36.17</v>
      </c>
      <c r="Y336" s="13">
        <v>1.1399999999999999</v>
      </c>
      <c r="Z336" s="13">
        <f t="shared" si="310"/>
        <v>37.31</v>
      </c>
      <c r="AB336" s="74">
        <v>51</v>
      </c>
      <c r="AC336" s="74" t="s">
        <v>47</v>
      </c>
      <c r="AD336" s="13">
        <v>46.59</v>
      </c>
      <c r="AE336" s="13">
        <v>1.47</v>
      </c>
      <c r="AF336" s="13">
        <f t="shared" si="311"/>
        <v>48.06</v>
      </c>
      <c r="AH336" s="89">
        <f t="shared" si="304"/>
        <v>-0.30371324318523296</v>
      </c>
      <c r="AI336" s="89">
        <f t="shared" si="305"/>
        <v>-0.26530612244897955</v>
      </c>
      <c r="AJ336" s="89">
        <f t="shared" si="306"/>
        <v>-0.30253849354972961</v>
      </c>
    </row>
    <row r="337" spans="1:36" x14ac:dyDescent="0.3">
      <c r="A337" s="17" t="s">
        <v>684</v>
      </c>
      <c r="B337" s="44" t="s">
        <v>685</v>
      </c>
      <c r="C337" s="12">
        <f t="shared" si="312"/>
        <v>441</v>
      </c>
      <c r="D337" s="41" t="str">
        <f t="shared" si="313"/>
        <v>UN</v>
      </c>
      <c r="E337" s="41">
        <v>9.5500000000000007</v>
      </c>
      <c r="F337" s="41">
        <v>42.82</v>
      </c>
      <c r="G337" s="41">
        <f t="shared" si="314"/>
        <v>52.370000000000005</v>
      </c>
      <c r="H337" s="13">
        <f t="shared" si="307"/>
        <v>4211.55</v>
      </c>
      <c r="I337" s="13">
        <f t="shared" si="308"/>
        <v>18883.62</v>
      </c>
      <c r="J337" s="14">
        <f t="shared" si="309"/>
        <v>23095.170000000002</v>
      </c>
      <c r="M337" s="54"/>
      <c r="N337" s="56"/>
      <c r="V337" s="74">
        <v>441</v>
      </c>
      <c r="W337" s="74" t="s">
        <v>47</v>
      </c>
      <c r="X337" s="13">
        <v>10.77</v>
      </c>
      <c r="Y337" s="13">
        <v>45.04</v>
      </c>
      <c r="Z337" s="13">
        <f t="shared" si="310"/>
        <v>55.81</v>
      </c>
      <c r="AB337" s="74">
        <v>441</v>
      </c>
      <c r="AC337" s="74" t="s">
        <v>47</v>
      </c>
      <c r="AD337" s="13">
        <v>13.87</v>
      </c>
      <c r="AE337" s="13">
        <v>58.02</v>
      </c>
      <c r="AF337" s="13">
        <f t="shared" si="311"/>
        <v>71.89</v>
      </c>
      <c r="AH337" s="89">
        <f t="shared" si="304"/>
        <v>-0.31146359048305683</v>
      </c>
      <c r="AI337" s="89">
        <f t="shared" si="305"/>
        <v>-0.26197862805928995</v>
      </c>
      <c r="AJ337" s="89">
        <f t="shared" si="306"/>
        <v>-0.27152594241201833</v>
      </c>
    </row>
    <row r="338" spans="1:36" x14ac:dyDescent="0.3">
      <c r="A338" s="17" t="s">
        <v>686</v>
      </c>
      <c r="B338" s="44" t="s">
        <v>687</v>
      </c>
      <c r="C338" s="12">
        <f t="shared" si="312"/>
        <v>1</v>
      </c>
      <c r="D338" s="41" t="str">
        <f t="shared" si="313"/>
        <v>m</v>
      </c>
      <c r="E338" s="41">
        <v>22.79</v>
      </c>
      <c r="F338" s="41">
        <v>3.62</v>
      </c>
      <c r="G338" s="41">
        <f t="shared" si="314"/>
        <v>26.41</v>
      </c>
      <c r="H338" s="13">
        <f t="shared" si="307"/>
        <v>22.79</v>
      </c>
      <c r="I338" s="13">
        <f t="shared" si="308"/>
        <v>3.62</v>
      </c>
      <c r="J338" s="14">
        <f t="shared" si="309"/>
        <v>26.41</v>
      </c>
      <c r="M338" s="54"/>
      <c r="N338" s="56"/>
      <c r="V338" s="74">
        <v>1</v>
      </c>
      <c r="W338" s="74" t="s">
        <v>76</v>
      </c>
      <c r="X338" s="13">
        <v>23.89</v>
      </c>
      <c r="Y338" s="13">
        <v>3.81</v>
      </c>
      <c r="Z338" s="13">
        <f t="shared" ref="Z338:Z371" si="315">SUM(X338:Y338)</f>
        <v>27.7</v>
      </c>
      <c r="AB338" s="74">
        <v>1</v>
      </c>
      <c r="AC338" s="74" t="s">
        <v>76</v>
      </c>
      <c r="AD338" s="13">
        <v>30.78</v>
      </c>
      <c r="AE338" s="13">
        <v>4.91</v>
      </c>
      <c r="AF338" s="13">
        <f t="shared" ref="AF338:AF362" si="316">SUM(AD338:AE338)</f>
        <v>35.69</v>
      </c>
      <c r="AH338" s="89">
        <f t="shared" si="304"/>
        <v>-0.25958414554905784</v>
      </c>
      <c r="AI338" s="89">
        <f t="shared" si="305"/>
        <v>-0.2627291242362525</v>
      </c>
      <c r="AJ338" s="89">
        <f t="shared" si="306"/>
        <v>-0.26001681143177358</v>
      </c>
    </row>
    <row r="339" spans="1:36" x14ac:dyDescent="0.3">
      <c r="A339" s="17" t="s">
        <v>688</v>
      </c>
      <c r="B339" s="44" t="s">
        <v>689</v>
      </c>
      <c r="C339" s="12">
        <f t="shared" si="312"/>
        <v>147</v>
      </c>
      <c r="D339" s="41" t="str">
        <f t="shared" si="313"/>
        <v>UN</v>
      </c>
      <c r="E339" s="41">
        <v>291.49</v>
      </c>
      <c r="F339" s="41">
        <v>23.55</v>
      </c>
      <c r="G339" s="41">
        <f t="shared" si="314"/>
        <v>315.04000000000002</v>
      </c>
      <c r="H339" s="13">
        <f t="shared" si="307"/>
        <v>42849.03</v>
      </c>
      <c r="I339" s="13">
        <f t="shared" si="308"/>
        <v>3461.85</v>
      </c>
      <c r="J339" s="14">
        <f t="shared" si="309"/>
        <v>46310.880000000005</v>
      </c>
      <c r="M339" s="54"/>
      <c r="N339" s="56"/>
      <c r="V339" s="74">
        <v>147</v>
      </c>
      <c r="W339" s="74" t="s">
        <v>47</v>
      </c>
      <c r="X339" s="13">
        <v>307.52</v>
      </c>
      <c r="Y339" s="13">
        <v>24.77</v>
      </c>
      <c r="Z339" s="13">
        <f t="shared" si="315"/>
        <v>332.28999999999996</v>
      </c>
      <c r="AB339" s="74">
        <v>147</v>
      </c>
      <c r="AC339" s="74" t="s">
        <v>47</v>
      </c>
      <c r="AD339" s="13">
        <v>396.15</v>
      </c>
      <c r="AE339" s="13">
        <v>31.91</v>
      </c>
      <c r="AF339" s="13">
        <f t="shared" si="316"/>
        <v>428.06</v>
      </c>
      <c r="AH339" s="89">
        <f t="shared" si="304"/>
        <v>-0.26419285624132272</v>
      </c>
      <c r="AI339" s="89">
        <f t="shared" si="305"/>
        <v>-0.26198683798182387</v>
      </c>
      <c r="AJ339" s="89">
        <f t="shared" si="306"/>
        <v>-0.26402840723263088</v>
      </c>
    </row>
    <row r="340" spans="1:36" x14ac:dyDescent="0.3">
      <c r="A340" s="17" t="s">
        <v>690</v>
      </c>
      <c r="B340" s="44" t="s">
        <v>691</v>
      </c>
      <c r="C340" s="12">
        <f t="shared" si="312"/>
        <v>1</v>
      </c>
      <c r="D340" s="41" t="str">
        <f t="shared" si="313"/>
        <v>UN</v>
      </c>
      <c r="E340" s="41">
        <v>41.19</v>
      </c>
      <c r="F340" s="41">
        <v>1.81</v>
      </c>
      <c r="G340" s="41">
        <f t="shared" si="314"/>
        <v>43</v>
      </c>
      <c r="H340" s="13">
        <f t="shared" si="307"/>
        <v>41.19</v>
      </c>
      <c r="I340" s="13">
        <f t="shared" si="308"/>
        <v>1.81</v>
      </c>
      <c r="J340" s="14">
        <f t="shared" si="309"/>
        <v>43</v>
      </c>
      <c r="M340" s="54"/>
      <c r="N340" s="56"/>
      <c r="V340" s="74">
        <v>1</v>
      </c>
      <c r="W340" s="74" t="s">
        <v>47</v>
      </c>
      <c r="X340" s="13">
        <v>46.16</v>
      </c>
      <c r="Y340" s="13">
        <v>1.9</v>
      </c>
      <c r="Z340" s="13">
        <f t="shared" si="315"/>
        <v>48.059999999999995</v>
      </c>
      <c r="AB340" s="74">
        <v>1</v>
      </c>
      <c r="AC340" s="74" t="s">
        <v>47</v>
      </c>
      <c r="AD340" s="13">
        <v>59.46</v>
      </c>
      <c r="AE340" s="13">
        <v>2.4500000000000002</v>
      </c>
      <c r="AF340" s="13">
        <f t="shared" si="316"/>
        <v>61.910000000000004</v>
      </c>
      <c r="AH340" s="89">
        <f t="shared" si="304"/>
        <v>-0.30726538849646823</v>
      </c>
      <c r="AI340" s="89">
        <f t="shared" si="305"/>
        <v>-0.26122448979591839</v>
      </c>
      <c r="AJ340" s="89">
        <f t="shared" si="306"/>
        <v>-0.30544338555968342</v>
      </c>
    </row>
    <row r="341" spans="1:36" x14ac:dyDescent="0.3">
      <c r="A341" s="17" t="s">
        <v>692</v>
      </c>
      <c r="B341" s="44" t="s">
        <v>693</v>
      </c>
      <c r="C341" s="12">
        <f t="shared" si="312"/>
        <v>69</v>
      </c>
      <c r="D341" s="41" t="str">
        <f t="shared" si="313"/>
        <v>UN</v>
      </c>
      <c r="E341" s="41">
        <v>45.69</v>
      </c>
      <c r="F341" s="41">
        <v>23.55</v>
      </c>
      <c r="G341" s="41">
        <f t="shared" si="314"/>
        <v>69.239999999999995</v>
      </c>
      <c r="H341" s="13">
        <f t="shared" si="307"/>
        <v>3152.6099999999997</v>
      </c>
      <c r="I341" s="13">
        <f t="shared" si="308"/>
        <v>1624.95</v>
      </c>
      <c r="J341" s="14">
        <f t="shared" si="309"/>
        <v>4777.5599999999995</v>
      </c>
      <c r="M341" s="54"/>
      <c r="N341" s="56"/>
      <c r="V341" s="74">
        <v>69</v>
      </c>
      <c r="W341" s="74" t="s">
        <v>47</v>
      </c>
      <c r="X341" s="13">
        <v>65.67</v>
      </c>
      <c r="Y341" s="13">
        <v>24.77</v>
      </c>
      <c r="Z341" s="13">
        <f t="shared" si="315"/>
        <v>90.44</v>
      </c>
      <c r="AB341" s="74">
        <v>69</v>
      </c>
      <c r="AC341" s="74" t="s">
        <v>47</v>
      </c>
      <c r="AD341" s="13">
        <v>84.6</v>
      </c>
      <c r="AE341" s="13">
        <v>31.91</v>
      </c>
      <c r="AF341" s="13">
        <f t="shared" si="316"/>
        <v>116.50999999999999</v>
      </c>
      <c r="AH341" s="89">
        <f t="shared" ref="AH341:AH401" si="317">IF(E341=0,0,(E341/AD341)-1)</f>
        <v>-0.45992907801418437</v>
      </c>
      <c r="AI341" s="89">
        <f t="shared" si="305"/>
        <v>-0.26198683798182387</v>
      </c>
      <c r="AJ341" s="89">
        <f t="shared" si="306"/>
        <v>-0.40571624753240065</v>
      </c>
    </row>
    <row r="342" spans="1:36" x14ac:dyDescent="0.3">
      <c r="A342" s="17" t="s">
        <v>694</v>
      </c>
      <c r="B342" s="44" t="s">
        <v>695</v>
      </c>
      <c r="C342" s="12">
        <f t="shared" si="312"/>
        <v>153</v>
      </c>
      <c r="D342" s="41" t="str">
        <f t="shared" si="313"/>
        <v>UN</v>
      </c>
      <c r="E342" s="41">
        <v>63.07</v>
      </c>
      <c r="F342" s="41">
        <v>23.55</v>
      </c>
      <c r="G342" s="41">
        <f t="shared" si="314"/>
        <v>86.62</v>
      </c>
      <c r="H342" s="13">
        <f t="shared" si="307"/>
        <v>9649.7100000000009</v>
      </c>
      <c r="I342" s="13">
        <f t="shared" si="308"/>
        <v>3603.15</v>
      </c>
      <c r="J342" s="14">
        <f t="shared" si="309"/>
        <v>13252.86</v>
      </c>
      <c r="M342" s="54"/>
      <c r="N342" s="56"/>
      <c r="V342" s="74">
        <v>153</v>
      </c>
      <c r="W342" s="74" t="s">
        <v>47</v>
      </c>
      <c r="X342" s="13">
        <v>71.260000000000005</v>
      </c>
      <c r="Y342" s="13">
        <v>24.77</v>
      </c>
      <c r="Z342" s="13">
        <f t="shared" si="315"/>
        <v>96.03</v>
      </c>
      <c r="AB342" s="74">
        <v>153</v>
      </c>
      <c r="AC342" s="74" t="s">
        <v>47</v>
      </c>
      <c r="AD342" s="13">
        <v>91.8</v>
      </c>
      <c r="AE342" s="13">
        <v>31.91</v>
      </c>
      <c r="AF342" s="13">
        <f t="shared" si="316"/>
        <v>123.71</v>
      </c>
      <c r="AH342" s="89">
        <f t="shared" si="317"/>
        <v>-0.31296296296296289</v>
      </c>
      <c r="AI342" s="89">
        <f t="shared" ref="AI342:AI402" si="318">IF(F342=0,0,(F342/AE342)-1)</f>
        <v>-0.26198683798182387</v>
      </c>
      <c r="AJ342" s="89">
        <f t="shared" ref="AJ342:AJ402" si="319">IF(G342=0,0,(G342/AF342)-1)</f>
        <v>-0.29981408131921417</v>
      </c>
    </row>
    <row r="343" spans="1:36" x14ac:dyDescent="0.3">
      <c r="A343" s="17" t="s">
        <v>696</v>
      </c>
      <c r="B343" s="44" t="s">
        <v>697</v>
      </c>
      <c r="C343" s="12">
        <f t="shared" si="312"/>
        <v>129</v>
      </c>
      <c r="D343" s="41" t="str">
        <f t="shared" si="313"/>
        <v>UN</v>
      </c>
      <c r="E343" s="41">
        <v>374.47</v>
      </c>
      <c r="F343" s="41">
        <v>23.55</v>
      </c>
      <c r="G343" s="41">
        <f t="shared" si="314"/>
        <v>398.02000000000004</v>
      </c>
      <c r="H343" s="13">
        <f t="shared" si="307"/>
        <v>48306.630000000005</v>
      </c>
      <c r="I343" s="13">
        <f t="shared" si="308"/>
        <v>3037.9500000000003</v>
      </c>
      <c r="J343" s="14">
        <f t="shared" si="309"/>
        <v>51344.58</v>
      </c>
      <c r="M343" s="54"/>
      <c r="N343" s="56"/>
      <c r="V343" s="74">
        <v>129</v>
      </c>
      <c r="W343" s="74" t="s">
        <v>47</v>
      </c>
      <c r="X343" s="13">
        <v>421.23</v>
      </c>
      <c r="Y343" s="13">
        <v>24.77</v>
      </c>
      <c r="Z343" s="13">
        <f t="shared" si="315"/>
        <v>446</v>
      </c>
      <c r="AB343" s="74">
        <v>129</v>
      </c>
      <c r="AC343" s="74" t="s">
        <v>47</v>
      </c>
      <c r="AD343" s="13">
        <v>542.63</v>
      </c>
      <c r="AE343" s="13">
        <v>31.91</v>
      </c>
      <c r="AF343" s="13">
        <f t="shared" si="316"/>
        <v>574.54</v>
      </c>
      <c r="AH343" s="89">
        <f t="shared" si="317"/>
        <v>-0.30989808893721316</v>
      </c>
      <c r="AI343" s="89">
        <f t="shared" si="318"/>
        <v>-0.26198683798182387</v>
      </c>
      <c r="AJ343" s="89">
        <f t="shared" si="319"/>
        <v>-0.30723709402304444</v>
      </c>
    </row>
    <row r="344" spans="1:36" ht="28.8" x14ac:dyDescent="0.3">
      <c r="A344" s="17" t="s">
        <v>698</v>
      </c>
      <c r="B344" s="44" t="s">
        <v>699</v>
      </c>
      <c r="C344" s="12">
        <f t="shared" si="312"/>
        <v>114</v>
      </c>
      <c r="D344" s="41" t="str">
        <f t="shared" si="313"/>
        <v>UN</v>
      </c>
      <c r="E344" s="41">
        <v>202.9</v>
      </c>
      <c r="F344" s="41">
        <v>23.55</v>
      </c>
      <c r="G344" s="41">
        <f t="shared" si="314"/>
        <v>226.45000000000002</v>
      </c>
      <c r="H344" s="13">
        <f t="shared" si="307"/>
        <v>23130.600000000002</v>
      </c>
      <c r="I344" s="13">
        <f t="shared" si="308"/>
        <v>2684.7000000000003</v>
      </c>
      <c r="J344" s="14">
        <f t="shared" si="309"/>
        <v>25815.300000000003</v>
      </c>
      <c r="M344" s="54"/>
      <c r="N344" s="56"/>
      <c r="V344" s="74">
        <v>114</v>
      </c>
      <c r="W344" s="74" t="s">
        <v>47</v>
      </c>
      <c r="X344" s="13">
        <v>212.58</v>
      </c>
      <c r="Y344" s="13">
        <v>24.77</v>
      </c>
      <c r="Z344" s="13">
        <f t="shared" si="315"/>
        <v>237.35000000000002</v>
      </c>
      <c r="AB344" s="74">
        <v>114</v>
      </c>
      <c r="AC344" s="74" t="s">
        <v>47</v>
      </c>
      <c r="AD344" s="13">
        <v>273.85000000000002</v>
      </c>
      <c r="AE344" s="13">
        <v>31.91</v>
      </c>
      <c r="AF344" s="13">
        <f t="shared" si="316"/>
        <v>305.76000000000005</v>
      </c>
      <c r="AH344" s="89">
        <f t="shared" si="317"/>
        <v>-0.25908343983932813</v>
      </c>
      <c r="AI344" s="89">
        <f t="shared" si="318"/>
        <v>-0.26198683798182387</v>
      </c>
      <c r="AJ344" s="89">
        <f t="shared" si="319"/>
        <v>-0.25938644688644696</v>
      </c>
    </row>
    <row r="345" spans="1:36" x14ac:dyDescent="0.3">
      <c r="A345" s="17" t="s">
        <v>700</v>
      </c>
      <c r="B345" s="44" t="s">
        <v>701</v>
      </c>
      <c r="C345" s="12">
        <f t="shared" si="312"/>
        <v>108</v>
      </c>
      <c r="D345" s="41" t="str">
        <f t="shared" si="313"/>
        <v>UN</v>
      </c>
      <c r="E345" s="41">
        <v>1521.03</v>
      </c>
      <c r="F345" s="41">
        <v>23.55</v>
      </c>
      <c r="G345" s="41">
        <f t="shared" si="314"/>
        <v>1544.58</v>
      </c>
      <c r="H345" s="13">
        <f t="shared" si="307"/>
        <v>164271.24</v>
      </c>
      <c r="I345" s="13">
        <f t="shared" si="308"/>
        <v>2543.4</v>
      </c>
      <c r="J345" s="14">
        <f t="shared" si="309"/>
        <v>166814.63999999998</v>
      </c>
      <c r="M345" s="54"/>
      <c r="N345" s="56"/>
      <c r="V345" s="74">
        <v>108</v>
      </c>
      <c r="W345" s="74" t="s">
        <v>47</v>
      </c>
      <c r="X345" s="13">
        <v>1537.32</v>
      </c>
      <c r="Y345" s="13">
        <v>24.77</v>
      </c>
      <c r="Z345" s="13">
        <f t="shared" si="315"/>
        <v>1562.09</v>
      </c>
      <c r="AB345" s="74">
        <v>108</v>
      </c>
      <c r="AC345" s="74" t="s">
        <v>47</v>
      </c>
      <c r="AD345" s="13">
        <v>1980.38</v>
      </c>
      <c r="AE345" s="13">
        <v>31.91</v>
      </c>
      <c r="AF345" s="13">
        <f t="shared" si="316"/>
        <v>2012.2900000000002</v>
      </c>
      <c r="AH345" s="89">
        <f t="shared" si="317"/>
        <v>-0.23195043375513791</v>
      </c>
      <c r="AI345" s="89">
        <f t="shared" si="318"/>
        <v>-0.26198683798182387</v>
      </c>
      <c r="AJ345" s="89">
        <f t="shared" si="319"/>
        <v>-0.23242673769685296</v>
      </c>
    </row>
    <row r="346" spans="1:36" x14ac:dyDescent="0.3">
      <c r="A346" s="17" t="s">
        <v>702</v>
      </c>
      <c r="B346" s="44" t="s">
        <v>703</v>
      </c>
      <c r="C346" s="12">
        <f t="shared" si="312"/>
        <v>1</v>
      </c>
      <c r="D346" s="41" t="str">
        <f t="shared" si="313"/>
        <v>UN</v>
      </c>
      <c r="E346" s="41">
        <v>253.21</v>
      </c>
      <c r="F346" s="41">
        <v>23.55</v>
      </c>
      <c r="G346" s="41">
        <f t="shared" si="314"/>
        <v>276.76</v>
      </c>
      <c r="H346" s="13">
        <f t="shared" si="307"/>
        <v>253.21</v>
      </c>
      <c r="I346" s="13">
        <f t="shared" si="308"/>
        <v>23.55</v>
      </c>
      <c r="J346" s="14">
        <f t="shared" si="309"/>
        <v>276.76</v>
      </c>
      <c r="M346" s="54"/>
      <c r="N346" s="56"/>
      <c r="V346" s="74">
        <v>1</v>
      </c>
      <c r="W346" s="74" t="s">
        <v>47</v>
      </c>
      <c r="X346" s="13">
        <v>331.25</v>
      </c>
      <c r="Y346" s="13">
        <v>24.77</v>
      </c>
      <c r="Z346" s="13">
        <f t="shared" si="315"/>
        <v>356.02</v>
      </c>
      <c r="AB346" s="74">
        <v>1</v>
      </c>
      <c r="AC346" s="74" t="s">
        <v>47</v>
      </c>
      <c r="AD346" s="13">
        <v>426.72</v>
      </c>
      <c r="AE346" s="13">
        <v>31.91</v>
      </c>
      <c r="AF346" s="13">
        <f t="shared" si="316"/>
        <v>458.63000000000005</v>
      </c>
      <c r="AH346" s="89">
        <f t="shared" si="317"/>
        <v>-0.40661323584551934</v>
      </c>
      <c r="AI346" s="89">
        <f t="shared" si="318"/>
        <v>-0.26198683798182387</v>
      </c>
      <c r="AJ346" s="89">
        <f t="shared" si="319"/>
        <v>-0.39655059634127732</v>
      </c>
    </row>
    <row r="347" spans="1:36" x14ac:dyDescent="0.3">
      <c r="A347" s="17" t="s">
        <v>704</v>
      </c>
      <c r="B347" s="44" t="s">
        <v>705</v>
      </c>
      <c r="C347" s="12">
        <f t="shared" si="312"/>
        <v>1</v>
      </c>
      <c r="D347" s="41" t="str">
        <f t="shared" si="313"/>
        <v>m</v>
      </c>
      <c r="E347" s="41">
        <v>2.2599999999999998</v>
      </c>
      <c r="F347" s="41">
        <v>3.62</v>
      </c>
      <c r="G347" s="41">
        <f t="shared" si="314"/>
        <v>5.88</v>
      </c>
      <c r="H347" s="13">
        <f t="shared" si="307"/>
        <v>2.2599999999999998</v>
      </c>
      <c r="I347" s="13">
        <f t="shared" si="308"/>
        <v>3.62</v>
      </c>
      <c r="J347" s="14">
        <f t="shared" si="309"/>
        <v>5.88</v>
      </c>
      <c r="M347" s="54"/>
      <c r="N347" s="56"/>
      <c r="V347" s="74">
        <v>1</v>
      </c>
      <c r="W347" s="74" t="s">
        <v>76</v>
      </c>
      <c r="X347" s="13">
        <v>2.98</v>
      </c>
      <c r="Y347" s="13">
        <v>3.81</v>
      </c>
      <c r="Z347" s="13">
        <f t="shared" si="315"/>
        <v>6.79</v>
      </c>
      <c r="AB347" s="74">
        <v>1</v>
      </c>
      <c r="AC347" s="74" t="s">
        <v>76</v>
      </c>
      <c r="AD347" s="13">
        <v>3.84</v>
      </c>
      <c r="AE347" s="13">
        <v>4.91</v>
      </c>
      <c r="AF347" s="13">
        <f t="shared" si="316"/>
        <v>8.75</v>
      </c>
      <c r="AH347" s="89">
        <f t="shared" si="317"/>
        <v>-0.41145833333333337</v>
      </c>
      <c r="AI347" s="89">
        <f t="shared" si="318"/>
        <v>-0.2627291242362525</v>
      </c>
      <c r="AJ347" s="89">
        <f t="shared" si="319"/>
        <v>-0.32799999999999996</v>
      </c>
    </row>
    <row r="348" spans="1:36" x14ac:dyDescent="0.3">
      <c r="A348" s="17" t="s">
        <v>706</v>
      </c>
      <c r="B348" s="44" t="s">
        <v>707</v>
      </c>
      <c r="C348" s="12">
        <f t="shared" si="312"/>
        <v>12</v>
      </c>
      <c r="D348" s="41" t="str">
        <f t="shared" si="313"/>
        <v>UN</v>
      </c>
      <c r="E348" s="41">
        <v>2.9</v>
      </c>
      <c r="F348" s="41">
        <v>42.82</v>
      </c>
      <c r="G348" s="41">
        <f t="shared" si="314"/>
        <v>45.72</v>
      </c>
      <c r="H348" s="13">
        <f t="shared" si="307"/>
        <v>34.799999999999997</v>
      </c>
      <c r="I348" s="13">
        <f t="shared" si="308"/>
        <v>513.84</v>
      </c>
      <c r="J348" s="14">
        <f t="shared" si="309"/>
        <v>548.64</v>
      </c>
      <c r="M348" s="54"/>
      <c r="N348" s="56"/>
      <c r="V348" s="74">
        <v>12</v>
      </c>
      <c r="W348" s="74" t="s">
        <v>47</v>
      </c>
      <c r="X348" s="13">
        <v>3.63</v>
      </c>
      <c r="Y348" s="13">
        <v>45.04</v>
      </c>
      <c r="Z348" s="13">
        <f t="shared" si="315"/>
        <v>48.67</v>
      </c>
      <c r="AB348" s="74">
        <v>12</v>
      </c>
      <c r="AC348" s="74" t="s">
        <v>47</v>
      </c>
      <c r="AD348" s="13">
        <v>4.68</v>
      </c>
      <c r="AE348" s="13">
        <v>58.02</v>
      </c>
      <c r="AF348" s="13">
        <f t="shared" si="316"/>
        <v>62.7</v>
      </c>
      <c r="AH348" s="89">
        <f t="shared" si="317"/>
        <v>-0.38034188034188032</v>
      </c>
      <c r="AI348" s="89">
        <f t="shared" si="318"/>
        <v>-0.26197862805928995</v>
      </c>
      <c r="AJ348" s="89">
        <f t="shared" si="319"/>
        <v>-0.27081339712918662</v>
      </c>
    </row>
    <row r="349" spans="1:36" x14ac:dyDescent="0.3">
      <c r="A349" s="17" t="s">
        <v>708</v>
      </c>
      <c r="B349" s="44" t="s">
        <v>709</v>
      </c>
      <c r="C349" s="12">
        <f t="shared" si="312"/>
        <v>1</v>
      </c>
      <c r="D349" s="41" t="str">
        <f t="shared" si="313"/>
        <v>UN</v>
      </c>
      <c r="E349" s="41">
        <v>149.55000000000001</v>
      </c>
      <c r="F349" s="41">
        <v>192.74</v>
      </c>
      <c r="G349" s="41">
        <f t="shared" si="314"/>
        <v>342.29</v>
      </c>
      <c r="H349" s="13">
        <f t="shared" si="307"/>
        <v>149.55000000000001</v>
      </c>
      <c r="I349" s="13">
        <f t="shared" si="308"/>
        <v>192.74</v>
      </c>
      <c r="J349" s="14">
        <f t="shared" si="309"/>
        <v>342.29</v>
      </c>
      <c r="M349" s="54"/>
      <c r="N349" s="56"/>
      <c r="V349" s="74">
        <v>1</v>
      </c>
      <c r="W349" s="74" t="s">
        <v>47</v>
      </c>
      <c r="X349" s="13">
        <v>171.64</v>
      </c>
      <c r="Y349" s="13">
        <v>202.68</v>
      </c>
      <c r="Z349" s="13">
        <f t="shared" si="315"/>
        <v>374.32</v>
      </c>
      <c r="AB349" s="74">
        <v>1</v>
      </c>
      <c r="AC349" s="74" t="s">
        <v>47</v>
      </c>
      <c r="AD349" s="13">
        <v>221.11</v>
      </c>
      <c r="AE349" s="13">
        <v>261.08999999999997</v>
      </c>
      <c r="AF349" s="13">
        <f t="shared" si="316"/>
        <v>482.2</v>
      </c>
      <c r="AH349" s="89">
        <f t="shared" si="317"/>
        <v>-0.32363981728551394</v>
      </c>
      <c r="AI349" s="89">
        <f t="shared" si="318"/>
        <v>-0.26178712321421727</v>
      </c>
      <c r="AJ349" s="89">
        <f t="shared" si="319"/>
        <v>-0.29014931563666524</v>
      </c>
    </row>
    <row r="350" spans="1:36" x14ac:dyDescent="0.3">
      <c r="A350" s="17" t="s">
        <v>710</v>
      </c>
      <c r="B350" s="44" t="s">
        <v>711</v>
      </c>
      <c r="C350" s="12">
        <f t="shared" si="312"/>
        <v>1</v>
      </c>
      <c r="D350" s="41" t="str">
        <f t="shared" si="313"/>
        <v>UN</v>
      </c>
      <c r="E350" s="41">
        <v>321.12</v>
      </c>
      <c r="F350" s="41">
        <v>92.8</v>
      </c>
      <c r="G350" s="41">
        <f t="shared" si="314"/>
        <v>413.92</v>
      </c>
      <c r="H350" s="13">
        <f t="shared" si="307"/>
        <v>321.12</v>
      </c>
      <c r="I350" s="13">
        <f t="shared" si="308"/>
        <v>92.8</v>
      </c>
      <c r="J350" s="14">
        <f t="shared" si="309"/>
        <v>413.92</v>
      </c>
      <c r="M350" s="54"/>
      <c r="N350" s="56"/>
      <c r="V350" s="74">
        <v>1</v>
      </c>
      <c r="W350" s="74" t="s">
        <v>47</v>
      </c>
      <c r="X350" s="13">
        <v>358.42</v>
      </c>
      <c r="Y350" s="13">
        <v>97.59</v>
      </c>
      <c r="Z350" s="13">
        <f t="shared" si="315"/>
        <v>456.01</v>
      </c>
      <c r="AB350" s="74">
        <v>1</v>
      </c>
      <c r="AC350" s="74" t="s">
        <v>47</v>
      </c>
      <c r="AD350" s="13">
        <v>461.72</v>
      </c>
      <c r="AE350" s="13">
        <v>125.72</v>
      </c>
      <c r="AF350" s="13">
        <f t="shared" si="316"/>
        <v>587.44000000000005</v>
      </c>
      <c r="AH350" s="89">
        <f t="shared" si="317"/>
        <v>-0.30451355800051982</v>
      </c>
      <c r="AI350" s="89">
        <f t="shared" si="318"/>
        <v>-0.26185173401209039</v>
      </c>
      <c r="AJ350" s="89">
        <f t="shared" si="319"/>
        <v>-0.29538335830042217</v>
      </c>
    </row>
    <row r="351" spans="1:36" x14ac:dyDescent="0.3">
      <c r="A351" s="17" t="s">
        <v>712</v>
      </c>
      <c r="B351" s="44" t="s">
        <v>713</v>
      </c>
      <c r="C351" s="12">
        <f t="shared" si="312"/>
        <v>12</v>
      </c>
      <c r="D351" s="41" t="str">
        <f t="shared" si="313"/>
        <v>UN</v>
      </c>
      <c r="E351" s="41">
        <v>86.15</v>
      </c>
      <c r="F351" s="41">
        <v>248.06</v>
      </c>
      <c r="G351" s="41">
        <f t="shared" si="314"/>
        <v>334.21000000000004</v>
      </c>
      <c r="H351" s="13">
        <f t="shared" si="307"/>
        <v>1033.8000000000002</v>
      </c>
      <c r="I351" s="13">
        <f t="shared" si="308"/>
        <v>2976.7200000000003</v>
      </c>
      <c r="J351" s="14">
        <f t="shared" si="309"/>
        <v>4010.5200000000004</v>
      </c>
      <c r="M351" s="54"/>
      <c r="N351" s="56"/>
      <c r="V351" s="74">
        <v>12</v>
      </c>
      <c r="W351" s="74" t="s">
        <v>47</v>
      </c>
      <c r="X351" s="13">
        <v>83.61</v>
      </c>
      <c r="Y351" s="13">
        <v>261.56</v>
      </c>
      <c r="Z351" s="13">
        <f t="shared" si="315"/>
        <v>345.17</v>
      </c>
      <c r="AB351" s="74">
        <v>12</v>
      </c>
      <c r="AC351" s="74" t="s">
        <v>47</v>
      </c>
      <c r="AD351" s="13">
        <v>107.71</v>
      </c>
      <c r="AE351" s="13">
        <v>336.94</v>
      </c>
      <c r="AF351" s="13">
        <f t="shared" si="316"/>
        <v>444.65</v>
      </c>
      <c r="AH351" s="89">
        <f t="shared" si="317"/>
        <v>-0.20016711540246945</v>
      </c>
      <c r="AI351" s="89">
        <f t="shared" si="318"/>
        <v>-0.26378583724105176</v>
      </c>
      <c r="AJ351" s="89">
        <f t="shared" si="319"/>
        <v>-0.24837512650399174</v>
      </c>
    </row>
    <row r="352" spans="1:36" x14ac:dyDescent="0.3">
      <c r="A352" s="17" t="s">
        <v>714</v>
      </c>
      <c r="B352" s="44" t="s">
        <v>715</v>
      </c>
      <c r="C352" s="12">
        <f t="shared" si="312"/>
        <v>1</v>
      </c>
      <c r="D352" s="41" t="str">
        <f t="shared" si="313"/>
        <v>UN</v>
      </c>
      <c r="E352" s="41">
        <v>395.11</v>
      </c>
      <c r="F352" s="41">
        <v>85.66</v>
      </c>
      <c r="G352" s="41">
        <f t="shared" si="314"/>
        <v>480.77</v>
      </c>
      <c r="H352" s="13">
        <f t="shared" si="307"/>
        <v>395.11</v>
      </c>
      <c r="I352" s="13">
        <f t="shared" si="308"/>
        <v>85.66</v>
      </c>
      <c r="J352" s="14">
        <f t="shared" si="309"/>
        <v>480.77</v>
      </c>
      <c r="M352" s="54"/>
      <c r="N352" s="56"/>
      <c r="V352" s="74">
        <v>1</v>
      </c>
      <c r="W352" s="74" t="s">
        <v>47</v>
      </c>
      <c r="X352" s="13">
        <v>430.64</v>
      </c>
      <c r="Y352" s="13">
        <v>90.08</v>
      </c>
      <c r="Z352" s="13">
        <f t="shared" si="315"/>
        <v>520.72</v>
      </c>
      <c r="AB352" s="74">
        <v>1</v>
      </c>
      <c r="AC352" s="74" t="s">
        <v>47</v>
      </c>
      <c r="AD352" s="13">
        <v>554.75</v>
      </c>
      <c r="AE352" s="13">
        <v>116.04</v>
      </c>
      <c r="AF352" s="13">
        <f t="shared" si="316"/>
        <v>670.79</v>
      </c>
      <c r="AH352" s="89">
        <f t="shared" si="317"/>
        <v>-0.28776926543488057</v>
      </c>
      <c r="AI352" s="89">
        <f t="shared" si="318"/>
        <v>-0.26180627369872467</v>
      </c>
      <c r="AJ352" s="89">
        <f t="shared" si="319"/>
        <v>-0.28327792602751978</v>
      </c>
    </row>
    <row r="353" spans="1:36" x14ac:dyDescent="0.3">
      <c r="A353" s="17" t="s">
        <v>716</v>
      </c>
      <c r="B353" s="44" t="s">
        <v>717</v>
      </c>
      <c r="C353" s="12">
        <f t="shared" si="312"/>
        <v>1</v>
      </c>
      <c r="D353" s="41" t="str">
        <f t="shared" si="313"/>
        <v>UN</v>
      </c>
      <c r="E353" s="41">
        <v>922.31</v>
      </c>
      <c r="F353" s="41">
        <v>261.27</v>
      </c>
      <c r="G353" s="41">
        <f t="shared" si="314"/>
        <v>1183.58</v>
      </c>
      <c r="H353" s="13">
        <f t="shared" si="307"/>
        <v>922.31</v>
      </c>
      <c r="I353" s="13">
        <f t="shared" si="308"/>
        <v>261.27</v>
      </c>
      <c r="J353" s="14">
        <f t="shared" si="309"/>
        <v>1183.58</v>
      </c>
      <c r="M353" s="54"/>
      <c r="N353" s="56"/>
      <c r="V353" s="74">
        <v>1</v>
      </c>
      <c r="W353" s="74" t="s">
        <v>47</v>
      </c>
      <c r="X353" s="13">
        <v>1004.63</v>
      </c>
      <c r="Y353" s="13">
        <v>274.74</v>
      </c>
      <c r="Z353" s="13">
        <f t="shared" si="315"/>
        <v>1279.3699999999999</v>
      </c>
      <c r="AB353" s="74">
        <v>1</v>
      </c>
      <c r="AC353" s="74" t="s">
        <v>47</v>
      </c>
      <c r="AD353" s="13">
        <v>1294.1600000000001</v>
      </c>
      <c r="AE353" s="13">
        <v>353.92</v>
      </c>
      <c r="AF353" s="13">
        <f t="shared" si="316"/>
        <v>1648.0800000000002</v>
      </c>
      <c r="AH353" s="89">
        <f t="shared" si="317"/>
        <v>-0.28732923286147005</v>
      </c>
      <c r="AI353" s="89">
        <f t="shared" si="318"/>
        <v>-0.26178232368896936</v>
      </c>
      <c r="AJ353" s="89">
        <f t="shared" si="319"/>
        <v>-0.28184311441192189</v>
      </c>
    </row>
    <row r="354" spans="1:36" x14ac:dyDescent="0.3">
      <c r="A354" s="17" t="s">
        <v>718</v>
      </c>
      <c r="B354" s="44" t="s">
        <v>719</v>
      </c>
      <c r="C354" s="12">
        <f t="shared" si="312"/>
        <v>1</v>
      </c>
      <c r="D354" s="41" t="str">
        <f t="shared" si="313"/>
        <v>UN</v>
      </c>
      <c r="E354" s="41">
        <v>1399.32</v>
      </c>
      <c r="F354" s="41">
        <v>261.27</v>
      </c>
      <c r="G354" s="41">
        <f t="shared" si="314"/>
        <v>1660.59</v>
      </c>
      <c r="H354" s="13">
        <f t="shared" si="307"/>
        <v>1399.32</v>
      </c>
      <c r="I354" s="13">
        <f t="shared" si="308"/>
        <v>261.27</v>
      </c>
      <c r="J354" s="14">
        <f t="shared" si="309"/>
        <v>1660.59</v>
      </c>
      <c r="M354" s="54"/>
      <c r="N354" s="56"/>
      <c r="V354" s="74">
        <v>1</v>
      </c>
      <c r="W354" s="74" t="s">
        <v>47</v>
      </c>
      <c r="X354" s="13">
        <v>1523.97</v>
      </c>
      <c r="Y354" s="13">
        <v>274.74</v>
      </c>
      <c r="Z354" s="13">
        <f t="shared" si="315"/>
        <v>1798.71</v>
      </c>
      <c r="AB354" s="74">
        <v>1</v>
      </c>
      <c r="AC354" s="74" t="s">
        <v>47</v>
      </c>
      <c r="AD354" s="13">
        <v>1963.18</v>
      </c>
      <c r="AE354" s="13">
        <v>353.92</v>
      </c>
      <c r="AF354" s="13">
        <f t="shared" si="316"/>
        <v>2317.1</v>
      </c>
      <c r="AH354" s="89">
        <f t="shared" si="317"/>
        <v>-0.28721767744170179</v>
      </c>
      <c r="AI354" s="89">
        <f t="shared" si="318"/>
        <v>-0.26178232368896936</v>
      </c>
      <c r="AJ354" s="89">
        <f t="shared" si="319"/>
        <v>-0.28333261404341636</v>
      </c>
    </row>
    <row r="355" spans="1:36" x14ac:dyDescent="0.3">
      <c r="A355" s="17" t="s">
        <v>720</v>
      </c>
      <c r="B355" s="44" t="s">
        <v>721</v>
      </c>
      <c r="C355" s="12">
        <f t="shared" si="312"/>
        <v>1</v>
      </c>
      <c r="D355" s="41" t="str">
        <f t="shared" si="313"/>
        <v>UN</v>
      </c>
      <c r="E355" s="41">
        <v>1511.26</v>
      </c>
      <c r="F355" s="41">
        <v>261.27</v>
      </c>
      <c r="G355" s="41">
        <f t="shared" si="314"/>
        <v>1772.53</v>
      </c>
      <c r="H355" s="13">
        <f t="shared" si="307"/>
        <v>1511.26</v>
      </c>
      <c r="I355" s="13">
        <f t="shared" si="308"/>
        <v>261.27</v>
      </c>
      <c r="J355" s="14">
        <f t="shared" si="309"/>
        <v>1772.53</v>
      </c>
      <c r="M355" s="54"/>
      <c r="N355" s="56"/>
      <c r="V355" s="74">
        <v>1</v>
      </c>
      <c r="W355" s="74" t="s">
        <v>47</v>
      </c>
      <c r="X355" s="13">
        <v>1645.84</v>
      </c>
      <c r="Y355" s="13">
        <v>274.74</v>
      </c>
      <c r="Z355" s="13">
        <f t="shared" si="315"/>
        <v>1920.58</v>
      </c>
      <c r="AB355" s="74">
        <v>1</v>
      </c>
      <c r="AC355" s="74" t="s">
        <v>47</v>
      </c>
      <c r="AD355" s="13">
        <v>2120.17</v>
      </c>
      <c r="AE355" s="13">
        <v>353.92</v>
      </c>
      <c r="AF355" s="13">
        <f t="shared" si="316"/>
        <v>2474.09</v>
      </c>
      <c r="AH355" s="89">
        <f t="shared" si="317"/>
        <v>-0.28719866803133709</v>
      </c>
      <c r="AI355" s="89">
        <f t="shared" si="318"/>
        <v>-0.26178232368896936</v>
      </c>
      <c r="AJ355" s="89">
        <f t="shared" si="319"/>
        <v>-0.28356284532898968</v>
      </c>
    </row>
    <row r="356" spans="1:36" x14ac:dyDescent="0.3">
      <c r="A356" s="17" t="s">
        <v>722</v>
      </c>
      <c r="B356" s="44" t="s">
        <v>723</v>
      </c>
      <c r="C356" s="12">
        <f t="shared" si="312"/>
        <v>1</v>
      </c>
      <c r="D356" s="41" t="str">
        <f t="shared" si="313"/>
        <v>UN</v>
      </c>
      <c r="E356" s="41">
        <v>23.32</v>
      </c>
      <c r="F356" s="41">
        <v>38.54</v>
      </c>
      <c r="G356" s="41">
        <f t="shared" si="314"/>
        <v>61.86</v>
      </c>
      <c r="H356" s="13">
        <f t="shared" si="307"/>
        <v>23.32</v>
      </c>
      <c r="I356" s="13">
        <f t="shared" si="308"/>
        <v>38.54</v>
      </c>
      <c r="J356" s="14">
        <f t="shared" si="309"/>
        <v>61.86</v>
      </c>
      <c r="M356" s="54"/>
      <c r="N356" s="56"/>
      <c r="V356" s="74">
        <v>1</v>
      </c>
      <c r="W356" s="74" t="s">
        <v>47</v>
      </c>
      <c r="X356" s="13">
        <v>27.93</v>
      </c>
      <c r="Y356" s="13">
        <v>40.54</v>
      </c>
      <c r="Z356" s="13">
        <f t="shared" si="315"/>
        <v>68.47</v>
      </c>
      <c r="AB356" s="74">
        <v>1</v>
      </c>
      <c r="AC356" s="74" t="s">
        <v>47</v>
      </c>
      <c r="AD356" s="13">
        <v>35.979999999999997</v>
      </c>
      <c r="AE356" s="13">
        <v>52.22</v>
      </c>
      <c r="AF356" s="13">
        <f t="shared" si="316"/>
        <v>88.199999999999989</v>
      </c>
      <c r="AH356" s="89">
        <f t="shared" si="317"/>
        <v>-0.35186214563646467</v>
      </c>
      <c r="AI356" s="89">
        <f t="shared" si="318"/>
        <v>-0.26196859440827269</v>
      </c>
      <c r="AJ356" s="89">
        <f t="shared" si="319"/>
        <v>-0.29863945578231288</v>
      </c>
    </row>
    <row r="357" spans="1:36" x14ac:dyDescent="0.3">
      <c r="A357" s="17" t="s">
        <v>724</v>
      </c>
      <c r="B357" s="44" t="s">
        <v>725</v>
      </c>
      <c r="C357" s="12">
        <f t="shared" si="312"/>
        <v>1</v>
      </c>
      <c r="D357" s="41" t="str">
        <f t="shared" si="313"/>
        <v>m</v>
      </c>
      <c r="E357" s="41">
        <v>4.7300000000000004</v>
      </c>
      <c r="F357" s="41">
        <v>3.93</v>
      </c>
      <c r="G357" s="41">
        <f t="shared" si="314"/>
        <v>8.66</v>
      </c>
      <c r="H357" s="13">
        <f t="shared" si="307"/>
        <v>4.7300000000000004</v>
      </c>
      <c r="I357" s="13">
        <f t="shared" si="308"/>
        <v>3.93</v>
      </c>
      <c r="J357" s="14">
        <f t="shared" si="309"/>
        <v>8.66</v>
      </c>
      <c r="M357" s="54"/>
      <c r="N357" s="56"/>
      <c r="V357" s="74">
        <v>1</v>
      </c>
      <c r="W357" s="74" t="s">
        <v>76</v>
      </c>
      <c r="X357" s="13">
        <v>5.4</v>
      </c>
      <c r="Y357" s="13">
        <v>4.1399999999999997</v>
      </c>
      <c r="Z357" s="13">
        <f t="shared" si="315"/>
        <v>9.5399999999999991</v>
      </c>
      <c r="AB357" s="74">
        <v>1</v>
      </c>
      <c r="AC357" s="74" t="s">
        <v>76</v>
      </c>
      <c r="AD357" s="13">
        <v>6.96</v>
      </c>
      <c r="AE357" s="13">
        <v>5.33</v>
      </c>
      <c r="AF357" s="13">
        <f t="shared" si="316"/>
        <v>12.29</v>
      </c>
      <c r="AH357" s="89">
        <f t="shared" si="317"/>
        <v>-0.3204022988505747</v>
      </c>
      <c r="AI357" s="89">
        <f t="shared" si="318"/>
        <v>-0.26266416510318946</v>
      </c>
      <c r="AJ357" s="89">
        <f t="shared" si="319"/>
        <v>-0.29536208299430422</v>
      </c>
    </row>
    <row r="358" spans="1:36" x14ac:dyDescent="0.3">
      <c r="A358" s="17" t="s">
        <v>726</v>
      </c>
      <c r="B358" s="44" t="s">
        <v>727</v>
      </c>
      <c r="C358" s="12">
        <f t="shared" si="312"/>
        <v>1</v>
      </c>
      <c r="D358" s="41" t="str">
        <f t="shared" si="313"/>
        <v>m</v>
      </c>
      <c r="E358" s="41">
        <v>8.9700000000000006</v>
      </c>
      <c r="F358" s="41">
        <v>4.45</v>
      </c>
      <c r="G358" s="41">
        <f t="shared" si="314"/>
        <v>13.420000000000002</v>
      </c>
      <c r="H358" s="13">
        <f t="shared" si="307"/>
        <v>8.9700000000000006</v>
      </c>
      <c r="I358" s="13">
        <f t="shared" si="308"/>
        <v>4.45</v>
      </c>
      <c r="J358" s="14">
        <f t="shared" si="309"/>
        <v>13.420000000000002</v>
      </c>
      <c r="M358" s="54"/>
      <c r="N358" s="56"/>
      <c r="V358" s="74">
        <v>1</v>
      </c>
      <c r="W358" s="74" t="s">
        <v>76</v>
      </c>
      <c r="X358" s="13">
        <v>10.25</v>
      </c>
      <c r="Y358" s="13">
        <v>4.6900000000000004</v>
      </c>
      <c r="Z358" s="13">
        <f t="shared" si="315"/>
        <v>14.940000000000001</v>
      </c>
      <c r="AB358" s="74">
        <v>1</v>
      </c>
      <c r="AC358" s="74" t="s">
        <v>76</v>
      </c>
      <c r="AD358" s="13">
        <v>13.2</v>
      </c>
      <c r="AE358" s="13">
        <v>6.04</v>
      </c>
      <c r="AF358" s="13">
        <f t="shared" si="316"/>
        <v>19.239999999999998</v>
      </c>
      <c r="AH358" s="89">
        <f t="shared" si="317"/>
        <v>-0.32045454545454533</v>
      </c>
      <c r="AI358" s="89">
        <f t="shared" si="318"/>
        <v>-0.26324503311258274</v>
      </c>
      <c r="AJ358" s="89">
        <f t="shared" si="319"/>
        <v>-0.30249480249480232</v>
      </c>
    </row>
    <row r="359" spans="1:36" x14ac:dyDescent="0.3">
      <c r="A359" s="17" t="s">
        <v>728</v>
      </c>
      <c r="B359" s="44" t="s">
        <v>729</v>
      </c>
      <c r="C359" s="12">
        <f t="shared" si="312"/>
        <v>1</v>
      </c>
      <c r="D359" s="41" t="str">
        <f t="shared" si="313"/>
        <v>m</v>
      </c>
      <c r="E359" s="41">
        <v>13.13</v>
      </c>
      <c r="F359" s="41">
        <v>4.8899999999999997</v>
      </c>
      <c r="G359" s="41">
        <f t="shared" si="314"/>
        <v>18.02</v>
      </c>
      <c r="H359" s="13">
        <f t="shared" si="307"/>
        <v>13.13</v>
      </c>
      <c r="I359" s="13">
        <f t="shared" si="308"/>
        <v>4.8899999999999997</v>
      </c>
      <c r="J359" s="14">
        <f t="shared" si="309"/>
        <v>18.02</v>
      </c>
      <c r="M359" s="54"/>
      <c r="N359" s="56"/>
      <c r="V359" s="74">
        <v>1</v>
      </c>
      <c r="W359" s="74" t="s">
        <v>76</v>
      </c>
      <c r="X359" s="13">
        <v>14.99</v>
      </c>
      <c r="Y359" s="13">
        <v>5.15</v>
      </c>
      <c r="Z359" s="13">
        <f t="shared" si="315"/>
        <v>20.14</v>
      </c>
      <c r="AB359" s="74">
        <v>1</v>
      </c>
      <c r="AC359" s="74" t="s">
        <v>76</v>
      </c>
      <c r="AD359" s="13">
        <v>19.309999999999999</v>
      </c>
      <c r="AE359" s="13">
        <v>6.63</v>
      </c>
      <c r="AF359" s="13">
        <f t="shared" si="316"/>
        <v>25.939999999999998</v>
      </c>
      <c r="AH359" s="89">
        <f t="shared" si="317"/>
        <v>-0.32004142931123758</v>
      </c>
      <c r="AI359" s="89">
        <f t="shared" si="318"/>
        <v>-0.26244343891402722</v>
      </c>
      <c r="AJ359" s="89">
        <f t="shared" si="319"/>
        <v>-0.30531996915959903</v>
      </c>
    </row>
    <row r="360" spans="1:36" x14ac:dyDescent="0.3">
      <c r="A360" s="17" t="s">
        <v>730</v>
      </c>
      <c r="B360" s="44" t="s">
        <v>731</v>
      </c>
      <c r="C360" s="12">
        <f t="shared" si="312"/>
        <v>9</v>
      </c>
      <c r="D360" s="41" t="str">
        <f t="shared" si="313"/>
        <v>UN</v>
      </c>
      <c r="E360" s="41">
        <v>0</v>
      </c>
      <c r="F360" s="41">
        <v>128.49</v>
      </c>
      <c r="G360" s="41">
        <f t="shared" si="314"/>
        <v>128.49</v>
      </c>
      <c r="H360" s="13">
        <f t="shared" si="307"/>
        <v>0</v>
      </c>
      <c r="I360" s="13">
        <f t="shared" si="308"/>
        <v>1156.4100000000001</v>
      </c>
      <c r="J360" s="14">
        <f t="shared" si="309"/>
        <v>1156.4100000000001</v>
      </c>
      <c r="M360" s="54"/>
      <c r="N360" s="56"/>
      <c r="V360" s="74">
        <v>9</v>
      </c>
      <c r="W360" s="74" t="s">
        <v>47</v>
      </c>
      <c r="X360" s="13">
        <v>0</v>
      </c>
      <c r="Y360" s="13">
        <v>135.12</v>
      </c>
      <c r="Z360" s="13">
        <f t="shared" si="315"/>
        <v>135.12</v>
      </c>
      <c r="AB360" s="74">
        <v>9</v>
      </c>
      <c r="AC360" s="74" t="s">
        <v>47</v>
      </c>
      <c r="AD360" s="13">
        <v>0</v>
      </c>
      <c r="AE360" s="13">
        <v>174.06</v>
      </c>
      <c r="AF360" s="13">
        <f t="shared" si="316"/>
        <v>174.06</v>
      </c>
      <c r="AH360" s="89">
        <f t="shared" si="317"/>
        <v>0</v>
      </c>
      <c r="AI360" s="89">
        <f t="shared" si="318"/>
        <v>-0.26180627369872456</v>
      </c>
      <c r="AJ360" s="89">
        <f t="shared" si="319"/>
        <v>-0.26180627369872456</v>
      </c>
    </row>
    <row r="361" spans="1:36" x14ac:dyDescent="0.3">
      <c r="A361" s="17" t="s">
        <v>732</v>
      </c>
      <c r="B361" s="44" t="s">
        <v>733</v>
      </c>
      <c r="C361" s="12">
        <f t="shared" si="312"/>
        <v>1</v>
      </c>
      <c r="D361" s="41" t="str">
        <f t="shared" si="313"/>
        <v>UN</v>
      </c>
      <c r="E361" s="41">
        <v>72.44</v>
      </c>
      <c r="F361" s="41">
        <v>595.14</v>
      </c>
      <c r="G361" s="41">
        <f t="shared" si="314"/>
        <v>667.57999999999993</v>
      </c>
      <c r="H361" s="13">
        <f t="shared" si="307"/>
        <v>72.44</v>
      </c>
      <c r="I361" s="13">
        <f t="shared" si="308"/>
        <v>595.14</v>
      </c>
      <c r="J361" s="14">
        <f t="shared" si="309"/>
        <v>667.57999999999993</v>
      </c>
      <c r="M361" s="54"/>
      <c r="N361" s="56"/>
      <c r="V361" s="74">
        <v>1</v>
      </c>
      <c r="W361" s="74" t="s">
        <v>47</v>
      </c>
      <c r="X361" s="13">
        <v>88.78</v>
      </c>
      <c r="Y361" s="13">
        <v>598.80999999999995</v>
      </c>
      <c r="Z361" s="13">
        <f t="shared" si="315"/>
        <v>687.58999999999992</v>
      </c>
      <c r="AB361" s="74">
        <v>1</v>
      </c>
      <c r="AC361" s="74" t="s">
        <v>47</v>
      </c>
      <c r="AD361" s="13">
        <v>114.37</v>
      </c>
      <c r="AE361" s="13">
        <v>771.39</v>
      </c>
      <c r="AF361" s="13">
        <f t="shared" si="316"/>
        <v>885.76</v>
      </c>
      <c r="AH361" s="89">
        <f t="shared" si="317"/>
        <v>-0.36661711987409296</v>
      </c>
      <c r="AI361" s="89">
        <f t="shared" si="318"/>
        <v>-0.22848364640454244</v>
      </c>
      <c r="AJ361" s="89">
        <f t="shared" si="319"/>
        <v>-0.24631954479768792</v>
      </c>
    </row>
    <row r="362" spans="1:36" x14ac:dyDescent="0.3">
      <c r="A362" s="17" t="s">
        <v>734</v>
      </c>
      <c r="B362" s="44" t="s">
        <v>735</v>
      </c>
      <c r="C362" s="12">
        <f t="shared" si="312"/>
        <v>1</v>
      </c>
      <c r="D362" s="41" t="str">
        <f t="shared" si="313"/>
        <v>UN</v>
      </c>
      <c r="E362" s="41">
        <v>72.44</v>
      </c>
      <c r="F362" s="41">
        <v>633.51</v>
      </c>
      <c r="G362" s="41">
        <f t="shared" si="314"/>
        <v>705.95</v>
      </c>
      <c r="H362" s="13">
        <f t="shared" si="307"/>
        <v>72.44</v>
      </c>
      <c r="I362" s="13">
        <f t="shared" si="308"/>
        <v>633.51</v>
      </c>
      <c r="J362" s="14">
        <f t="shared" si="309"/>
        <v>705.95</v>
      </c>
      <c r="M362" s="54"/>
      <c r="N362" s="56"/>
      <c r="V362" s="74">
        <v>1</v>
      </c>
      <c r="W362" s="74" t="s">
        <v>47</v>
      </c>
      <c r="X362" s="13">
        <v>88.78</v>
      </c>
      <c r="Y362" s="13">
        <v>639.51</v>
      </c>
      <c r="Z362" s="13">
        <f t="shared" si="315"/>
        <v>728.29</v>
      </c>
      <c r="AB362" s="74">
        <v>1</v>
      </c>
      <c r="AC362" s="74" t="s">
        <v>47</v>
      </c>
      <c r="AD362" s="13">
        <v>114.37</v>
      </c>
      <c r="AE362" s="13">
        <v>823.82</v>
      </c>
      <c r="AF362" s="13">
        <f t="shared" si="316"/>
        <v>938.19</v>
      </c>
      <c r="AH362" s="89">
        <f t="shared" si="317"/>
        <v>-0.36661711987409296</v>
      </c>
      <c r="AI362" s="89">
        <f t="shared" si="318"/>
        <v>-0.23100920103906197</v>
      </c>
      <c r="AJ362" s="89">
        <f t="shared" si="319"/>
        <v>-0.24754047687568614</v>
      </c>
    </row>
    <row r="363" spans="1:36" x14ac:dyDescent="0.3">
      <c r="A363" s="17" t="s">
        <v>736</v>
      </c>
      <c r="B363" s="44" t="s">
        <v>737</v>
      </c>
      <c r="C363" s="12">
        <f t="shared" si="312"/>
        <v>572</v>
      </c>
      <c r="D363" s="41" t="str">
        <f t="shared" si="313"/>
        <v>m</v>
      </c>
      <c r="E363" s="41">
        <v>0</v>
      </c>
      <c r="F363" s="41">
        <v>6.41</v>
      </c>
      <c r="G363" s="41">
        <f t="shared" ref="G363:G368" si="320">F363+E363</f>
        <v>6.41</v>
      </c>
      <c r="H363" s="13">
        <f t="shared" ref="H363:H368" si="321">C363*E363</f>
        <v>0</v>
      </c>
      <c r="I363" s="13">
        <f t="shared" ref="I363:I368" si="322">C363*F363</f>
        <v>3666.52</v>
      </c>
      <c r="J363" s="14">
        <f t="shared" ref="J363:J368" si="323">SUM(E363:F363)*C363</f>
        <v>3666.52</v>
      </c>
      <c r="M363" s="54"/>
      <c r="N363" s="56"/>
      <c r="V363" s="74">
        <v>572</v>
      </c>
      <c r="W363" s="74" t="s">
        <v>76</v>
      </c>
      <c r="X363" s="13">
        <v>0</v>
      </c>
      <c r="Y363" s="13">
        <v>6.76</v>
      </c>
      <c r="Z363" s="13">
        <f t="shared" ref="Z363:Z368" si="324">SUM(X363:Y363)</f>
        <v>6.76</v>
      </c>
      <c r="AB363" s="74">
        <v>572</v>
      </c>
      <c r="AC363" s="74" t="s">
        <v>76</v>
      </c>
      <c r="AD363" s="13">
        <v>0</v>
      </c>
      <c r="AE363" s="13">
        <v>8.7100000000000009</v>
      </c>
      <c r="AF363" s="13">
        <f t="shared" ref="AF363:AF368" si="325">SUM(AD363:AE363)</f>
        <v>8.7100000000000009</v>
      </c>
      <c r="AH363" s="89">
        <f t="shared" si="317"/>
        <v>0</v>
      </c>
      <c r="AI363" s="89">
        <f t="shared" si="318"/>
        <v>-0.26406429391504027</v>
      </c>
      <c r="AJ363" s="89">
        <f t="shared" si="319"/>
        <v>-0.26406429391504027</v>
      </c>
    </row>
    <row r="364" spans="1:36" x14ac:dyDescent="0.3">
      <c r="A364" s="17" t="s">
        <v>738</v>
      </c>
      <c r="B364" s="44" t="s">
        <v>739</v>
      </c>
      <c r="C364" s="12">
        <f t="shared" si="312"/>
        <v>945</v>
      </c>
      <c r="D364" s="41" t="str">
        <f t="shared" si="313"/>
        <v>UN</v>
      </c>
      <c r="E364" s="41">
        <v>0</v>
      </c>
      <c r="F364" s="41">
        <v>12.58</v>
      </c>
      <c r="G364" s="41">
        <f t="shared" si="320"/>
        <v>12.58</v>
      </c>
      <c r="H364" s="13">
        <f t="shared" si="321"/>
        <v>0</v>
      </c>
      <c r="I364" s="13">
        <f t="shared" si="322"/>
        <v>11888.1</v>
      </c>
      <c r="J364" s="14">
        <f t="shared" si="323"/>
        <v>11888.1</v>
      </c>
      <c r="M364" s="54"/>
      <c r="N364" s="56"/>
      <c r="V364" s="74">
        <v>945</v>
      </c>
      <c r="W364" s="74" t="s">
        <v>47</v>
      </c>
      <c r="X364" s="13">
        <v>0</v>
      </c>
      <c r="Y364" s="13">
        <v>13.16</v>
      </c>
      <c r="Z364" s="13">
        <f t="shared" si="324"/>
        <v>13.16</v>
      </c>
      <c r="AB364" s="74">
        <v>945</v>
      </c>
      <c r="AC364" s="74" t="s">
        <v>47</v>
      </c>
      <c r="AD364" s="13">
        <v>0</v>
      </c>
      <c r="AE364" s="13">
        <v>16.95</v>
      </c>
      <c r="AF364" s="13">
        <f t="shared" si="325"/>
        <v>16.95</v>
      </c>
      <c r="AH364" s="89">
        <f t="shared" si="317"/>
        <v>0</v>
      </c>
      <c r="AI364" s="89">
        <f t="shared" si="318"/>
        <v>-0.2578171091445427</v>
      </c>
      <c r="AJ364" s="89">
        <f t="shared" si="319"/>
        <v>-0.2578171091445427</v>
      </c>
    </row>
    <row r="365" spans="1:36" x14ac:dyDescent="0.3">
      <c r="A365" s="17" t="s">
        <v>740</v>
      </c>
      <c r="B365" s="44" t="s">
        <v>741</v>
      </c>
      <c r="C365" s="12">
        <f t="shared" si="312"/>
        <v>1</v>
      </c>
      <c r="D365" s="41" t="str">
        <f t="shared" si="313"/>
        <v>UN</v>
      </c>
      <c r="E365" s="41">
        <v>28.93</v>
      </c>
      <c r="F365" s="41">
        <v>14.98</v>
      </c>
      <c r="G365" s="41">
        <f t="shared" si="320"/>
        <v>43.91</v>
      </c>
      <c r="H365" s="13">
        <f t="shared" si="321"/>
        <v>28.93</v>
      </c>
      <c r="I365" s="13">
        <f t="shared" si="322"/>
        <v>14.98</v>
      </c>
      <c r="J365" s="14">
        <f t="shared" si="323"/>
        <v>43.91</v>
      </c>
      <c r="M365" s="54"/>
      <c r="N365" s="56"/>
      <c r="V365" s="74">
        <v>1</v>
      </c>
      <c r="W365" s="74" t="s">
        <v>47</v>
      </c>
      <c r="X365" s="13">
        <v>40.98</v>
      </c>
      <c r="Y365" s="13">
        <v>15.76</v>
      </c>
      <c r="Z365" s="13">
        <f t="shared" si="324"/>
        <v>56.739999999999995</v>
      </c>
      <c r="AB365" s="74">
        <v>1</v>
      </c>
      <c r="AC365" s="74" t="s">
        <v>47</v>
      </c>
      <c r="AD365" s="13">
        <v>52.79</v>
      </c>
      <c r="AE365" s="13">
        <v>20.3</v>
      </c>
      <c r="AF365" s="13">
        <f t="shared" si="325"/>
        <v>73.09</v>
      </c>
      <c r="AH365" s="89">
        <f t="shared" si="317"/>
        <v>-0.45197954157984466</v>
      </c>
      <c r="AI365" s="89">
        <f t="shared" si="318"/>
        <v>-0.26206896551724135</v>
      </c>
      <c r="AJ365" s="89">
        <f t="shared" si="319"/>
        <v>-0.39923382131618557</v>
      </c>
    </row>
    <row r="366" spans="1:36" x14ac:dyDescent="0.3">
      <c r="A366" s="17" t="s">
        <v>742</v>
      </c>
      <c r="B366" s="44" t="s">
        <v>743</v>
      </c>
      <c r="C366" s="12">
        <f t="shared" si="312"/>
        <v>1</v>
      </c>
      <c r="D366" s="41" t="str">
        <f t="shared" si="313"/>
        <v>UN</v>
      </c>
      <c r="E366" s="41">
        <v>22.39</v>
      </c>
      <c r="F366" s="41">
        <v>21.89</v>
      </c>
      <c r="G366" s="41">
        <f t="shared" si="320"/>
        <v>44.28</v>
      </c>
      <c r="H366" s="13">
        <f t="shared" si="321"/>
        <v>22.39</v>
      </c>
      <c r="I366" s="13">
        <f t="shared" si="322"/>
        <v>21.89</v>
      </c>
      <c r="J366" s="14">
        <f t="shared" si="323"/>
        <v>44.28</v>
      </c>
      <c r="M366" s="54"/>
      <c r="N366" s="56"/>
      <c r="V366" s="74">
        <v>1</v>
      </c>
      <c r="W366" s="74" t="s">
        <v>47</v>
      </c>
      <c r="X366" s="13">
        <v>27.6</v>
      </c>
      <c r="Y366" s="13">
        <v>22.95</v>
      </c>
      <c r="Z366" s="13">
        <f t="shared" si="324"/>
        <v>50.55</v>
      </c>
      <c r="AB366" s="74">
        <v>1</v>
      </c>
      <c r="AC366" s="74" t="s">
        <v>47</v>
      </c>
      <c r="AD366" s="13">
        <v>35.549999999999997</v>
      </c>
      <c r="AE366" s="13">
        <v>29.56</v>
      </c>
      <c r="AF366" s="13">
        <f t="shared" si="325"/>
        <v>65.11</v>
      </c>
      <c r="AH366" s="89">
        <f t="shared" si="317"/>
        <v>-0.37018284106891697</v>
      </c>
      <c r="AI366" s="89">
        <f t="shared" si="318"/>
        <v>-0.25947225981055477</v>
      </c>
      <c r="AJ366" s="89">
        <f t="shared" si="319"/>
        <v>-0.31992013515589002</v>
      </c>
    </row>
    <row r="367" spans="1:36" x14ac:dyDescent="0.3">
      <c r="A367" s="17" t="s">
        <v>744</v>
      </c>
      <c r="B367" s="44" t="s">
        <v>745</v>
      </c>
      <c r="C367" s="12">
        <f t="shared" si="312"/>
        <v>1</v>
      </c>
      <c r="D367" s="41" t="str">
        <f t="shared" si="313"/>
        <v>UN</v>
      </c>
      <c r="E367" s="41">
        <v>29.73</v>
      </c>
      <c r="F367" s="41">
        <v>11.82</v>
      </c>
      <c r="G367" s="41">
        <f t="shared" si="320"/>
        <v>41.55</v>
      </c>
      <c r="H367" s="13">
        <f t="shared" si="321"/>
        <v>29.73</v>
      </c>
      <c r="I367" s="13">
        <f t="shared" si="322"/>
        <v>11.82</v>
      </c>
      <c r="J367" s="14">
        <f t="shared" si="323"/>
        <v>41.55</v>
      </c>
      <c r="M367" s="54"/>
      <c r="N367" s="56"/>
      <c r="V367" s="74">
        <v>1</v>
      </c>
      <c r="W367" s="74" t="s">
        <v>47</v>
      </c>
      <c r="X367" s="13">
        <v>34.1</v>
      </c>
      <c r="Y367" s="13">
        <v>12.35</v>
      </c>
      <c r="Z367" s="13">
        <f t="shared" si="324"/>
        <v>46.45</v>
      </c>
      <c r="AB367" s="74">
        <v>1</v>
      </c>
      <c r="AC367" s="74" t="s">
        <v>47</v>
      </c>
      <c r="AD367" s="13">
        <v>43.93</v>
      </c>
      <c r="AE367" s="13">
        <v>15.91</v>
      </c>
      <c r="AF367" s="13">
        <f t="shared" si="325"/>
        <v>59.84</v>
      </c>
      <c r="AH367" s="89">
        <f t="shared" si="317"/>
        <v>-0.32324152060095601</v>
      </c>
      <c r="AI367" s="89">
        <f t="shared" si="318"/>
        <v>-0.25707102451288499</v>
      </c>
      <c r="AJ367" s="89">
        <f t="shared" si="319"/>
        <v>-0.30564839572192526</v>
      </c>
    </row>
    <row r="368" spans="1:36" x14ac:dyDescent="0.3">
      <c r="A368" s="17" t="s">
        <v>746</v>
      </c>
      <c r="B368" s="44" t="s">
        <v>747</v>
      </c>
      <c r="C368" s="12">
        <f t="shared" si="312"/>
        <v>222</v>
      </c>
      <c r="D368" s="41" t="str">
        <f t="shared" si="313"/>
        <v>UN</v>
      </c>
      <c r="E368" s="41">
        <v>76.400000000000006</v>
      </c>
      <c r="F368" s="41">
        <v>29.97</v>
      </c>
      <c r="G368" s="41">
        <f t="shared" si="320"/>
        <v>106.37</v>
      </c>
      <c r="H368" s="13">
        <f t="shared" si="321"/>
        <v>16960.800000000003</v>
      </c>
      <c r="I368" s="13">
        <f t="shared" si="322"/>
        <v>6653.34</v>
      </c>
      <c r="J368" s="14">
        <f t="shared" si="323"/>
        <v>23614.14</v>
      </c>
      <c r="M368" s="54"/>
      <c r="N368" s="56"/>
      <c r="V368" s="74">
        <v>222</v>
      </c>
      <c r="W368" s="74" t="s">
        <v>47</v>
      </c>
      <c r="X368" s="13">
        <v>110.35</v>
      </c>
      <c r="Y368" s="13">
        <v>31.53</v>
      </c>
      <c r="Z368" s="13">
        <f t="shared" si="324"/>
        <v>141.88</v>
      </c>
      <c r="AB368" s="74">
        <v>222</v>
      </c>
      <c r="AC368" s="74" t="s">
        <v>47</v>
      </c>
      <c r="AD368" s="13">
        <v>142.15</v>
      </c>
      <c r="AE368" s="13">
        <v>40.619999999999997</v>
      </c>
      <c r="AF368" s="13">
        <f t="shared" si="325"/>
        <v>182.77</v>
      </c>
      <c r="AH368" s="89">
        <f t="shared" si="317"/>
        <v>-0.46253957087583542</v>
      </c>
      <c r="AI368" s="89">
        <f t="shared" si="318"/>
        <v>-0.26218611521418023</v>
      </c>
      <c r="AJ368" s="89">
        <f t="shared" si="319"/>
        <v>-0.41801170870492965</v>
      </c>
    </row>
    <row r="369" spans="1:36" x14ac:dyDescent="0.3">
      <c r="A369" s="17" t="s">
        <v>748</v>
      </c>
      <c r="B369" s="44" t="s">
        <v>749</v>
      </c>
      <c r="C369" s="12">
        <f t="shared" si="312"/>
        <v>36</v>
      </c>
      <c r="D369" s="41" t="str">
        <f t="shared" si="313"/>
        <v>UN</v>
      </c>
      <c r="E369" s="41">
        <v>349.79</v>
      </c>
      <c r="F369" s="41">
        <v>29.97</v>
      </c>
      <c r="G369" s="41">
        <f t="shared" si="314"/>
        <v>379.76</v>
      </c>
      <c r="H369" s="13">
        <f t="shared" si="307"/>
        <v>12592.44</v>
      </c>
      <c r="I369" s="13">
        <f t="shared" si="308"/>
        <v>1078.92</v>
      </c>
      <c r="J369" s="14">
        <f t="shared" si="309"/>
        <v>13671.36</v>
      </c>
      <c r="M369" s="54"/>
      <c r="N369" s="56"/>
      <c r="V369" s="74">
        <v>36</v>
      </c>
      <c r="W369" s="74" t="s">
        <v>47</v>
      </c>
      <c r="X369" s="13">
        <v>505.17</v>
      </c>
      <c r="Y369" s="13">
        <v>31.53</v>
      </c>
      <c r="Z369" s="13">
        <f t="shared" si="315"/>
        <v>536.70000000000005</v>
      </c>
      <c r="AB369" s="74">
        <v>36</v>
      </c>
      <c r="AC369" s="74" t="s">
        <v>47</v>
      </c>
      <c r="AD369" s="13">
        <v>650.76</v>
      </c>
      <c r="AE369" s="13">
        <v>40.619999999999997</v>
      </c>
      <c r="AF369" s="13">
        <f t="shared" ref="AF369:AF371" si="326">SUM(AD369:AE369)</f>
        <v>691.38</v>
      </c>
      <c r="AH369" s="89">
        <f t="shared" si="317"/>
        <v>-0.46249001167865267</v>
      </c>
      <c r="AI369" s="89">
        <f t="shared" si="318"/>
        <v>-0.26218611521418023</v>
      </c>
      <c r="AJ369" s="89">
        <f t="shared" si="319"/>
        <v>-0.45072174491596517</v>
      </c>
    </row>
    <row r="370" spans="1:36" x14ac:dyDescent="0.3">
      <c r="A370" s="17" t="s">
        <v>750</v>
      </c>
      <c r="B370" s="44" t="s">
        <v>751</v>
      </c>
      <c r="C370" s="12">
        <f t="shared" si="312"/>
        <v>1</v>
      </c>
      <c r="D370" s="41" t="str">
        <f t="shared" si="313"/>
        <v>m</v>
      </c>
      <c r="E370" s="41">
        <v>4.78</v>
      </c>
      <c r="F370" s="41">
        <v>3.62</v>
      </c>
      <c r="G370" s="41">
        <f t="shared" si="314"/>
        <v>8.4</v>
      </c>
      <c r="H370" s="13">
        <f t="shared" si="307"/>
        <v>4.78</v>
      </c>
      <c r="I370" s="13">
        <f t="shared" si="308"/>
        <v>3.62</v>
      </c>
      <c r="J370" s="14">
        <f t="shared" si="309"/>
        <v>8.4</v>
      </c>
      <c r="M370" s="54"/>
      <c r="N370" s="56"/>
      <c r="V370" s="74">
        <v>1</v>
      </c>
      <c r="W370" s="74" t="s">
        <v>76</v>
      </c>
      <c r="X370" s="13">
        <v>5.62</v>
      </c>
      <c r="Y370" s="13">
        <v>3.81</v>
      </c>
      <c r="Z370" s="13">
        <f t="shared" si="315"/>
        <v>9.43</v>
      </c>
      <c r="AB370" s="74">
        <v>1</v>
      </c>
      <c r="AC370" s="74" t="s">
        <v>76</v>
      </c>
      <c r="AD370" s="13">
        <v>7.24</v>
      </c>
      <c r="AE370" s="13">
        <v>4.91</v>
      </c>
      <c r="AF370" s="13">
        <f t="shared" si="326"/>
        <v>12.15</v>
      </c>
      <c r="AH370" s="89">
        <f t="shared" si="317"/>
        <v>-0.33977900552486184</v>
      </c>
      <c r="AI370" s="89">
        <f t="shared" si="318"/>
        <v>-0.2627291242362525</v>
      </c>
      <c r="AJ370" s="89">
        <f t="shared" si="319"/>
        <v>-0.30864197530864201</v>
      </c>
    </row>
    <row r="371" spans="1:36" x14ac:dyDescent="0.3">
      <c r="A371" s="17" t="s">
        <v>752</v>
      </c>
      <c r="B371" s="44" t="s">
        <v>753</v>
      </c>
      <c r="C371" s="12">
        <f t="shared" si="312"/>
        <v>1</v>
      </c>
      <c r="D371" s="41" t="str">
        <f t="shared" si="313"/>
        <v>m</v>
      </c>
      <c r="E371" s="41">
        <v>2.59</v>
      </c>
      <c r="F371" s="41">
        <v>3.62</v>
      </c>
      <c r="G371" s="41">
        <f t="shared" si="314"/>
        <v>6.21</v>
      </c>
      <c r="H371" s="13">
        <f t="shared" si="307"/>
        <v>2.59</v>
      </c>
      <c r="I371" s="13">
        <f t="shared" si="308"/>
        <v>3.62</v>
      </c>
      <c r="J371" s="14">
        <f t="shared" si="309"/>
        <v>6.21</v>
      </c>
      <c r="M371" s="54"/>
      <c r="N371" s="56"/>
      <c r="V371" s="74">
        <v>1</v>
      </c>
      <c r="W371" s="74" t="s">
        <v>76</v>
      </c>
      <c r="X371" s="13">
        <v>2.96</v>
      </c>
      <c r="Y371" s="13">
        <v>3.81</v>
      </c>
      <c r="Z371" s="13">
        <f t="shared" si="315"/>
        <v>6.77</v>
      </c>
      <c r="AB371" s="74">
        <v>1</v>
      </c>
      <c r="AC371" s="74" t="s">
        <v>76</v>
      </c>
      <c r="AD371" s="13">
        <v>3.81</v>
      </c>
      <c r="AE371" s="13">
        <v>4.91</v>
      </c>
      <c r="AF371" s="13">
        <f t="shared" si="326"/>
        <v>8.7200000000000006</v>
      </c>
      <c r="AH371" s="89">
        <f t="shared" si="317"/>
        <v>-0.32020997375328086</v>
      </c>
      <c r="AI371" s="89">
        <f t="shared" si="318"/>
        <v>-0.2627291242362525</v>
      </c>
      <c r="AJ371" s="89">
        <f t="shared" si="319"/>
        <v>-0.28784403669724778</v>
      </c>
    </row>
    <row r="372" spans="1:36" x14ac:dyDescent="0.3">
      <c r="A372" s="19">
        <v>20</v>
      </c>
      <c r="B372" s="20" t="s">
        <v>754</v>
      </c>
      <c r="C372" s="76"/>
      <c r="D372" s="58"/>
      <c r="E372" s="58">
        <v>0</v>
      </c>
      <c r="F372" s="58">
        <v>0</v>
      </c>
      <c r="G372" s="58"/>
      <c r="H372" s="24">
        <f t="shared" ref="H372:I372" si="327">SUM(H373:H395)</f>
        <v>98993.85</v>
      </c>
      <c r="I372" s="24">
        <f t="shared" si="327"/>
        <v>107762.82999999999</v>
      </c>
      <c r="J372" s="24">
        <f>SUM(J373:J395)</f>
        <v>206756.67999999996</v>
      </c>
      <c r="M372" s="54"/>
      <c r="N372" s="56"/>
      <c r="V372" s="75"/>
      <c r="W372" s="75"/>
      <c r="X372" s="23"/>
      <c r="Y372" s="23"/>
      <c r="Z372" s="23"/>
      <c r="AB372" s="75"/>
      <c r="AC372" s="75"/>
      <c r="AD372" s="23"/>
      <c r="AE372" s="23"/>
      <c r="AF372" s="23"/>
      <c r="AH372" s="89">
        <f t="shared" si="317"/>
        <v>0</v>
      </c>
      <c r="AI372" s="89">
        <f t="shared" si="318"/>
        <v>0</v>
      </c>
      <c r="AJ372" s="89">
        <f t="shared" si="319"/>
        <v>0</v>
      </c>
    </row>
    <row r="373" spans="1:36" x14ac:dyDescent="0.3">
      <c r="A373" s="21" t="s">
        <v>755</v>
      </c>
      <c r="B373" s="11" t="s">
        <v>756</v>
      </c>
      <c r="C373" s="12">
        <f t="shared" ref="C373:C395" si="328">V373</f>
        <v>1</v>
      </c>
      <c r="D373" s="41" t="str">
        <f t="shared" ref="D373:D395" si="329">W373</f>
        <v>un</v>
      </c>
      <c r="E373" s="41">
        <v>45.93</v>
      </c>
      <c r="F373" s="41">
        <v>22.21</v>
      </c>
      <c r="G373" s="41">
        <f t="shared" si="314"/>
        <v>68.14</v>
      </c>
      <c r="H373" s="13">
        <f t="shared" ref="H373:H395" si="330">C373*E373</f>
        <v>45.93</v>
      </c>
      <c r="I373" s="13">
        <f t="shared" ref="I373:I395" si="331">C373*F373</f>
        <v>22.21</v>
      </c>
      <c r="J373" s="14">
        <f t="shared" si="309"/>
        <v>68.14</v>
      </c>
      <c r="M373" s="54"/>
      <c r="N373" s="56"/>
      <c r="V373" s="74">
        <v>1</v>
      </c>
      <c r="W373" s="74" t="s">
        <v>110</v>
      </c>
      <c r="X373" s="13">
        <v>48.24</v>
      </c>
      <c r="Y373" s="13">
        <v>23.2</v>
      </c>
      <c r="Z373" s="13">
        <f t="shared" ref="Z373:Z395" si="332">SUM(X373:Y373)</f>
        <v>71.44</v>
      </c>
      <c r="AB373" s="74">
        <v>1</v>
      </c>
      <c r="AC373" s="74" t="s">
        <v>110</v>
      </c>
      <c r="AD373" s="13">
        <v>62.14</v>
      </c>
      <c r="AE373" s="13">
        <v>29.89</v>
      </c>
      <c r="AF373" s="13">
        <f t="shared" ref="AF373:AF395" si="333">SUM(AD373:AE373)</f>
        <v>92.03</v>
      </c>
      <c r="AH373" s="89">
        <f t="shared" si="317"/>
        <v>-0.26086256839394917</v>
      </c>
      <c r="AI373" s="89">
        <f t="shared" si="318"/>
        <v>-0.25694212111073933</v>
      </c>
      <c r="AJ373" s="89">
        <f t="shared" si="319"/>
        <v>-0.25958926437031404</v>
      </c>
    </row>
    <row r="374" spans="1:36" x14ac:dyDescent="0.3">
      <c r="A374" s="21" t="s">
        <v>757</v>
      </c>
      <c r="B374" s="11" t="s">
        <v>758</v>
      </c>
      <c r="C374" s="12">
        <f t="shared" si="328"/>
        <v>1</v>
      </c>
      <c r="D374" s="41" t="str">
        <f t="shared" si="329"/>
        <v>un</v>
      </c>
      <c r="E374" s="41">
        <v>48.6</v>
      </c>
      <c r="F374" s="41">
        <v>22.21</v>
      </c>
      <c r="G374" s="41">
        <f t="shared" si="314"/>
        <v>70.81</v>
      </c>
      <c r="H374" s="13">
        <f t="shared" si="330"/>
        <v>48.6</v>
      </c>
      <c r="I374" s="13">
        <f t="shared" si="331"/>
        <v>22.21</v>
      </c>
      <c r="J374" s="14">
        <f t="shared" si="309"/>
        <v>70.81</v>
      </c>
      <c r="M374" s="54"/>
      <c r="N374" s="56"/>
      <c r="V374" s="74">
        <v>1</v>
      </c>
      <c r="W374" s="74" t="s">
        <v>110</v>
      </c>
      <c r="X374" s="13">
        <v>51.07</v>
      </c>
      <c r="Y374" s="13">
        <v>23.2</v>
      </c>
      <c r="Z374" s="13">
        <f t="shared" si="332"/>
        <v>74.27</v>
      </c>
      <c r="AB374" s="74">
        <v>1</v>
      </c>
      <c r="AC374" s="74" t="s">
        <v>110</v>
      </c>
      <c r="AD374" s="13">
        <v>65.790000000000006</v>
      </c>
      <c r="AE374" s="13">
        <v>29.89</v>
      </c>
      <c r="AF374" s="13">
        <f t="shared" si="333"/>
        <v>95.68</v>
      </c>
      <c r="AH374" s="89">
        <f t="shared" si="317"/>
        <v>-0.26128590971272236</v>
      </c>
      <c r="AI374" s="89">
        <f t="shared" si="318"/>
        <v>-0.25694212111073933</v>
      </c>
      <c r="AJ374" s="89">
        <f t="shared" si="319"/>
        <v>-0.25992892976588633</v>
      </c>
    </row>
    <row r="375" spans="1:36" x14ac:dyDescent="0.3">
      <c r="A375" s="21" t="s">
        <v>759</v>
      </c>
      <c r="B375" s="11" t="s">
        <v>760</v>
      </c>
      <c r="C375" s="12">
        <f t="shared" si="328"/>
        <v>1</v>
      </c>
      <c r="D375" s="41" t="str">
        <f t="shared" si="329"/>
        <v>un</v>
      </c>
      <c r="E375" s="41">
        <v>157.19</v>
      </c>
      <c r="F375" s="41">
        <v>22.21</v>
      </c>
      <c r="G375" s="41">
        <f t="shared" si="314"/>
        <v>179.4</v>
      </c>
      <c r="H375" s="13">
        <f t="shared" si="330"/>
        <v>157.19</v>
      </c>
      <c r="I375" s="13">
        <f t="shared" si="331"/>
        <v>22.21</v>
      </c>
      <c r="J375" s="14">
        <f t="shared" ref="J375:J422" si="334">SUM(E375:F375)*C375</f>
        <v>179.4</v>
      </c>
      <c r="M375" s="54"/>
      <c r="N375" s="56"/>
      <c r="V375" s="74">
        <v>1</v>
      </c>
      <c r="W375" s="74" t="s">
        <v>110</v>
      </c>
      <c r="X375" s="13">
        <v>165.08</v>
      </c>
      <c r="Y375" s="13">
        <v>23.2</v>
      </c>
      <c r="Z375" s="13">
        <f t="shared" si="332"/>
        <v>188.28</v>
      </c>
      <c r="AB375" s="74">
        <v>1</v>
      </c>
      <c r="AC375" s="74" t="s">
        <v>110</v>
      </c>
      <c r="AD375" s="13">
        <v>212.66</v>
      </c>
      <c r="AE375" s="13">
        <v>29.89</v>
      </c>
      <c r="AF375" s="13">
        <f t="shared" si="333"/>
        <v>242.55</v>
      </c>
      <c r="AH375" s="89">
        <f t="shared" si="317"/>
        <v>-0.26083889777109004</v>
      </c>
      <c r="AI375" s="89">
        <f t="shared" si="318"/>
        <v>-0.25694212111073933</v>
      </c>
      <c r="AJ375" s="89">
        <f t="shared" si="319"/>
        <v>-0.26035868893011749</v>
      </c>
    </row>
    <row r="376" spans="1:36" x14ac:dyDescent="0.3">
      <c r="A376" s="21" t="s">
        <v>761</v>
      </c>
      <c r="B376" s="11" t="s">
        <v>762</v>
      </c>
      <c r="C376" s="12">
        <f t="shared" si="328"/>
        <v>1</v>
      </c>
      <c r="D376" s="41" t="str">
        <f t="shared" si="329"/>
        <v>un</v>
      </c>
      <c r="E376" s="41">
        <v>230.86</v>
      </c>
      <c r="F376" s="41">
        <v>34.950000000000003</v>
      </c>
      <c r="G376" s="41">
        <f t="shared" si="314"/>
        <v>265.81</v>
      </c>
      <c r="H376" s="13">
        <f t="shared" si="330"/>
        <v>230.86</v>
      </c>
      <c r="I376" s="13">
        <f t="shared" si="331"/>
        <v>34.950000000000003</v>
      </c>
      <c r="J376" s="14">
        <f t="shared" si="334"/>
        <v>265.81</v>
      </c>
      <c r="M376" s="54"/>
      <c r="N376" s="56"/>
      <c r="V376" s="74">
        <v>1</v>
      </c>
      <c r="W376" s="74" t="s">
        <v>110</v>
      </c>
      <c r="X376" s="13">
        <v>242.69</v>
      </c>
      <c r="Y376" s="13">
        <v>36.520000000000003</v>
      </c>
      <c r="Z376" s="13">
        <f t="shared" si="332"/>
        <v>279.20999999999998</v>
      </c>
      <c r="AB376" s="74">
        <v>1</v>
      </c>
      <c r="AC376" s="74" t="s">
        <v>110</v>
      </c>
      <c r="AD376" s="13">
        <v>312.63</v>
      </c>
      <c r="AE376" s="13">
        <v>47.05</v>
      </c>
      <c r="AF376" s="13">
        <f t="shared" si="333"/>
        <v>359.68</v>
      </c>
      <c r="AH376" s="89">
        <f t="shared" si="317"/>
        <v>-0.26155519303969543</v>
      </c>
      <c r="AI376" s="89">
        <f t="shared" si="318"/>
        <v>-0.25717321997874587</v>
      </c>
      <c r="AJ376" s="89">
        <f t="shared" si="319"/>
        <v>-0.26098198398576511</v>
      </c>
    </row>
    <row r="377" spans="1:36" x14ac:dyDescent="0.3">
      <c r="A377" s="21" t="s">
        <v>763</v>
      </c>
      <c r="B377" s="11" t="s">
        <v>764</v>
      </c>
      <c r="C377" s="12">
        <f t="shared" si="328"/>
        <v>1</v>
      </c>
      <c r="D377" s="41" t="str">
        <f t="shared" si="329"/>
        <v>un</v>
      </c>
      <c r="E377" s="41">
        <v>90.01</v>
      </c>
      <c r="F377" s="41">
        <v>22.21</v>
      </c>
      <c r="G377" s="41">
        <f t="shared" si="314"/>
        <v>112.22</v>
      </c>
      <c r="H377" s="13">
        <f t="shared" si="330"/>
        <v>90.01</v>
      </c>
      <c r="I377" s="13">
        <f t="shared" si="331"/>
        <v>22.21</v>
      </c>
      <c r="J377" s="14">
        <f t="shared" si="334"/>
        <v>112.22</v>
      </c>
      <c r="M377" s="54"/>
      <c r="N377" s="56"/>
      <c r="V377" s="74">
        <v>1</v>
      </c>
      <c r="W377" s="74" t="s">
        <v>110</v>
      </c>
      <c r="X377" s="13">
        <v>94.7</v>
      </c>
      <c r="Y377" s="13">
        <v>23.2</v>
      </c>
      <c r="Z377" s="13">
        <f t="shared" si="332"/>
        <v>117.9</v>
      </c>
      <c r="AB377" s="74">
        <v>1</v>
      </c>
      <c r="AC377" s="74" t="s">
        <v>110</v>
      </c>
      <c r="AD377" s="13">
        <v>121.99</v>
      </c>
      <c r="AE377" s="13">
        <v>29.89</v>
      </c>
      <c r="AF377" s="13">
        <f t="shared" si="333"/>
        <v>151.88</v>
      </c>
      <c r="AH377" s="89">
        <f t="shared" si="317"/>
        <v>-0.26215263546192302</v>
      </c>
      <c r="AI377" s="89">
        <f t="shared" si="318"/>
        <v>-0.25694212111073933</v>
      </c>
      <c r="AJ377" s="89">
        <f t="shared" si="319"/>
        <v>-0.26112720568870162</v>
      </c>
    </row>
    <row r="378" spans="1:36" x14ac:dyDescent="0.3">
      <c r="A378" s="21" t="s">
        <v>765</v>
      </c>
      <c r="B378" s="11" t="s">
        <v>766</v>
      </c>
      <c r="C378" s="12">
        <f t="shared" si="328"/>
        <v>1</v>
      </c>
      <c r="D378" s="41" t="str">
        <f t="shared" si="329"/>
        <v>un</v>
      </c>
      <c r="E378" s="41">
        <v>124.87</v>
      </c>
      <c r="F378" s="41">
        <v>34.950000000000003</v>
      </c>
      <c r="G378" s="41">
        <f t="shared" si="314"/>
        <v>159.82</v>
      </c>
      <c r="H378" s="13">
        <f t="shared" si="330"/>
        <v>124.87</v>
      </c>
      <c r="I378" s="13">
        <f t="shared" si="331"/>
        <v>34.950000000000003</v>
      </c>
      <c r="J378" s="14">
        <f t="shared" si="334"/>
        <v>159.82</v>
      </c>
      <c r="M378" s="54"/>
      <c r="N378" s="56"/>
      <c r="V378" s="74">
        <v>1</v>
      </c>
      <c r="W378" s="74" t="s">
        <v>110</v>
      </c>
      <c r="X378" s="13">
        <v>132.22</v>
      </c>
      <c r="Y378" s="13">
        <v>36.520000000000003</v>
      </c>
      <c r="Z378" s="13">
        <f t="shared" si="332"/>
        <v>168.74</v>
      </c>
      <c r="AB378" s="74">
        <v>1</v>
      </c>
      <c r="AC378" s="74" t="s">
        <v>110</v>
      </c>
      <c r="AD378" s="13">
        <v>170.33</v>
      </c>
      <c r="AE378" s="13">
        <v>47.05</v>
      </c>
      <c r="AF378" s="13">
        <f t="shared" si="333"/>
        <v>217.38</v>
      </c>
      <c r="AH378" s="89">
        <f t="shared" si="317"/>
        <v>-0.26689367697998012</v>
      </c>
      <c r="AI378" s="89">
        <f t="shared" si="318"/>
        <v>-0.25717321997874587</v>
      </c>
      <c r="AJ378" s="89">
        <f t="shared" si="319"/>
        <v>-0.26478976906799156</v>
      </c>
    </row>
    <row r="379" spans="1:36" x14ac:dyDescent="0.3">
      <c r="A379" s="21" t="s">
        <v>767</v>
      </c>
      <c r="B379" s="11" t="s">
        <v>768</v>
      </c>
      <c r="C379" s="12">
        <f t="shared" si="328"/>
        <v>1</v>
      </c>
      <c r="D379" s="41" t="str">
        <f t="shared" si="329"/>
        <v>un</v>
      </c>
      <c r="E379" s="41">
        <v>206.8</v>
      </c>
      <c r="F379" s="41">
        <v>34.950000000000003</v>
      </c>
      <c r="G379" s="41">
        <f t="shared" si="314"/>
        <v>241.75</v>
      </c>
      <c r="H379" s="13">
        <f t="shared" si="330"/>
        <v>206.8</v>
      </c>
      <c r="I379" s="13">
        <f t="shared" si="331"/>
        <v>34.950000000000003</v>
      </c>
      <c r="J379" s="14">
        <f t="shared" si="334"/>
        <v>241.75</v>
      </c>
      <c r="M379" s="54"/>
      <c r="N379" s="56"/>
      <c r="V379" s="74">
        <v>1</v>
      </c>
      <c r="W379" s="74" t="s">
        <v>110</v>
      </c>
      <c r="X379" s="13">
        <v>218.08</v>
      </c>
      <c r="Y379" s="13">
        <v>36.520000000000003</v>
      </c>
      <c r="Z379" s="13">
        <f t="shared" si="332"/>
        <v>254.60000000000002</v>
      </c>
      <c r="AB379" s="74">
        <v>1</v>
      </c>
      <c r="AC379" s="74" t="s">
        <v>110</v>
      </c>
      <c r="AD379" s="13">
        <v>280.93</v>
      </c>
      <c r="AE379" s="13">
        <v>47.05</v>
      </c>
      <c r="AF379" s="13">
        <f t="shared" si="333"/>
        <v>327.98</v>
      </c>
      <c r="AH379" s="89">
        <f t="shared" si="317"/>
        <v>-0.26387356280924068</v>
      </c>
      <c r="AI379" s="89">
        <f t="shared" si="318"/>
        <v>-0.25717321997874587</v>
      </c>
      <c r="AJ379" s="89">
        <f t="shared" si="319"/>
        <v>-0.26291237270565282</v>
      </c>
    </row>
    <row r="380" spans="1:36" x14ac:dyDescent="0.3">
      <c r="A380" s="21" t="s">
        <v>769</v>
      </c>
      <c r="B380" s="11" t="s">
        <v>770</v>
      </c>
      <c r="C380" s="12">
        <f t="shared" si="328"/>
        <v>1</v>
      </c>
      <c r="D380" s="41" t="str">
        <f t="shared" si="329"/>
        <v>un</v>
      </c>
      <c r="E380" s="41">
        <v>222.12</v>
      </c>
      <c r="F380" s="41">
        <v>34.950000000000003</v>
      </c>
      <c r="G380" s="41">
        <f t="shared" si="314"/>
        <v>257.07</v>
      </c>
      <c r="H380" s="13">
        <f t="shared" si="330"/>
        <v>222.12</v>
      </c>
      <c r="I380" s="13">
        <f t="shared" si="331"/>
        <v>34.950000000000003</v>
      </c>
      <c r="J380" s="14">
        <f t="shared" si="334"/>
        <v>257.07</v>
      </c>
      <c r="M380" s="54"/>
      <c r="N380" s="56"/>
      <c r="V380" s="74">
        <v>1</v>
      </c>
      <c r="W380" s="74" t="s">
        <v>110</v>
      </c>
      <c r="X380" s="13">
        <v>236.72</v>
      </c>
      <c r="Y380" s="13">
        <v>36.520000000000003</v>
      </c>
      <c r="Z380" s="13">
        <f t="shared" si="332"/>
        <v>273.24</v>
      </c>
      <c r="AB380" s="74">
        <v>1</v>
      </c>
      <c r="AC380" s="74" t="s">
        <v>110</v>
      </c>
      <c r="AD380" s="13">
        <v>304.94</v>
      </c>
      <c r="AE380" s="13">
        <v>47.05</v>
      </c>
      <c r="AF380" s="13">
        <f t="shared" si="333"/>
        <v>351.99</v>
      </c>
      <c r="AH380" s="89">
        <f t="shared" si="317"/>
        <v>-0.2715944120154784</v>
      </c>
      <c r="AI380" s="89">
        <f t="shared" si="318"/>
        <v>-0.25717321997874587</v>
      </c>
      <c r="AJ380" s="89">
        <f t="shared" si="319"/>
        <v>-0.26966675189636069</v>
      </c>
    </row>
    <row r="381" spans="1:36" x14ac:dyDescent="0.3">
      <c r="A381" s="21" t="s">
        <v>771</v>
      </c>
      <c r="B381" s="11" t="s">
        <v>772</v>
      </c>
      <c r="C381" s="12">
        <f t="shared" si="328"/>
        <v>1</v>
      </c>
      <c r="D381" s="41" t="str">
        <f t="shared" si="329"/>
        <v>un</v>
      </c>
      <c r="E381" s="41">
        <v>431.76</v>
      </c>
      <c r="F381" s="41">
        <v>47.29</v>
      </c>
      <c r="G381" s="41">
        <f t="shared" si="314"/>
        <v>479.05</v>
      </c>
      <c r="H381" s="13">
        <f t="shared" si="330"/>
        <v>431.76</v>
      </c>
      <c r="I381" s="13">
        <f t="shared" si="331"/>
        <v>47.29</v>
      </c>
      <c r="J381" s="14">
        <f t="shared" si="334"/>
        <v>479.05</v>
      </c>
      <c r="M381" s="54"/>
      <c r="N381" s="55"/>
      <c r="V381" s="74">
        <v>1</v>
      </c>
      <c r="W381" s="74" t="s">
        <v>110</v>
      </c>
      <c r="X381" s="13">
        <v>458.63</v>
      </c>
      <c r="Y381" s="13">
        <v>49.42</v>
      </c>
      <c r="Z381" s="13">
        <f t="shared" si="332"/>
        <v>508.05</v>
      </c>
      <c r="AB381" s="74">
        <v>1</v>
      </c>
      <c r="AC381" s="74" t="s">
        <v>110</v>
      </c>
      <c r="AD381" s="13">
        <v>590.80999999999995</v>
      </c>
      <c r="AE381" s="13">
        <v>63.66</v>
      </c>
      <c r="AF381" s="13">
        <f t="shared" si="333"/>
        <v>654.46999999999991</v>
      </c>
      <c r="AH381" s="89">
        <f t="shared" si="317"/>
        <v>-0.26920668235134815</v>
      </c>
      <c r="AI381" s="89">
        <f t="shared" si="318"/>
        <v>-0.2571473452717562</v>
      </c>
      <c r="AJ381" s="89">
        <f t="shared" si="319"/>
        <v>-0.2680336761043286</v>
      </c>
    </row>
    <row r="382" spans="1:36" x14ac:dyDescent="0.3">
      <c r="A382" s="21" t="s">
        <v>773</v>
      </c>
      <c r="B382" s="11" t="s">
        <v>774</v>
      </c>
      <c r="C382" s="12">
        <f t="shared" si="328"/>
        <v>1</v>
      </c>
      <c r="D382" s="41" t="str">
        <f t="shared" si="329"/>
        <v>un</v>
      </c>
      <c r="E382" s="41">
        <v>182.6</v>
      </c>
      <c r="F382" s="41">
        <v>25.08</v>
      </c>
      <c r="G382" s="41">
        <f t="shared" si="314"/>
        <v>207.68</v>
      </c>
      <c r="H382" s="13">
        <f t="shared" si="330"/>
        <v>182.6</v>
      </c>
      <c r="I382" s="13">
        <f t="shared" si="331"/>
        <v>25.08</v>
      </c>
      <c r="J382" s="14">
        <f t="shared" si="334"/>
        <v>207.68</v>
      </c>
      <c r="M382" s="54"/>
      <c r="N382" s="56"/>
      <c r="V382" s="74">
        <v>1</v>
      </c>
      <c r="W382" s="74" t="s">
        <v>110</v>
      </c>
      <c r="X382" s="13">
        <v>204.87</v>
      </c>
      <c r="Y382" s="13">
        <v>26.21</v>
      </c>
      <c r="Z382" s="13">
        <f t="shared" si="332"/>
        <v>231.08</v>
      </c>
      <c r="AB382" s="74">
        <v>1</v>
      </c>
      <c r="AC382" s="74" t="s">
        <v>110</v>
      </c>
      <c r="AD382" s="13">
        <v>263.91000000000003</v>
      </c>
      <c r="AE382" s="13">
        <v>33.76</v>
      </c>
      <c r="AF382" s="13">
        <f t="shared" si="333"/>
        <v>297.67</v>
      </c>
      <c r="AH382" s="89">
        <f t="shared" si="317"/>
        <v>-0.3080974574665607</v>
      </c>
      <c r="AI382" s="89">
        <f t="shared" si="318"/>
        <v>-0.25710900473933651</v>
      </c>
      <c r="AJ382" s="89">
        <f t="shared" si="319"/>
        <v>-0.30231464373299288</v>
      </c>
    </row>
    <row r="383" spans="1:36" x14ac:dyDescent="0.3">
      <c r="A383" s="21" t="s">
        <v>775</v>
      </c>
      <c r="B383" s="11" t="s">
        <v>776</v>
      </c>
      <c r="C383" s="12">
        <f t="shared" si="328"/>
        <v>1</v>
      </c>
      <c r="D383" s="41" t="str">
        <f t="shared" si="329"/>
        <v>un</v>
      </c>
      <c r="E383" s="41">
        <v>83.64</v>
      </c>
      <c r="F383" s="41">
        <v>13.84</v>
      </c>
      <c r="G383" s="41">
        <f t="shared" ref="G383:G449" si="335">F383+E383</f>
        <v>97.48</v>
      </c>
      <c r="H383" s="13">
        <f t="shared" si="330"/>
        <v>83.64</v>
      </c>
      <c r="I383" s="13">
        <f t="shared" si="331"/>
        <v>13.84</v>
      </c>
      <c r="J383" s="14">
        <f t="shared" si="334"/>
        <v>97.48</v>
      </c>
      <c r="M383" s="54"/>
      <c r="N383" s="56"/>
      <c r="V383" s="74">
        <v>1</v>
      </c>
      <c r="W383" s="74" t="s">
        <v>110</v>
      </c>
      <c r="X383" s="13">
        <v>109.09</v>
      </c>
      <c r="Y383" s="13">
        <v>14.47</v>
      </c>
      <c r="Z383" s="13">
        <f t="shared" si="332"/>
        <v>123.56</v>
      </c>
      <c r="AB383" s="74">
        <v>1</v>
      </c>
      <c r="AC383" s="74" t="s">
        <v>110</v>
      </c>
      <c r="AD383" s="13">
        <v>140.53</v>
      </c>
      <c r="AE383" s="13">
        <v>18.64</v>
      </c>
      <c r="AF383" s="13">
        <f t="shared" si="333"/>
        <v>159.17000000000002</v>
      </c>
      <c r="AH383" s="89">
        <f t="shared" si="317"/>
        <v>-0.40482459261367676</v>
      </c>
      <c r="AI383" s="89">
        <f t="shared" si="318"/>
        <v>-0.25751072961373389</v>
      </c>
      <c r="AJ383" s="89">
        <f t="shared" si="319"/>
        <v>-0.38757303511968344</v>
      </c>
    </row>
    <row r="384" spans="1:36" x14ac:dyDescent="0.3">
      <c r="A384" s="21" t="s">
        <v>777</v>
      </c>
      <c r="B384" s="11" t="s">
        <v>778</v>
      </c>
      <c r="C384" s="12">
        <f t="shared" si="328"/>
        <v>15</v>
      </c>
      <c r="D384" s="41" t="str">
        <f t="shared" si="329"/>
        <v>un</v>
      </c>
      <c r="E384" s="41">
        <v>720.92</v>
      </c>
      <c r="F384" s="41">
        <v>316.67</v>
      </c>
      <c r="G384" s="41">
        <f t="shared" si="335"/>
        <v>1037.5899999999999</v>
      </c>
      <c r="H384" s="13">
        <f t="shared" si="330"/>
        <v>10813.8</v>
      </c>
      <c r="I384" s="13">
        <f t="shared" si="331"/>
        <v>4750.05</v>
      </c>
      <c r="J384" s="14">
        <f t="shared" si="334"/>
        <v>15563.849999999999</v>
      </c>
      <c r="M384" s="54"/>
      <c r="N384" s="56"/>
      <c r="V384" s="74">
        <v>15</v>
      </c>
      <c r="W384" s="74" t="s">
        <v>110</v>
      </c>
      <c r="X384" s="13">
        <v>838.39</v>
      </c>
      <c r="Y384" s="13">
        <v>330.87</v>
      </c>
      <c r="Z384" s="13">
        <f t="shared" si="332"/>
        <v>1169.26</v>
      </c>
      <c r="AB384" s="74">
        <v>15</v>
      </c>
      <c r="AC384" s="74" t="s">
        <v>110</v>
      </c>
      <c r="AD384" s="13">
        <v>1080.01</v>
      </c>
      <c r="AE384" s="13">
        <v>426.23</v>
      </c>
      <c r="AF384" s="13">
        <f t="shared" si="333"/>
        <v>1506.24</v>
      </c>
      <c r="AH384" s="89">
        <f t="shared" si="317"/>
        <v>-0.33248766215127645</v>
      </c>
      <c r="AI384" s="89">
        <f t="shared" si="318"/>
        <v>-0.25704431879501677</v>
      </c>
      <c r="AJ384" s="89">
        <f t="shared" si="319"/>
        <v>-0.31113899511366061</v>
      </c>
    </row>
    <row r="385" spans="1:36" x14ac:dyDescent="0.3">
      <c r="A385" s="21" t="s">
        <v>779</v>
      </c>
      <c r="B385" s="11" t="s">
        <v>780</v>
      </c>
      <c r="C385" s="12">
        <f t="shared" si="328"/>
        <v>1</v>
      </c>
      <c r="D385" s="41" t="str">
        <f t="shared" si="329"/>
        <v>un</v>
      </c>
      <c r="E385" s="41">
        <v>1247.05</v>
      </c>
      <c r="F385" s="41">
        <v>316.67</v>
      </c>
      <c r="G385" s="41">
        <f t="shared" si="335"/>
        <v>1563.72</v>
      </c>
      <c r="H385" s="13">
        <f t="shared" si="330"/>
        <v>1247.05</v>
      </c>
      <c r="I385" s="13">
        <f t="shared" si="331"/>
        <v>316.67</v>
      </c>
      <c r="J385" s="14">
        <f t="shared" si="334"/>
        <v>1563.72</v>
      </c>
      <c r="M385" s="54"/>
      <c r="N385" s="56"/>
      <c r="V385" s="74">
        <v>1</v>
      </c>
      <c r="W385" s="74" t="s">
        <v>110</v>
      </c>
      <c r="X385" s="13">
        <v>1441.4</v>
      </c>
      <c r="Y385" s="13">
        <v>330.87</v>
      </c>
      <c r="Z385" s="13">
        <f t="shared" si="332"/>
        <v>1772.27</v>
      </c>
      <c r="AB385" s="74">
        <v>1</v>
      </c>
      <c r="AC385" s="74" t="s">
        <v>110</v>
      </c>
      <c r="AD385" s="13">
        <v>1856.81</v>
      </c>
      <c r="AE385" s="13">
        <v>426.23</v>
      </c>
      <c r="AF385" s="13">
        <f t="shared" si="333"/>
        <v>2283.04</v>
      </c>
      <c r="AH385" s="89">
        <f t="shared" si="317"/>
        <v>-0.32839116549350766</v>
      </c>
      <c r="AI385" s="89">
        <f t="shared" si="318"/>
        <v>-0.25704431879501677</v>
      </c>
      <c r="AJ385" s="89">
        <f t="shared" si="319"/>
        <v>-0.31507113322587421</v>
      </c>
    </row>
    <row r="386" spans="1:36" x14ac:dyDescent="0.3">
      <c r="A386" s="21" t="s">
        <v>781</v>
      </c>
      <c r="B386" s="11" t="s">
        <v>782</v>
      </c>
      <c r="C386" s="12">
        <f t="shared" ref="C386:C387" si="336">V386</f>
        <v>531</v>
      </c>
      <c r="D386" s="41" t="str">
        <f t="shared" ref="D386:D387" si="337">W386</f>
        <v>un</v>
      </c>
      <c r="E386" s="41">
        <v>28.76</v>
      </c>
      <c r="F386" s="41">
        <v>71.97</v>
      </c>
      <c r="G386" s="41">
        <f t="shared" ref="G386:G387" si="338">F386+E386</f>
        <v>100.73</v>
      </c>
      <c r="H386" s="13">
        <f t="shared" ref="H386:H387" si="339">C386*E386</f>
        <v>15271.560000000001</v>
      </c>
      <c r="I386" s="13">
        <f t="shared" ref="I386:I387" si="340">C386*F386</f>
        <v>38216.07</v>
      </c>
      <c r="J386" s="14">
        <f t="shared" ref="J386:J387" si="341">SUM(E386:F386)*C386</f>
        <v>53487.630000000005</v>
      </c>
      <c r="M386" s="54"/>
      <c r="N386" s="56"/>
      <c r="V386" s="74">
        <v>531</v>
      </c>
      <c r="W386" s="74" t="s">
        <v>110</v>
      </c>
      <c r="X386" s="13">
        <v>34.380000000000003</v>
      </c>
      <c r="Y386" s="13">
        <v>75.2</v>
      </c>
      <c r="Z386" s="13">
        <f t="shared" ref="Z386:Z387" si="342">SUM(X386:Y386)</f>
        <v>109.58000000000001</v>
      </c>
      <c r="AB386" s="74">
        <v>531</v>
      </c>
      <c r="AC386" s="74" t="s">
        <v>110</v>
      </c>
      <c r="AD386" s="13">
        <v>44.29</v>
      </c>
      <c r="AE386" s="13">
        <v>96.87</v>
      </c>
      <c r="AF386" s="13">
        <f t="shared" ref="AF386:AF387" si="343">SUM(AD386:AE386)</f>
        <v>141.16</v>
      </c>
      <c r="AH386" s="89">
        <f t="shared" ref="AH386:AH387" si="344">IF(E386=0,0,(E386/AD386)-1)</f>
        <v>-0.350643486114247</v>
      </c>
      <c r="AI386" s="89">
        <f t="shared" ref="AI386:AI387" si="345">IF(F386=0,0,(F386/AE386)-1)</f>
        <v>-0.25704552493031907</v>
      </c>
      <c r="AJ386" s="89">
        <f t="shared" ref="AJ386:AJ387" si="346">IF(G386=0,0,(G386/AF386)-1)</f>
        <v>-0.28641258146783788</v>
      </c>
    </row>
    <row r="387" spans="1:36" ht="28.8" x14ac:dyDescent="0.3">
      <c r="A387" s="21" t="s">
        <v>783</v>
      </c>
      <c r="B387" s="11" t="s">
        <v>784</v>
      </c>
      <c r="C387" s="12">
        <f t="shared" si="336"/>
        <v>129</v>
      </c>
      <c r="D387" s="41" t="str">
        <f t="shared" si="337"/>
        <v>un</v>
      </c>
      <c r="E387" s="41">
        <v>14.54</v>
      </c>
      <c r="F387" s="41">
        <v>20.56</v>
      </c>
      <c r="G387" s="41">
        <f t="shared" si="338"/>
        <v>35.099999999999994</v>
      </c>
      <c r="H387" s="13">
        <f t="shared" si="339"/>
        <v>1875.6599999999999</v>
      </c>
      <c r="I387" s="13">
        <f t="shared" si="340"/>
        <v>2652.24</v>
      </c>
      <c r="J387" s="14">
        <f t="shared" si="341"/>
        <v>4527.8999999999996</v>
      </c>
      <c r="M387" s="54"/>
      <c r="N387" s="56"/>
      <c r="V387" s="74">
        <v>129</v>
      </c>
      <c r="W387" s="74" t="s">
        <v>110</v>
      </c>
      <c r="X387" s="13">
        <v>19.98</v>
      </c>
      <c r="Y387" s="13">
        <v>21.49</v>
      </c>
      <c r="Z387" s="13">
        <f t="shared" si="342"/>
        <v>41.47</v>
      </c>
      <c r="AB387" s="74">
        <v>129</v>
      </c>
      <c r="AC387" s="74" t="s">
        <v>110</v>
      </c>
      <c r="AD387" s="13">
        <v>25.74</v>
      </c>
      <c r="AE387" s="13">
        <v>27.68</v>
      </c>
      <c r="AF387" s="13">
        <f t="shared" si="343"/>
        <v>53.42</v>
      </c>
      <c r="AH387" s="89">
        <f t="shared" si="344"/>
        <v>-0.43512043512043508</v>
      </c>
      <c r="AI387" s="89">
        <f t="shared" si="345"/>
        <v>-0.25722543352601157</v>
      </c>
      <c r="AJ387" s="89">
        <f t="shared" si="346"/>
        <v>-0.34294271808311505</v>
      </c>
    </row>
    <row r="388" spans="1:36" x14ac:dyDescent="0.3">
      <c r="A388" s="21" t="s">
        <v>785</v>
      </c>
      <c r="B388" s="11" t="s">
        <v>786</v>
      </c>
      <c r="C388" s="12">
        <f t="shared" si="328"/>
        <v>306</v>
      </c>
      <c r="D388" s="41" t="str">
        <f t="shared" si="329"/>
        <v>un</v>
      </c>
      <c r="E388" s="41">
        <v>20.11</v>
      </c>
      <c r="F388" s="41">
        <v>32.9</v>
      </c>
      <c r="G388" s="41">
        <f t="shared" si="335"/>
        <v>53.01</v>
      </c>
      <c r="H388" s="13">
        <f t="shared" si="330"/>
        <v>6153.66</v>
      </c>
      <c r="I388" s="13">
        <f t="shared" si="331"/>
        <v>10067.4</v>
      </c>
      <c r="J388" s="14">
        <f t="shared" si="334"/>
        <v>16221.06</v>
      </c>
      <c r="M388" s="54"/>
      <c r="N388" s="56"/>
      <c r="V388" s="74">
        <v>306</v>
      </c>
      <c r="W388" s="74" t="s">
        <v>110</v>
      </c>
      <c r="X388" s="13">
        <v>28.2</v>
      </c>
      <c r="Y388" s="13">
        <v>34.380000000000003</v>
      </c>
      <c r="Z388" s="13">
        <f t="shared" si="332"/>
        <v>62.58</v>
      </c>
      <c r="AB388" s="74">
        <v>306</v>
      </c>
      <c r="AC388" s="74" t="s">
        <v>110</v>
      </c>
      <c r="AD388" s="13">
        <v>36.33</v>
      </c>
      <c r="AE388" s="13">
        <v>44.29</v>
      </c>
      <c r="AF388" s="13">
        <f t="shared" si="333"/>
        <v>80.62</v>
      </c>
      <c r="AH388" s="89">
        <f t="shared" si="317"/>
        <v>-0.44646297825488579</v>
      </c>
      <c r="AI388" s="89">
        <f t="shared" si="318"/>
        <v>-0.25716866109731318</v>
      </c>
      <c r="AJ388" s="89">
        <f t="shared" si="319"/>
        <v>-0.34247085090548257</v>
      </c>
    </row>
    <row r="389" spans="1:36" x14ac:dyDescent="0.3">
      <c r="A389" s="21" t="s">
        <v>787</v>
      </c>
      <c r="B389" s="11" t="s">
        <v>788</v>
      </c>
      <c r="C389" s="12">
        <f t="shared" si="328"/>
        <v>33</v>
      </c>
      <c r="D389" s="41" t="str">
        <f t="shared" si="329"/>
        <v>H</v>
      </c>
      <c r="E389" s="41">
        <v>363.78</v>
      </c>
      <c r="F389" s="41">
        <v>41.12</v>
      </c>
      <c r="G389" s="41">
        <f t="shared" si="335"/>
        <v>404.9</v>
      </c>
      <c r="H389" s="13">
        <f t="shared" si="330"/>
        <v>12004.74</v>
      </c>
      <c r="I389" s="13">
        <f t="shared" si="331"/>
        <v>1356.9599999999998</v>
      </c>
      <c r="J389" s="14">
        <f t="shared" si="334"/>
        <v>13361.699999999999</v>
      </c>
      <c r="M389" s="54"/>
      <c r="N389" s="56"/>
      <c r="V389" s="74">
        <v>33</v>
      </c>
      <c r="W389" s="74" t="s">
        <v>789</v>
      </c>
      <c r="X389" s="13">
        <v>419.98</v>
      </c>
      <c r="Y389" s="13">
        <v>42.97</v>
      </c>
      <c r="Z389" s="13">
        <f t="shared" si="332"/>
        <v>462.95000000000005</v>
      </c>
      <c r="AB389" s="74">
        <v>33</v>
      </c>
      <c r="AC389" s="74" t="s">
        <v>789</v>
      </c>
      <c r="AD389" s="13">
        <v>541.02</v>
      </c>
      <c r="AE389" s="13">
        <v>55.35</v>
      </c>
      <c r="AF389" s="13">
        <f t="shared" si="333"/>
        <v>596.37</v>
      </c>
      <c r="AH389" s="89">
        <f t="shared" si="317"/>
        <v>-0.3276034157702119</v>
      </c>
      <c r="AI389" s="89">
        <f t="shared" si="318"/>
        <v>-0.25709123757904251</v>
      </c>
      <c r="AJ389" s="89">
        <f t="shared" si="319"/>
        <v>-0.32105907406475853</v>
      </c>
    </row>
    <row r="390" spans="1:36" x14ac:dyDescent="0.3">
      <c r="A390" s="21" t="s">
        <v>790</v>
      </c>
      <c r="B390" s="11" t="s">
        <v>791</v>
      </c>
      <c r="C390" s="12">
        <f t="shared" si="328"/>
        <v>45</v>
      </c>
      <c r="D390" s="41" t="str">
        <f t="shared" si="329"/>
        <v>un</v>
      </c>
      <c r="E390" s="41">
        <v>285.08999999999997</v>
      </c>
      <c r="F390" s="41">
        <v>32.450000000000003</v>
      </c>
      <c r="G390" s="41">
        <f t="shared" si="335"/>
        <v>317.53999999999996</v>
      </c>
      <c r="H390" s="13">
        <f t="shared" si="330"/>
        <v>12829.05</v>
      </c>
      <c r="I390" s="13">
        <f t="shared" si="331"/>
        <v>1460.2500000000002</v>
      </c>
      <c r="J390" s="14">
        <f t="shared" si="334"/>
        <v>14289.3</v>
      </c>
      <c r="M390" s="54"/>
      <c r="N390" s="56"/>
      <c r="V390" s="74">
        <v>45</v>
      </c>
      <c r="W390" s="74" t="s">
        <v>110</v>
      </c>
      <c r="X390" s="13">
        <v>303.08</v>
      </c>
      <c r="Y390" s="13">
        <v>33.9</v>
      </c>
      <c r="Z390" s="13">
        <f t="shared" si="332"/>
        <v>336.97999999999996</v>
      </c>
      <c r="AB390" s="74">
        <v>45</v>
      </c>
      <c r="AC390" s="74" t="s">
        <v>110</v>
      </c>
      <c r="AD390" s="13">
        <v>390.43</v>
      </c>
      <c r="AE390" s="13">
        <v>43.67</v>
      </c>
      <c r="AF390" s="13">
        <f t="shared" si="333"/>
        <v>434.1</v>
      </c>
      <c r="AH390" s="89">
        <f t="shared" si="317"/>
        <v>-0.26980508669928038</v>
      </c>
      <c r="AI390" s="89">
        <f t="shared" si="318"/>
        <v>-0.25692695214105787</v>
      </c>
      <c r="AJ390" s="89">
        <f t="shared" si="319"/>
        <v>-0.26850956000921455</v>
      </c>
    </row>
    <row r="391" spans="1:36" x14ac:dyDescent="0.3">
      <c r="A391" s="21" t="s">
        <v>792</v>
      </c>
      <c r="B391" s="11" t="s">
        <v>793</v>
      </c>
      <c r="C391" s="12">
        <f t="shared" si="328"/>
        <v>1</v>
      </c>
      <c r="D391" s="41" t="str">
        <f t="shared" si="329"/>
        <v>un</v>
      </c>
      <c r="E391" s="41">
        <v>8.0299999999999994</v>
      </c>
      <c r="F391" s="41">
        <v>20.56</v>
      </c>
      <c r="G391" s="41">
        <f t="shared" si="335"/>
        <v>28.589999999999996</v>
      </c>
      <c r="H391" s="13">
        <f t="shared" si="330"/>
        <v>8.0299999999999994</v>
      </c>
      <c r="I391" s="13">
        <f t="shared" si="331"/>
        <v>20.56</v>
      </c>
      <c r="J391" s="14">
        <f t="shared" si="334"/>
        <v>28.589999999999996</v>
      </c>
      <c r="M391" s="54"/>
      <c r="N391" s="56"/>
      <c r="V391" s="74">
        <v>1</v>
      </c>
      <c r="W391" s="74" t="s">
        <v>110</v>
      </c>
      <c r="X391" s="13">
        <v>12.96</v>
      </c>
      <c r="Y391" s="13">
        <v>21.49</v>
      </c>
      <c r="Z391" s="13">
        <f t="shared" si="332"/>
        <v>34.450000000000003</v>
      </c>
      <c r="AB391" s="74">
        <v>1</v>
      </c>
      <c r="AC391" s="74" t="s">
        <v>110</v>
      </c>
      <c r="AD391" s="13">
        <v>16.7</v>
      </c>
      <c r="AE391" s="13">
        <v>27.68</v>
      </c>
      <c r="AF391" s="13">
        <f t="shared" si="333"/>
        <v>44.379999999999995</v>
      </c>
      <c r="AH391" s="89">
        <f t="shared" si="317"/>
        <v>-0.51916167664670665</v>
      </c>
      <c r="AI391" s="89">
        <f t="shared" si="318"/>
        <v>-0.25722543352601157</v>
      </c>
      <c r="AJ391" s="89">
        <f t="shared" si="319"/>
        <v>-0.35579089680036058</v>
      </c>
    </row>
    <row r="392" spans="1:36" x14ac:dyDescent="0.3">
      <c r="A392" s="21" t="s">
        <v>794</v>
      </c>
      <c r="B392" s="11" t="s">
        <v>795</v>
      </c>
      <c r="C392" s="12">
        <f t="shared" si="328"/>
        <v>393</v>
      </c>
      <c r="D392" s="41" t="str">
        <f t="shared" si="329"/>
        <v>un</v>
      </c>
      <c r="E392" s="41">
        <v>93.7</v>
      </c>
      <c r="F392" s="41">
        <v>123.37</v>
      </c>
      <c r="G392" s="41">
        <f t="shared" si="335"/>
        <v>217.07</v>
      </c>
      <c r="H392" s="13">
        <f t="shared" si="330"/>
        <v>36824.1</v>
      </c>
      <c r="I392" s="13">
        <f t="shared" si="331"/>
        <v>48484.41</v>
      </c>
      <c r="J392" s="14">
        <f t="shared" si="334"/>
        <v>85308.51</v>
      </c>
      <c r="M392" s="54"/>
      <c r="N392" s="56"/>
      <c r="V392" s="74">
        <v>393</v>
      </c>
      <c r="W392" s="74" t="s">
        <v>110</v>
      </c>
      <c r="X392" s="13">
        <v>118.33</v>
      </c>
      <c r="Y392" s="13">
        <v>128.91</v>
      </c>
      <c r="Z392" s="13">
        <f t="shared" si="332"/>
        <v>247.24</v>
      </c>
      <c r="AB392" s="74">
        <v>393</v>
      </c>
      <c r="AC392" s="74" t="s">
        <v>110</v>
      </c>
      <c r="AD392" s="13">
        <v>152.43</v>
      </c>
      <c r="AE392" s="13">
        <v>166.06</v>
      </c>
      <c r="AF392" s="13">
        <f t="shared" si="333"/>
        <v>318.49</v>
      </c>
      <c r="AH392" s="89">
        <f t="shared" si="317"/>
        <v>-0.38529160926326844</v>
      </c>
      <c r="AI392" s="89">
        <f t="shared" si="318"/>
        <v>-0.25707575575093333</v>
      </c>
      <c r="AJ392" s="89">
        <f t="shared" si="319"/>
        <v>-0.31844013940783078</v>
      </c>
    </row>
    <row r="393" spans="1:36" x14ac:dyDescent="0.3">
      <c r="A393" s="21" t="s">
        <v>796</v>
      </c>
      <c r="B393" s="11" t="s">
        <v>797</v>
      </c>
      <c r="C393" s="12">
        <f t="shared" si="328"/>
        <v>1</v>
      </c>
      <c r="D393" s="41" t="str">
        <f t="shared" si="329"/>
        <v>un</v>
      </c>
      <c r="E393" s="41">
        <v>62.84</v>
      </c>
      <c r="F393" s="41">
        <v>30.84</v>
      </c>
      <c r="G393" s="41">
        <f t="shared" si="335"/>
        <v>93.68</v>
      </c>
      <c r="H393" s="13">
        <f t="shared" si="330"/>
        <v>62.84</v>
      </c>
      <c r="I393" s="13">
        <f t="shared" si="331"/>
        <v>30.84</v>
      </c>
      <c r="J393" s="14">
        <f t="shared" si="334"/>
        <v>93.68</v>
      </c>
      <c r="M393" s="54"/>
      <c r="N393" s="56"/>
      <c r="V393" s="74">
        <v>1</v>
      </c>
      <c r="W393" s="74" t="s">
        <v>110</v>
      </c>
      <c r="X393" s="13">
        <v>60.99</v>
      </c>
      <c r="Y393" s="13">
        <v>32.32</v>
      </c>
      <c r="Z393" s="13">
        <f t="shared" si="332"/>
        <v>93.31</v>
      </c>
      <c r="AB393" s="74">
        <v>1</v>
      </c>
      <c r="AC393" s="74" t="s">
        <v>110</v>
      </c>
      <c r="AD393" s="13">
        <v>78.569999999999993</v>
      </c>
      <c r="AE393" s="13">
        <v>41.63</v>
      </c>
      <c r="AF393" s="13">
        <f t="shared" si="333"/>
        <v>120.19999999999999</v>
      </c>
      <c r="AH393" s="89">
        <f t="shared" si="317"/>
        <v>-0.20020364006618296</v>
      </c>
      <c r="AI393" s="89">
        <f t="shared" si="318"/>
        <v>-0.25918808551525352</v>
      </c>
      <c r="AJ393" s="89">
        <f t="shared" si="319"/>
        <v>-0.22063227953410969</v>
      </c>
    </row>
    <row r="394" spans="1:36" x14ac:dyDescent="0.3">
      <c r="A394" s="21" t="s">
        <v>798</v>
      </c>
      <c r="B394" s="11" t="s">
        <v>799</v>
      </c>
      <c r="C394" s="12">
        <f t="shared" si="328"/>
        <v>1</v>
      </c>
      <c r="D394" s="41" t="str">
        <f t="shared" si="329"/>
        <v>un</v>
      </c>
      <c r="E394" s="41">
        <v>29.77</v>
      </c>
      <c r="F394" s="41">
        <v>20.56</v>
      </c>
      <c r="G394" s="41">
        <f t="shared" si="335"/>
        <v>50.33</v>
      </c>
      <c r="H394" s="13">
        <f t="shared" si="330"/>
        <v>29.77</v>
      </c>
      <c r="I394" s="13">
        <f t="shared" si="331"/>
        <v>20.56</v>
      </c>
      <c r="J394" s="14">
        <f t="shared" si="334"/>
        <v>50.33</v>
      </c>
      <c r="M394" s="54"/>
      <c r="N394" s="56"/>
      <c r="V394" s="74">
        <v>1</v>
      </c>
      <c r="W394" s="74" t="s">
        <v>110</v>
      </c>
      <c r="X394" s="13">
        <v>33.42</v>
      </c>
      <c r="Y394" s="13">
        <v>21.49</v>
      </c>
      <c r="Z394" s="13">
        <f t="shared" si="332"/>
        <v>54.91</v>
      </c>
      <c r="AB394" s="74">
        <v>1</v>
      </c>
      <c r="AC394" s="74" t="s">
        <v>110</v>
      </c>
      <c r="AD394" s="13">
        <v>43.05</v>
      </c>
      <c r="AE394" s="13">
        <v>27.68</v>
      </c>
      <c r="AF394" s="13">
        <f t="shared" si="333"/>
        <v>70.72999999999999</v>
      </c>
      <c r="AH394" s="89">
        <f t="shared" si="317"/>
        <v>-0.30847851335656207</v>
      </c>
      <c r="AI394" s="89">
        <f t="shared" si="318"/>
        <v>-0.25722543352601157</v>
      </c>
      <c r="AJ394" s="89">
        <f t="shared" si="319"/>
        <v>-0.28842075498374087</v>
      </c>
    </row>
    <row r="395" spans="1:36" x14ac:dyDescent="0.3">
      <c r="A395" s="21" t="s">
        <v>800</v>
      </c>
      <c r="B395" s="11" t="s">
        <v>801</v>
      </c>
      <c r="C395" s="12">
        <f t="shared" si="328"/>
        <v>1</v>
      </c>
      <c r="D395" s="41" t="str">
        <f t="shared" si="329"/>
        <v>un</v>
      </c>
      <c r="E395" s="41">
        <v>49.21</v>
      </c>
      <c r="F395" s="41">
        <v>71.97</v>
      </c>
      <c r="G395" s="41">
        <f t="shared" si="335"/>
        <v>121.18</v>
      </c>
      <c r="H395" s="13">
        <f t="shared" si="330"/>
        <v>49.21</v>
      </c>
      <c r="I395" s="13">
        <f t="shared" si="331"/>
        <v>71.97</v>
      </c>
      <c r="J395" s="14">
        <f t="shared" si="334"/>
        <v>121.18</v>
      </c>
      <c r="M395" s="54"/>
      <c r="N395" s="56"/>
      <c r="V395" s="74">
        <v>1</v>
      </c>
      <c r="W395" s="74" t="s">
        <v>110</v>
      </c>
      <c r="X395" s="13">
        <v>52.01</v>
      </c>
      <c r="Y395" s="13">
        <v>75.2</v>
      </c>
      <c r="Z395" s="13">
        <f t="shared" si="332"/>
        <v>127.21000000000001</v>
      </c>
      <c r="AB395" s="74">
        <v>1</v>
      </c>
      <c r="AC395" s="74" t="s">
        <v>110</v>
      </c>
      <c r="AD395" s="13">
        <v>67</v>
      </c>
      <c r="AE395" s="13">
        <v>96.87</v>
      </c>
      <c r="AF395" s="13">
        <f t="shared" si="333"/>
        <v>163.87</v>
      </c>
      <c r="AH395" s="89">
        <f t="shared" si="317"/>
        <v>-0.26552238805970152</v>
      </c>
      <c r="AI395" s="89">
        <f t="shared" si="318"/>
        <v>-0.25704552493031907</v>
      </c>
      <c r="AJ395" s="89">
        <f t="shared" si="319"/>
        <v>-0.26051138097272231</v>
      </c>
    </row>
    <row r="396" spans="1:36" x14ac:dyDescent="0.3">
      <c r="A396" s="19">
        <v>21</v>
      </c>
      <c r="B396" s="20" t="s">
        <v>802</v>
      </c>
      <c r="C396" s="76"/>
      <c r="D396" s="58"/>
      <c r="E396" s="58">
        <v>0</v>
      </c>
      <c r="F396" s="58">
        <v>0</v>
      </c>
      <c r="G396" s="58"/>
      <c r="H396" s="24">
        <f t="shared" ref="H396:I396" si="347">SUM(H397:H409)</f>
        <v>14481.91</v>
      </c>
      <c r="I396" s="24">
        <f t="shared" si="347"/>
        <v>14831.5</v>
      </c>
      <c r="J396" s="24">
        <f>SUM(J397:J409)</f>
        <v>29313.409999999996</v>
      </c>
      <c r="M396" s="54"/>
      <c r="N396" s="56"/>
      <c r="V396" s="75"/>
      <c r="W396" s="75"/>
      <c r="X396" s="23"/>
      <c r="Y396" s="23"/>
      <c r="Z396" s="23"/>
      <c r="AB396" s="75"/>
      <c r="AC396" s="75"/>
      <c r="AD396" s="23"/>
      <c r="AE396" s="23"/>
      <c r="AF396" s="23"/>
      <c r="AH396" s="89">
        <f t="shared" si="317"/>
        <v>0</v>
      </c>
      <c r="AI396" s="89">
        <f t="shared" si="318"/>
        <v>0</v>
      </c>
      <c r="AJ396" s="89">
        <f t="shared" si="319"/>
        <v>0</v>
      </c>
    </row>
    <row r="397" spans="1:36" x14ac:dyDescent="0.3">
      <c r="A397" s="21" t="s">
        <v>803</v>
      </c>
      <c r="B397" s="11" t="s">
        <v>804</v>
      </c>
      <c r="C397" s="12">
        <f t="shared" ref="C397:C409" si="348">V397</f>
        <v>31</v>
      </c>
      <c r="D397" s="41" t="str">
        <f t="shared" ref="D397:D409" si="349">W397</f>
        <v>m</v>
      </c>
      <c r="E397" s="41">
        <v>26.91</v>
      </c>
      <c r="F397" s="41">
        <v>4.1100000000000003</v>
      </c>
      <c r="G397" s="41">
        <f t="shared" si="335"/>
        <v>31.02</v>
      </c>
      <c r="H397" s="13">
        <f t="shared" ref="H397:H409" si="350">C397*E397</f>
        <v>834.21</v>
      </c>
      <c r="I397" s="13">
        <f t="shared" ref="I397:I409" si="351">C397*F397</f>
        <v>127.41000000000001</v>
      </c>
      <c r="J397" s="14">
        <f t="shared" si="334"/>
        <v>961.62</v>
      </c>
      <c r="M397" s="54"/>
      <c r="N397" s="56"/>
      <c r="V397" s="74">
        <v>31</v>
      </c>
      <c r="W397" s="74" t="s">
        <v>76</v>
      </c>
      <c r="X397" s="13">
        <v>37.520000000000003</v>
      </c>
      <c r="Y397" s="13">
        <v>4.3</v>
      </c>
      <c r="Z397" s="13">
        <f t="shared" ref="Z397:Z409" si="352">SUM(X397:Y397)</f>
        <v>41.82</v>
      </c>
      <c r="AB397" s="74">
        <v>31</v>
      </c>
      <c r="AC397" s="74" t="s">
        <v>76</v>
      </c>
      <c r="AD397" s="13">
        <v>48.33</v>
      </c>
      <c r="AE397" s="13">
        <v>5.54</v>
      </c>
      <c r="AF397" s="13">
        <f t="shared" ref="AF397:AF409" si="353">SUM(AD397:AE397)</f>
        <v>53.87</v>
      </c>
      <c r="AH397" s="89">
        <f t="shared" si="317"/>
        <v>-0.44320297951582865</v>
      </c>
      <c r="AI397" s="89">
        <f t="shared" si="318"/>
        <v>-0.25812274368231036</v>
      </c>
      <c r="AJ397" s="89">
        <f t="shared" si="319"/>
        <v>-0.42416929645442736</v>
      </c>
    </row>
    <row r="398" spans="1:36" x14ac:dyDescent="0.3">
      <c r="A398" s="21" t="s">
        <v>805</v>
      </c>
      <c r="B398" s="11" t="s">
        <v>806</v>
      </c>
      <c r="C398" s="12">
        <f t="shared" si="348"/>
        <v>1</v>
      </c>
      <c r="D398" s="41" t="str">
        <f t="shared" si="349"/>
        <v>un</v>
      </c>
      <c r="E398" s="41">
        <v>74.680000000000007</v>
      </c>
      <c r="F398" s="41">
        <v>20.56</v>
      </c>
      <c r="G398" s="41">
        <f t="shared" si="335"/>
        <v>95.240000000000009</v>
      </c>
      <c r="H398" s="13">
        <f t="shared" si="350"/>
        <v>74.680000000000007</v>
      </c>
      <c r="I398" s="13">
        <f t="shared" si="351"/>
        <v>20.56</v>
      </c>
      <c r="J398" s="14">
        <f t="shared" si="334"/>
        <v>95.240000000000009</v>
      </c>
      <c r="M398" s="54"/>
      <c r="N398" s="56"/>
      <c r="V398" s="74">
        <v>1</v>
      </c>
      <c r="W398" s="74" t="s">
        <v>110</v>
      </c>
      <c r="X398" s="13">
        <v>106.28</v>
      </c>
      <c r="Y398" s="13">
        <v>21.49</v>
      </c>
      <c r="Z398" s="13">
        <f t="shared" si="352"/>
        <v>127.77</v>
      </c>
      <c r="AB398" s="74">
        <v>1</v>
      </c>
      <c r="AC398" s="74" t="s">
        <v>110</v>
      </c>
      <c r="AD398" s="13">
        <v>136.91</v>
      </c>
      <c r="AE398" s="13">
        <v>27.68</v>
      </c>
      <c r="AF398" s="13">
        <f t="shared" si="353"/>
        <v>164.59</v>
      </c>
      <c r="AH398" s="89">
        <f t="shared" si="317"/>
        <v>-0.45453217442115257</v>
      </c>
      <c r="AI398" s="89">
        <f t="shared" si="318"/>
        <v>-0.25722543352601157</v>
      </c>
      <c r="AJ398" s="89">
        <f t="shared" si="319"/>
        <v>-0.42135002126496135</v>
      </c>
    </row>
    <row r="399" spans="1:36" x14ac:dyDescent="0.3">
      <c r="A399" s="21" t="s">
        <v>807</v>
      </c>
      <c r="B399" s="11" t="s">
        <v>808</v>
      </c>
      <c r="C399" s="12">
        <f t="shared" si="348"/>
        <v>1</v>
      </c>
      <c r="D399" s="41" t="str">
        <f t="shared" si="349"/>
        <v>un</v>
      </c>
      <c r="E399" s="41">
        <v>43.36</v>
      </c>
      <c r="F399" s="41">
        <v>20.56</v>
      </c>
      <c r="G399" s="41">
        <f t="shared" si="335"/>
        <v>63.92</v>
      </c>
      <c r="H399" s="13">
        <f t="shared" si="350"/>
        <v>43.36</v>
      </c>
      <c r="I399" s="13">
        <f t="shared" si="351"/>
        <v>20.56</v>
      </c>
      <c r="J399" s="14">
        <f t="shared" si="334"/>
        <v>63.92</v>
      </c>
      <c r="M399" s="54"/>
      <c r="N399" s="56"/>
      <c r="V399" s="74">
        <v>1</v>
      </c>
      <c r="W399" s="74" t="s">
        <v>110</v>
      </c>
      <c r="X399" s="13">
        <v>61.71</v>
      </c>
      <c r="Y399" s="13">
        <v>21.49</v>
      </c>
      <c r="Z399" s="13">
        <f t="shared" si="352"/>
        <v>83.2</v>
      </c>
      <c r="AB399" s="74">
        <v>1</v>
      </c>
      <c r="AC399" s="74" t="s">
        <v>110</v>
      </c>
      <c r="AD399" s="13">
        <v>79.489999999999995</v>
      </c>
      <c r="AE399" s="13">
        <v>27.68</v>
      </c>
      <c r="AF399" s="13">
        <f t="shared" si="353"/>
        <v>107.16999999999999</v>
      </c>
      <c r="AH399" s="89">
        <f t="shared" si="317"/>
        <v>-0.45452258145678703</v>
      </c>
      <c r="AI399" s="89">
        <f t="shared" si="318"/>
        <v>-0.25722543352601157</v>
      </c>
      <c r="AJ399" s="89">
        <f t="shared" si="319"/>
        <v>-0.40356443034431266</v>
      </c>
    </row>
    <row r="400" spans="1:36" x14ac:dyDescent="0.3">
      <c r="A400" s="21" t="s">
        <v>809</v>
      </c>
      <c r="B400" s="11" t="s">
        <v>810</v>
      </c>
      <c r="C400" s="12">
        <f t="shared" si="348"/>
        <v>1</v>
      </c>
      <c r="D400" s="41" t="str">
        <f t="shared" si="349"/>
        <v>un</v>
      </c>
      <c r="E400" s="41">
        <v>265.06</v>
      </c>
      <c r="F400" s="41">
        <v>47.29</v>
      </c>
      <c r="G400" s="41">
        <f t="shared" si="335"/>
        <v>312.35000000000002</v>
      </c>
      <c r="H400" s="13">
        <f t="shared" si="350"/>
        <v>265.06</v>
      </c>
      <c r="I400" s="13">
        <f t="shared" si="351"/>
        <v>47.29</v>
      </c>
      <c r="J400" s="14">
        <f t="shared" si="334"/>
        <v>312.35000000000002</v>
      </c>
      <c r="M400" s="54"/>
      <c r="N400" s="56"/>
      <c r="V400" s="74">
        <v>1</v>
      </c>
      <c r="W400" s="74" t="s">
        <v>110</v>
      </c>
      <c r="X400" s="13">
        <v>371.32</v>
      </c>
      <c r="Y400" s="13">
        <v>49.42</v>
      </c>
      <c r="Z400" s="13">
        <f t="shared" si="352"/>
        <v>420.74</v>
      </c>
      <c r="AB400" s="74">
        <v>1</v>
      </c>
      <c r="AC400" s="74" t="s">
        <v>110</v>
      </c>
      <c r="AD400" s="13">
        <v>478.33</v>
      </c>
      <c r="AE400" s="13">
        <v>63.66</v>
      </c>
      <c r="AF400" s="13">
        <f t="shared" si="353"/>
        <v>541.99</v>
      </c>
      <c r="AH400" s="89">
        <f t="shared" si="317"/>
        <v>-0.44586373424205039</v>
      </c>
      <c r="AI400" s="89">
        <f t="shared" si="318"/>
        <v>-0.2571473452717562</v>
      </c>
      <c r="AJ400" s="89">
        <f t="shared" si="319"/>
        <v>-0.42369785420395212</v>
      </c>
    </row>
    <row r="401" spans="1:36" x14ac:dyDescent="0.3">
      <c r="A401" s="21" t="s">
        <v>811</v>
      </c>
      <c r="B401" s="11" t="s">
        <v>812</v>
      </c>
      <c r="C401" s="12">
        <f t="shared" si="348"/>
        <v>1</v>
      </c>
      <c r="D401" s="41" t="str">
        <f t="shared" si="349"/>
        <v>un</v>
      </c>
      <c r="E401" s="41">
        <v>12.04</v>
      </c>
      <c r="F401" s="41">
        <v>4.1100000000000003</v>
      </c>
      <c r="G401" s="41">
        <f t="shared" si="335"/>
        <v>16.149999999999999</v>
      </c>
      <c r="H401" s="13">
        <f t="shared" si="350"/>
        <v>12.04</v>
      </c>
      <c r="I401" s="13">
        <f t="shared" si="351"/>
        <v>4.1100000000000003</v>
      </c>
      <c r="J401" s="14">
        <f t="shared" si="334"/>
        <v>16.149999999999999</v>
      </c>
      <c r="M401" s="54"/>
      <c r="N401" s="56"/>
      <c r="V401" s="74">
        <v>1</v>
      </c>
      <c r="W401" s="74" t="s">
        <v>110</v>
      </c>
      <c r="X401" s="13">
        <v>17.14</v>
      </c>
      <c r="Y401" s="13">
        <v>4.3</v>
      </c>
      <c r="Z401" s="13">
        <f t="shared" si="352"/>
        <v>21.44</v>
      </c>
      <c r="AB401" s="74">
        <v>1</v>
      </c>
      <c r="AC401" s="74" t="s">
        <v>110</v>
      </c>
      <c r="AD401" s="13">
        <v>22.08</v>
      </c>
      <c r="AE401" s="13">
        <v>5.54</v>
      </c>
      <c r="AF401" s="13">
        <f t="shared" si="353"/>
        <v>27.619999999999997</v>
      </c>
      <c r="AH401" s="89">
        <f t="shared" si="317"/>
        <v>-0.45471014492753625</v>
      </c>
      <c r="AI401" s="89">
        <f t="shared" si="318"/>
        <v>-0.25812274368231036</v>
      </c>
      <c r="AJ401" s="89">
        <f t="shared" si="319"/>
        <v>-0.41527878349022451</v>
      </c>
    </row>
    <row r="402" spans="1:36" x14ac:dyDescent="0.3">
      <c r="A402" s="21" t="s">
        <v>813</v>
      </c>
      <c r="B402" s="11" t="s">
        <v>814</v>
      </c>
      <c r="C402" s="12">
        <f t="shared" si="348"/>
        <v>1</v>
      </c>
      <c r="D402" s="41" t="str">
        <f t="shared" si="349"/>
        <v>un</v>
      </c>
      <c r="E402" s="41">
        <v>492.6</v>
      </c>
      <c r="F402" s="41">
        <v>4.1100000000000003</v>
      </c>
      <c r="G402" s="41">
        <f t="shared" si="335"/>
        <v>496.71000000000004</v>
      </c>
      <c r="H402" s="13">
        <f t="shared" si="350"/>
        <v>492.6</v>
      </c>
      <c r="I402" s="13">
        <f t="shared" si="351"/>
        <v>4.1100000000000003</v>
      </c>
      <c r="J402" s="14">
        <f t="shared" si="334"/>
        <v>496.71000000000004</v>
      </c>
      <c r="M402" s="54"/>
      <c r="N402" s="56"/>
      <c r="V402" s="74">
        <v>1</v>
      </c>
      <c r="W402" s="74" t="s">
        <v>110</v>
      </c>
      <c r="X402" s="13">
        <v>632.42999999999995</v>
      </c>
      <c r="Y402" s="13">
        <v>4.3</v>
      </c>
      <c r="Z402" s="13">
        <f t="shared" si="352"/>
        <v>636.7299999999999</v>
      </c>
      <c r="AB402" s="74">
        <v>1</v>
      </c>
      <c r="AC402" s="74" t="s">
        <v>110</v>
      </c>
      <c r="AD402" s="13">
        <v>814.7</v>
      </c>
      <c r="AE402" s="13">
        <v>5.54</v>
      </c>
      <c r="AF402" s="13">
        <f t="shared" si="353"/>
        <v>820.24</v>
      </c>
      <c r="AH402" s="89">
        <f t="shared" ref="AH402:AH466" si="354">IF(E402=0,0,(E402/AD402)-1)</f>
        <v>-0.39536025530870256</v>
      </c>
      <c r="AI402" s="89">
        <f t="shared" si="318"/>
        <v>-0.25812274368231036</v>
      </c>
      <c r="AJ402" s="89">
        <f t="shared" si="319"/>
        <v>-0.39443333658441426</v>
      </c>
    </row>
    <row r="403" spans="1:36" x14ac:dyDescent="0.3">
      <c r="A403" s="21" t="s">
        <v>815</v>
      </c>
      <c r="B403" s="11" t="s">
        <v>816</v>
      </c>
      <c r="C403" s="12">
        <f t="shared" si="348"/>
        <v>9</v>
      </c>
      <c r="D403" s="41" t="str">
        <f t="shared" si="349"/>
        <v>un</v>
      </c>
      <c r="E403" s="41">
        <v>14.99</v>
      </c>
      <c r="F403" s="41">
        <v>16.16</v>
      </c>
      <c r="G403" s="41">
        <f t="shared" si="335"/>
        <v>31.15</v>
      </c>
      <c r="H403" s="13">
        <f t="shared" si="350"/>
        <v>134.91</v>
      </c>
      <c r="I403" s="13">
        <f t="shared" si="351"/>
        <v>145.44</v>
      </c>
      <c r="J403" s="14">
        <f t="shared" si="334"/>
        <v>280.34999999999997</v>
      </c>
      <c r="M403" s="54"/>
      <c r="N403" s="56"/>
      <c r="V403" s="74">
        <v>9</v>
      </c>
      <c r="W403" s="74" t="s">
        <v>110</v>
      </c>
      <c r="X403" s="13">
        <v>18.43</v>
      </c>
      <c r="Y403" s="13">
        <v>16.989999999999998</v>
      </c>
      <c r="Z403" s="13">
        <f t="shared" si="352"/>
        <v>35.42</v>
      </c>
      <c r="AB403" s="74">
        <v>9</v>
      </c>
      <c r="AC403" s="74" t="s">
        <v>110</v>
      </c>
      <c r="AD403" s="13">
        <v>23.74</v>
      </c>
      <c r="AE403" s="13">
        <v>21.89</v>
      </c>
      <c r="AF403" s="13">
        <f t="shared" si="353"/>
        <v>45.629999999999995</v>
      </c>
      <c r="AH403" s="89">
        <f t="shared" si="354"/>
        <v>-0.3685762426284751</v>
      </c>
      <c r="AI403" s="89">
        <f t="shared" ref="AI403:AI467" si="355">IF(F403=0,0,(F403/AE403)-1)</f>
        <v>-0.26176336226587482</v>
      </c>
      <c r="AJ403" s="89">
        <f t="shared" ref="AJ403:AJ467" si="356">IF(G403=0,0,(G403/AF403)-1)</f>
        <v>-0.31733508656585574</v>
      </c>
    </row>
    <row r="404" spans="1:36" x14ac:dyDescent="0.3">
      <c r="A404" s="21" t="s">
        <v>817</v>
      </c>
      <c r="B404" s="11" t="s">
        <v>818</v>
      </c>
      <c r="C404" s="12">
        <f t="shared" si="348"/>
        <v>15</v>
      </c>
      <c r="D404" s="41" t="str">
        <f t="shared" si="349"/>
        <v>un</v>
      </c>
      <c r="E404" s="41">
        <v>28.52</v>
      </c>
      <c r="F404" s="41">
        <v>1.99</v>
      </c>
      <c r="G404" s="41">
        <f t="shared" si="335"/>
        <v>30.509999999999998</v>
      </c>
      <c r="H404" s="13">
        <f t="shared" si="350"/>
        <v>427.8</v>
      </c>
      <c r="I404" s="13">
        <f t="shared" si="351"/>
        <v>29.85</v>
      </c>
      <c r="J404" s="14">
        <f t="shared" si="334"/>
        <v>457.65</v>
      </c>
      <c r="M404" s="54"/>
      <c r="N404" s="56"/>
      <c r="V404" s="74">
        <v>15</v>
      </c>
      <c r="W404" s="74" t="s">
        <v>110</v>
      </c>
      <c r="X404" s="13">
        <v>33.21</v>
      </c>
      <c r="Y404" s="13">
        <v>2.11</v>
      </c>
      <c r="Z404" s="13">
        <f t="shared" si="352"/>
        <v>35.32</v>
      </c>
      <c r="AB404" s="74">
        <v>15</v>
      </c>
      <c r="AC404" s="74" t="s">
        <v>110</v>
      </c>
      <c r="AD404" s="13">
        <v>42.78</v>
      </c>
      <c r="AE404" s="13">
        <v>2.72</v>
      </c>
      <c r="AF404" s="13">
        <f t="shared" si="353"/>
        <v>45.5</v>
      </c>
      <c r="AH404" s="89">
        <f t="shared" si="354"/>
        <v>-0.33333333333333337</v>
      </c>
      <c r="AI404" s="89">
        <f t="shared" si="355"/>
        <v>-0.26838235294117652</v>
      </c>
      <c r="AJ404" s="89">
        <f t="shared" si="356"/>
        <v>-0.32945054945054952</v>
      </c>
    </row>
    <row r="405" spans="1:36" x14ac:dyDescent="0.3">
      <c r="A405" s="21" t="s">
        <v>819</v>
      </c>
      <c r="B405" s="11" t="s">
        <v>820</v>
      </c>
      <c r="C405" s="12">
        <f t="shared" si="348"/>
        <v>711</v>
      </c>
      <c r="D405" s="41" t="str">
        <f t="shared" si="349"/>
        <v>UN</v>
      </c>
      <c r="E405" s="41">
        <v>16.29</v>
      </c>
      <c r="F405" s="41">
        <v>20.2</v>
      </c>
      <c r="G405" s="41">
        <f t="shared" si="335"/>
        <v>36.489999999999995</v>
      </c>
      <c r="H405" s="13">
        <f t="shared" si="350"/>
        <v>11582.189999999999</v>
      </c>
      <c r="I405" s="13">
        <f t="shared" si="351"/>
        <v>14362.199999999999</v>
      </c>
      <c r="J405" s="14">
        <f t="shared" si="334"/>
        <v>25944.389999999996</v>
      </c>
      <c r="M405" s="54"/>
      <c r="N405" s="55"/>
      <c r="V405" s="74">
        <v>711</v>
      </c>
      <c r="W405" s="74" t="s">
        <v>47</v>
      </c>
      <c r="X405" s="13">
        <v>23.54</v>
      </c>
      <c r="Y405" s="13">
        <v>21.24</v>
      </c>
      <c r="Z405" s="13">
        <f t="shared" si="352"/>
        <v>44.78</v>
      </c>
      <c r="AB405" s="74">
        <v>711</v>
      </c>
      <c r="AC405" s="74" t="s">
        <v>47</v>
      </c>
      <c r="AD405" s="13">
        <v>30.32</v>
      </c>
      <c r="AE405" s="13">
        <v>27.36</v>
      </c>
      <c r="AF405" s="13">
        <f t="shared" si="353"/>
        <v>57.68</v>
      </c>
      <c r="AH405" s="89">
        <f t="shared" si="354"/>
        <v>-0.46273087071240104</v>
      </c>
      <c r="AI405" s="89">
        <f t="shared" si="355"/>
        <v>-0.26169590643274854</v>
      </c>
      <c r="AJ405" s="89">
        <f t="shared" si="356"/>
        <v>-0.36737170596393909</v>
      </c>
    </row>
    <row r="406" spans="1:36" x14ac:dyDescent="0.3">
      <c r="A406" s="21" t="s">
        <v>821</v>
      </c>
      <c r="B406" s="11" t="s">
        <v>822</v>
      </c>
      <c r="C406" s="12">
        <f t="shared" si="348"/>
        <v>1</v>
      </c>
      <c r="D406" s="41" t="str">
        <f t="shared" si="349"/>
        <v>un</v>
      </c>
      <c r="E406" s="41">
        <v>152.35</v>
      </c>
      <c r="F406" s="41">
        <v>17.86</v>
      </c>
      <c r="G406" s="41">
        <f t="shared" si="335"/>
        <v>170.20999999999998</v>
      </c>
      <c r="H406" s="13">
        <f t="shared" si="350"/>
        <v>152.35</v>
      </c>
      <c r="I406" s="13">
        <f t="shared" si="351"/>
        <v>17.86</v>
      </c>
      <c r="J406" s="14">
        <f t="shared" si="334"/>
        <v>170.20999999999998</v>
      </c>
      <c r="M406" s="54"/>
      <c r="N406" s="56"/>
      <c r="V406" s="74">
        <v>1</v>
      </c>
      <c r="W406" s="74" t="s">
        <v>110</v>
      </c>
      <c r="X406" s="13">
        <v>147.86000000000001</v>
      </c>
      <c r="Y406" s="13">
        <v>18.72</v>
      </c>
      <c r="Z406" s="13">
        <f t="shared" si="352"/>
        <v>166.58</v>
      </c>
      <c r="AB406" s="74">
        <v>1</v>
      </c>
      <c r="AC406" s="74" t="s">
        <v>110</v>
      </c>
      <c r="AD406" s="13">
        <v>190.47</v>
      </c>
      <c r="AE406" s="13">
        <v>24.12</v>
      </c>
      <c r="AF406" s="13">
        <f t="shared" si="353"/>
        <v>214.59</v>
      </c>
      <c r="AH406" s="89">
        <f t="shared" si="354"/>
        <v>-0.20013650443639419</v>
      </c>
      <c r="AI406" s="89">
        <f t="shared" si="355"/>
        <v>-0.25953565505804321</v>
      </c>
      <c r="AJ406" s="89">
        <f t="shared" si="356"/>
        <v>-0.20681299221771765</v>
      </c>
    </row>
    <row r="407" spans="1:36" x14ac:dyDescent="0.3">
      <c r="A407" s="21" t="s">
        <v>823</v>
      </c>
      <c r="B407" s="11" t="s">
        <v>824</v>
      </c>
      <c r="C407" s="12">
        <f t="shared" si="348"/>
        <v>1</v>
      </c>
      <c r="D407" s="41" t="str">
        <f t="shared" si="349"/>
        <v>un</v>
      </c>
      <c r="E407" s="41">
        <v>187.03</v>
      </c>
      <c r="F407" s="41">
        <v>17.86</v>
      </c>
      <c r="G407" s="41">
        <f t="shared" si="335"/>
        <v>204.89</v>
      </c>
      <c r="H407" s="13">
        <f t="shared" si="350"/>
        <v>187.03</v>
      </c>
      <c r="I407" s="13">
        <f t="shared" si="351"/>
        <v>17.86</v>
      </c>
      <c r="J407" s="14">
        <f t="shared" si="334"/>
        <v>204.89</v>
      </c>
      <c r="M407" s="54"/>
      <c r="N407" s="56"/>
      <c r="V407" s="74">
        <v>1</v>
      </c>
      <c r="W407" s="74" t="s">
        <v>110</v>
      </c>
      <c r="X407" s="13">
        <v>181.51</v>
      </c>
      <c r="Y407" s="13">
        <v>18.72</v>
      </c>
      <c r="Z407" s="13">
        <f t="shared" si="352"/>
        <v>200.23</v>
      </c>
      <c r="AB407" s="74">
        <v>1</v>
      </c>
      <c r="AC407" s="74" t="s">
        <v>110</v>
      </c>
      <c r="AD407" s="13">
        <v>233.82</v>
      </c>
      <c r="AE407" s="13">
        <v>24.12</v>
      </c>
      <c r="AF407" s="13">
        <f t="shared" si="353"/>
        <v>257.94</v>
      </c>
      <c r="AH407" s="89">
        <f t="shared" si="354"/>
        <v>-0.20011119664699339</v>
      </c>
      <c r="AI407" s="89">
        <f t="shared" si="355"/>
        <v>-0.25953565505804321</v>
      </c>
      <c r="AJ407" s="89">
        <f t="shared" si="356"/>
        <v>-0.20566798480266735</v>
      </c>
    </row>
    <row r="408" spans="1:36" x14ac:dyDescent="0.3">
      <c r="A408" s="21" t="s">
        <v>825</v>
      </c>
      <c r="B408" s="11" t="s">
        <v>826</v>
      </c>
      <c r="C408" s="12">
        <f t="shared" si="348"/>
        <v>1</v>
      </c>
      <c r="D408" s="41" t="str">
        <f t="shared" si="349"/>
        <v>un</v>
      </c>
      <c r="E408" s="41">
        <v>60.43</v>
      </c>
      <c r="F408" s="41">
        <v>17.86</v>
      </c>
      <c r="G408" s="41">
        <f t="shared" si="335"/>
        <v>78.289999999999992</v>
      </c>
      <c r="H408" s="13">
        <f t="shared" si="350"/>
        <v>60.43</v>
      </c>
      <c r="I408" s="13">
        <f t="shared" si="351"/>
        <v>17.86</v>
      </c>
      <c r="J408" s="14">
        <f t="shared" si="334"/>
        <v>78.289999999999992</v>
      </c>
      <c r="M408" s="54"/>
      <c r="N408" s="56"/>
      <c r="V408" s="74">
        <v>1</v>
      </c>
      <c r="W408" s="74" t="s">
        <v>110</v>
      </c>
      <c r="X408" s="13">
        <v>63.88</v>
      </c>
      <c r="Y408" s="13">
        <v>18.72</v>
      </c>
      <c r="Z408" s="13">
        <f t="shared" si="352"/>
        <v>82.6</v>
      </c>
      <c r="AB408" s="74">
        <v>1</v>
      </c>
      <c r="AC408" s="74" t="s">
        <v>110</v>
      </c>
      <c r="AD408" s="13">
        <v>82.29</v>
      </c>
      <c r="AE408" s="13">
        <v>24.12</v>
      </c>
      <c r="AF408" s="13">
        <f t="shared" si="353"/>
        <v>106.41000000000001</v>
      </c>
      <c r="AH408" s="89">
        <f t="shared" si="354"/>
        <v>-0.26564588649896714</v>
      </c>
      <c r="AI408" s="89">
        <f t="shared" si="355"/>
        <v>-0.25953565505804321</v>
      </c>
      <c r="AJ408" s="89">
        <f t="shared" si="356"/>
        <v>-0.26426087773705498</v>
      </c>
    </row>
    <row r="409" spans="1:36" x14ac:dyDescent="0.3">
      <c r="A409" s="21" t="s">
        <v>827</v>
      </c>
      <c r="B409" s="11" t="s">
        <v>828</v>
      </c>
      <c r="C409" s="12">
        <f t="shared" si="348"/>
        <v>1</v>
      </c>
      <c r="D409" s="41" t="str">
        <f t="shared" si="349"/>
        <v>un</v>
      </c>
      <c r="E409" s="41">
        <v>215.25</v>
      </c>
      <c r="F409" s="41">
        <v>16.39</v>
      </c>
      <c r="G409" s="41">
        <f t="shared" si="335"/>
        <v>231.64</v>
      </c>
      <c r="H409" s="13">
        <f t="shared" si="350"/>
        <v>215.25</v>
      </c>
      <c r="I409" s="13">
        <f t="shared" si="351"/>
        <v>16.39</v>
      </c>
      <c r="J409" s="14">
        <f t="shared" si="334"/>
        <v>231.64</v>
      </c>
      <c r="M409" s="54"/>
      <c r="N409" s="56"/>
      <c r="V409" s="74">
        <v>1</v>
      </c>
      <c r="W409" s="74" t="s">
        <v>110</v>
      </c>
      <c r="X409" s="13">
        <v>310.86</v>
      </c>
      <c r="Y409" s="13">
        <v>17.29</v>
      </c>
      <c r="Z409" s="13">
        <f t="shared" si="352"/>
        <v>328.15000000000003</v>
      </c>
      <c r="AB409" s="74">
        <v>1</v>
      </c>
      <c r="AC409" s="74" t="s">
        <v>110</v>
      </c>
      <c r="AD409" s="13">
        <v>400.45</v>
      </c>
      <c r="AE409" s="13">
        <v>22.27</v>
      </c>
      <c r="AF409" s="13">
        <f t="shared" si="353"/>
        <v>422.71999999999997</v>
      </c>
      <c r="AH409" s="89">
        <f t="shared" si="354"/>
        <v>-0.46247971032588342</v>
      </c>
      <c r="AI409" s="89">
        <f t="shared" si="355"/>
        <v>-0.26403233048944763</v>
      </c>
      <c r="AJ409" s="89">
        <f t="shared" si="356"/>
        <v>-0.45202498107494327</v>
      </c>
    </row>
    <row r="410" spans="1:36" x14ac:dyDescent="0.3">
      <c r="A410" s="19">
        <v>22</v>
      </c>
      <c r="B410" s="20" t="s">
        <v>829</v>
      </c>
      <c r="C410" s="76"/>
      <c r="D410" s="58"/>
      <c r="E410" s="58">
        <v>0</v>
      </c>
      <c r="F410" s="58">
        <v>0</v>
      </c>
      <c r="G410" s="58"/>
      <c r="H410" s="24">
        <f t="shared" ref="H410:I410" si="357">SUM(H411:H422)</f>
        <v>43061.900000000009</v>
      </c>
      <c r="I410" s="24">
        <f t="shared" si="357"/>
        <v>26370.809999999998</v>
      </c>
      <c r="J410" s="24">
        <f>SUM(J411:J422)</f>
        <v>69432.709999999977</v>
      </c>
      <c r="M410" s="54"/>
      <c r="N410" s="56"/>
      <c r="V410" s="75"/>
      <c r="W410" s="75"/>
      <c r="X410" s="23"/>
      <c r="Y410" s="23"/>
      <c r="Z410" s="23"/>
      <c r="AB410" s="75"/>
      <c r="AC410" s="75"/>
      <c r="AD410" s="23"/>
      <c r="AE410" s="23"/>
      <c r="AF410" s="23"/>
      <c r="AH410" s="89">
        <f t="shared" si="354"/>
        <v>0</v>
      </c>
      <c r="AI410" s="89">
        <f t="shared" si="355"/>
        <v>0</v>
      </c>
      <c r="AJ410" s="89">
        <f t="shared" si="356"/>
        <v>0</v>
      </c>
    </row>
    <row r="411" spans="1:36" x14ac:dyDescent="0.3">
      <c r="A411" s="21" t="s">
        <v>830</v>
      </c>
      <c r="B411" s="11" t="s">
        <v>831</v>
      </c>
      <c r="C411" s="12">
        <f t="shared" ref="C411:C422" si="358">V411</f>
        <v>48</v>
      </c>
      <c r="D411" s="41" t="str">
        <f t="shared" ref="D411:D422" si="359">W411</f>
        <v>un</v>
      </c>
      <c r="E411" s="41">
        <v>107.64</v>
      </c>
      <c r="F411" s="41">
        <v>20.56</v>
      </c>
      <c r="G411" s="41">
        <f t="shared" si="335"/>
        <v>128.19999999999999</v>
      </c>
      <c r="H411" s="13">
        <f t="shared" ref="H411:H422" si="360">C411*E411</f>
        <v>5166.72</v>
      </c>
      <c r="I411" s="13">
        <f t="shared" ref="I411:I422" si="361">C411*F411</f>
        <v>986.87999999999988</v>
      </c>
      <c r="J411" s="14">
        <f t="shared" si="334"/>
        <v>6153.5999999999995</v>
      </c>
      <c r="M411" s="54"/>
      <c r="N411" s="56"/>
      <c r="V411" s="74">
        <v>48</v>
      </c>
      <c r="W411" s="74" t="s">
        <v>110</v>
      </c>
      <c r="X411" s="13">
        <v>130</v>
      </c>
      <c r="Y411" s="13">
        <v>21.49</v>
      </c>
      <c r="Z411" s="13">
        <f t="shared" ref="Z411:Z422" si="362">SUM(X411:Y411)</f>
        <v>151.49</v>
      </c>
      <c r="AB411" s="74">
        <v>48</v>
      </c>
      <c r="AC411" s="74" t="s">
        <v>110</v>
      </c>
      <c r="AD411" s="13">
        <v>167.47</v>
      </c>
      <c r="AE411" s="13">
        <v>27.68</v>
      </c>
      <c r="AF411" s="13">
        <f t="shared" ref="AF411:AF422" si="363">SUM(AD411:AE411)</f>
        <v>195.15</v>
      </c>
      <c r="AH411" s="89">
        <f t="shared" si="354"/>
        <v>-0.3572580163611393</v>
      </c>
      <c r="AI411" s="89">
        <f t="shared" si="355"/>
        <v>-0.25722543352601157</v>
      </c>
      <c r="AJ411" s="89">
        <f t="shared" si="356"/>
        <v>-0.34306943376889576</v>
      </c>
    </row>
    <row r="412" spans="1:36" x14ac:dyDescent="0.3">
      <c r="A412" s="21" t="s">
        <v>832</v>
      </c>
      <c r="B412" s="11" t="s">
        <v>833</v>
      </c>
      <c r="C412" s="12">
        <f t="shared" si="358"/>
        <v>15</v>
      </c>
      <c r="D412" s="41" t="str">
        <f t="shared" si="359"/>
        <v>un</v>
      </c>
      <c r="E412" s="41">
        <v>157.83000000000001</v>
      </c>
      <c r="F412" s="41">
        <v>12.33</v>
      </c>
      <c r="G412" s="41">
        <f t="shared" si="335"/>
        <v>170.16000000000003</v>
      </c>
      <c r="H412" s="13">
        <f t="shared" si="360"/>
        <v>2367.4500000000003</v>
      </c>
      <c r="I412" s="13">
        <f t="shared" si="361"/>
        <v>184.95</v>
      </c>
      <c r="J412" s="14">
        <f t="shared" si="334"/>
        <v>2552.4000000000005</v>
      </c>
      <c r="M412" s="54"/>
      <c r="N412" s="56"/>
      <c r="V412" s="74">
        <v>15</v>
      </c>
      <c r="W412" s="74" t="s">
        <v>110</v>
      </c>
      <c r="X412" s="13">
        <v>153.9</v>
      </c>
      <c r="Y412" s="13">
        <v>12.89</v>
      </c>
      <c r="Z412" s="13">
        <f t="shared" si="362"/>
        <v>166.79000000000002</v>
      </c>
      <c r="AB412" s="74">
        <v>15</v>
      </c>
      <c r="AC412" s="74" t="s">
        <v>110</v>
      </c>
      <c r="AD412" s="13">
        <v>198.25</v>
      </c>
      <c r="AE412" s="13">
        <v>16.600000000000001</v>
      </c>
      <c r="AF412" s="13">
        <f t="shared" si="363"/>
        <v>214.85</v>
      </c>
      <c r="AH412" s="89">
        <f t="shared" si="354"/>
        <v>-0.20388398486759141</v>
      </c>
      <c r="AI412" s="89">
        <f t="shared" si="355"/>
        <v>-0.25722891566265071</v>
      </c>
      <c r="AJ412" s="89">
        <f t="shared" si="356"/>
        <v>-0.20800558529206414</v>
      </c>
    </row>
    <row r="413" spans="1:36" x14ac:dyDescent="0.3">
      <c r="A413" s="21" t="s">
        <v>834</v>
      </c>
      <c r="B413" s="11" t="s">
        <v>835</v>
      </c>
      <c r="C413" s="12">
        <f t="shared" si="358"/>
        <v>237</v>
      </c>
      <c r="D413" s="41" t="str">
        <f t="shared" si="359"/>
        <v>un</v>
      </c>
      <c r="E413" s="41">
        <v>56.22</v>
      </c>
      <c r="F413" s="41">
        <v>12.33</v>
      </c>
      <c r="G413" s="41">
        <f t="shared" si="335"/>
        <v>68.55</v>
      </c>
      <c r="H413" s="13">
        <f t="shared" si="360"/>
        <v>13324.14</v>
      </c>
      <c r="I413" s="13">
        <f t="shared" si="361"/>
        <v>2922.21</v>
      </c>
      <c r="J413" s="14">
        <f t="shared" si="334"/>
        <v>16246.349999999999</v>
      </c>
      <c r="M413" s="54"/>
      <c r="N413" s="56"/>
      <c r="V413" s="74">
        <v>237</v>
      </c>
      <c r="W413" s="74" t="s">
        <v>110</v>
      </c>
      <c r="X413" s="13">
        <v>65.05</v>
      </c>
      <c r="Y413" s="13">
        <v>12.89</v>
      </c>
      <c r="Z413" s="13">
        <f t="shared" si="362"/>
        <v>77.94</v>
      </c>
      <c r="AB413" s="74">
        <v>237</v>
      </c>
      <c r="AC413" s="74" t="s">
        <v>110</v>
      </c>
      <c r="AD413" s="13">
        <v>83.8</v>
      </c>
      <c r="AE413" s="13">
        <v>16.600000000000001</v>
      </c>
      <c r="AF413" s="13">
        <f t="shared" si="363"/>
        <v>100.4</v>
      </c>
      <c r="AH413" s="89">
        <f t="shared" si="354"/>
        <v>-0.32911694510739853</v>
      </c>
      <c r="AI413" s="89">
        <f t="shared" si="355"/>
        <v>-0.25722891566265071</v>
      </c>
      <c r="AJ413" s="89">
        <f t="shared" si="356"/>
        <v>-0.31723107569721121</v>
      </c>
    </row>
    <row r="414" spans="1:36" x14ac:dyDescent="0.3">
      <c r="A414" s="21" t="s">
        <v>836</v>
      </c>
      <c r="B414" s="11" t="s">
        <v>837</v>
      </c>
      <c r="C414" s="12">
        <f t="shared" si="358"/>
        <v>30</v>
      </c>
      <c r="D414" s="41" t="str">
        <f t="shared" si="359"/>
        <v>un</v>
      </c>
      <c r="E414" s="41">
        <v>45.52</v>
      </c>
      <c r="F414" s="41">
        <v>20.56</v>
      </c>
      <c r="G414" s="41">
        <f t="shared" si="335"/>
        <v>66.08</v>
      </c>
      <c r="H414" s="13">
        <f t="shared" si="360"/>
        <v>1365.6000000000001</v>
      </c>
      <c r="I414" s="13">
        <f t="shared" si="361"/>
        <v>616.79999999999995</v>
      </c>
      <c r="J414" s="14">
        <f t="shared" si="334"/>
        <v>1982.3999999999999</v>
      </c>
      <c r="M414" s="54"/>
      <c r="N414" s="56"/>
      <c r="V414" s="74">
        <v>30</v>
      </c>
      <c r="W414" s="74" t="s">
        <v>110</v>
      </c>
      <c r="X414" s="13">
        <v>50.63</v>
      </c>
      <c r="Y414" s="13">
        <v>21.49</v>
      </c>
      <c r="Z414" s="13">
        <f t="shared" si="362"/>
        <v>72.12</v>
      </c>
      <c r="AB414" s="74">
        <v>30</v>
      </c>
      <c r="AC414" s="74" t="s">
        <v>110</v>
      </c>
      <c r="AD414" s="13">
        <v>65.22</v>
      </c>
      <c r="AE414" s="13">
        <v>27.68</v>
      </c>
      <c r="AF414" s="13">
        <f t="shared" si="363"/>
        <v>92.9</v>
      </c>
      <c r="AH414" s="89">
        <f t="shared" si="354"/>
        <v>-0.30205458448328726</v>
      </c>
      <c r="AI414" s="89">
        <f t="shared" si="355"/>
        <v>-0.25722543352601157</v>
      </c>
      <c r="AJ414" s="89">
        <f t="shared" si="356"/>
        <v>-0.28869752421959105</v>
      </c>
    </row>
    <row r="415" spans="1:36" x14ac:dyDescent="0.3">
      <c r="A415" s="21" t="s">
        <v>838</v>
      </c>
      <c r="B415" s="11" t="s">
        <v>839</v>
      </c>
      <c r="C415" s="12">
        <f t="shared" si="358"/>
        <v>9</v>
      </c>
      <c r="D415" s="41" t="str">
        <f t="shared" si="359"/>
        <v>un</v>
      </c>
      <c r="E415" s="41">
        <v>32.6</v>
      </c>
      <c r="F415" s="41">
        <v>20.56</v>
      </c>
      <c r="G415" s="41">
        <f t="shared" si="335"/>
        <v>53.16</v>
      </c>
      <c r="H415" s="13">
        <f t="shared" si="360"/>
        <v>293.40000000000003</v>
      </c>
      <c r="I415" s="13">
        <f t="shared" si="361"/>
        <v>185.04</v>
      </c>
      <c r="J415" s="14">
        <f t="shared" si="334"/>
        <v>478.43999999999994</v>
      </c>
      <c r="M415" s="54"/>
      <c r="N415" s="56"/>
      <c r="V415" s="74">
        <v>9</v>
      </c>
      <c r="W415" s="74" t="s">
        <v>110</v>
      </c>
      <c r="X415" s="13">
        <v>41.57</v>
      </c>
      <c r="Y415" s="13">
        <v>21.49</v>
      </c>
      <c r="Z415" s="13">
        <f t="shared" si="362"/>
        <v>63.06</v>
      </c>
      <c r="AB415" s="74">
        <v>9</v>
      </c>
      <c r="AC415" s="74" t="s">
        <v>110</v>
      </c>
      <c r="AD415" s="13">
        <v>53.55</v>
      </c>
      <c r="AE415" s="13">
        <v>27.68</v>
      </c>
      <c r="AF415" s="13">
        <f t="shared" si="363"/>
        <v>81.22999999999999</v>
      </c>
      <c r="AH415" s="89">
        <f t="shared" si="354"/>
        <v>-0.39122315592903822</v>
      </c>
      <c r="AI415" s="89">
        <f t="shared" si="355"/>
        <v>-0.25722543352601157</v>
      </c>
      <c r="AJ415" s="89">
        <f t="shared" si="356"/>
        <v>-0.3455619844884894</v>
      </c>
    </row>
    <row r="416" spans="1:36" x14ac:dyDescent="0.3">
      <c r="A416" s="21" t="s">
        <v>840</v>
      </c>
      <c r="B416" s="11" t="s">
        <v>841</v>
      </c>
      <c r="C416" s="12">
        <f t="shared" si="358"/>
        <v>12</v>
      </c>
      <c r="D416" s="41" t="str">
        <f t="shared" si="359"/>
        <v>un</v>
      </c>
      <c r="E416" s="41">
        <v>80.819999999999993</v>
      </c>
      <c r="F416" s="41">
        <v>16.440000000000001</v>
      </c>
      <c r="G416" s="41">
        <f t="shared" si="335"/>
        <v>97.259999999999991</v>
      </c>
      <c r="H416" s="13">
        <f t="shared" si="360"/>
        <v>969.83999999999992</v>
      </c>
      <c r="I416" s="13">
        <f t="shared" si="361"/>
        <v>197.28000000000003</v>
      </c>
      <c r="J416" s="14">
        <f t="shared" si="334"/>
        <v>1167.1199999999999</v>
      </c>
      <c r="M416" s="54"/>
      <c r="N416" s="56"/>
      <c r="V416" s="74">
        <v>12</v>
      </c>
      <c r="W416" s="74" t="s">
        <v>110</v>
      </c>
      <c r="X416" s="13">
        <v>78.44</v>
      </c>
      <c r="Y416" s="13">
        <v>17.190000000000001</v>
      </c>
      <c r="Z416" s="13">
        <f t="shared" si="362"/>
        <v>95.63</v>
      </c>
      <c r="AB416" s="74">
        <v>12</v>
      </c>
      <c r="AC416" s="74" t="s">
        <v>110</v>
      </c>
      <c r="AD416" s="13">
        <v>101.05</v>
      </c>
      <c r="AE416" s="13">
        <v>22.14</v>
      </c>
      <c r="AF416" s="13">
        <f t="shared" si="363"/>
        <v>123.19</v>
      </c>
      <c r="AH416" s="89">
        <f t="shared" si="354"/>
        <v>-0.20019792182088081</v>
      </c>
      <c r="AI416" s="89">
        <f t="shared" si="355"/>
        <v>-0.25745257452574521</v>
      </c>
      <c r="AJ416" s="89">
        <f t="shared" si="356"/>
        <v>-0.21048786427469768</v>
      </c>
    </row>
    <row r="417" spans="1:36" x14ac:dyDescent="0.3">
      <c r="A417" s="21" t="s">
        <v>842</v>
      </c>
      <c r="B417" s="11" t="s">
        <v>843</v>
      </c>
      <c r="C417" s="12">
        <f t="shared" si="358"/>
        <v>147</v>
      </c>
      <c r="D417" s="41" t="str">
        <f t="shared" si="359"/>
        <v>un</v>
      </c>
      <c r="E417" s="41">
        <v>128.74</v>
      </c>
      <c r="F417" s="41">
        <v>143.94</v>
      </c>
      <c r="G417" s="41">
        <f t="shared" si="335"/>
        <v>272.68</v>
      </c>
      <c r="H417" s="13">
        <f t="shared" si="360"/>
        <v>18924.780000000002</v>
      </c>
      <c r="I417" s="13">
        <f t="shared" si="361"/>
        <v>21159.18</v>
      </c>
      <c r="J417" s="14">
        <f t="shared" si="334"/>
        <v>40083.96</v>
      </c>
      <c r="M417" s="54"/>
      <c r="N417" s="56"/>
      <c r="V417" s="74">
        <v>147</v>
      </c>
      <c r="W417" s="74" t="s">
        <v>110</v>
      </c>
      <c r="X417" s="13">
        <v>167.82</v>
      </c>
      <c r="Y417" s="13">
        <v>150.4</v>
      </c>
      <c r="Z417" s="13">
        <f t="shared" si="362"/>
        <v>318.22000000000003</v>
      </c>
      <c r="AB417" s="74">
        <v>147</v>
      </c>
      <c r="AC417" s="74" t="s">
        <v>110</v>
      </c>
      <c r="AD417" s="13">
        <v>216.19</v>
      </c>
      <c r="AE417" s="13">
        <v>193.75</v>
      </c>
      <c r="AF417" s="13">
        <f t="shared" si="363"/>
        <v>409.94</v>
      </c>
      <c r="AH417" s="89">
        <f t="shared" si="354"/>
        <v>-0.40450529626717235</v>
      </c>
      <c r="AI417" s="89">
        <f t="shared" si="355"/>
        <v>-0.25708387096774199</v>
      </c>
      <c r="AJ417" s="89">
        <f t="shared" si="356"/>
        <v>-0.33482948724203543</v>
      </c>
    </row>
    <row r="418" spans="1:36" x14ac:dyDescent="0.3">
      <c r="A418" s="21" t="s">
        <v>844</v>
      </c>
      <c r="B418" s="11" t="s">
        <v>845</v>
      </c>
      <c r="C418" s="12">
        <f t="shared" si="358"/>
        <v>1</v>
      </c>
      <c r="D418" s="41" t="str">
        <f t="shared" si="359"/>
        <v>un</v>
      </c>
      <c r="E418" s="41">
        <v>14.44</v>
      </c>
      <c r="F418" s="41">
        <v>6.57</v>
      </c>
      <c r="G418" s="41">
        <f t="shared" si="335"/>
        <v>21.009999999999998</v>
      </c>
      <c r="H418" s="13">
        <f t="shared" si="360"/>
        <v>14.44</v>
      </c>
      <c r="I418" s="13">
        <f t="shared" si="361"/>
        <v>6.57</v>
      </c>
      <c r="J418" s="14">
        <f t="shared" si="334"/>
        <v>21.009999999999998</v>
      </c>
      <c r="M418" s="54"/>
      <c r="N418" s="56"/>
      <c r="V418" s="74">
        <v>1</v>
      </c>
      <c r="W418" s="74" t="s">
        <v>110</v>
      </c>
      <c r="X418" s="13">
        <v>16.809999999999999</v>
      </c>
      <c r="Y418" s="13">
        <v>6.88</v>
      </c>
      <c r="Z418" s="13">
        <f t="shared" si="362"/>
        <v>23.689999999999998</v>
      </c>
      <c r="AB418" s="74">
        <v>1</v>
      </c>
      <c r="AC418" s="74" t="s">
        <v>110</v>
      </c>
      <c r="AD418" s="13">
        <v>21.65</v>
      </c>
      <c r="AE418" s="13">
        <v>8.86</v>
      </c>
      <c r="AF418" s="13">
        <f t="shared" si="363"/>
        <v>30.509999999999998</v>
      </c>
      <c r="AH418" s="89">
        <f t="shared" si="354"/>
        <v>-0.33302540415704385</v>
      </c>
      <c r="AI418" s="89">
        <f t="shared" si="355"/>
        <v>-0.25846501128668165</v>
      </c>
      <c r="AJ418" s="89">
        <f t="shared" si="356"/>
        <v>-0.31137332022287778</v>
      </c>
    </row>
    <row r="419" spans="1:36" x14ac:dyDescent="0.3">
      <c r="A419" s="21" t="s">
        <v>846</v>
      </c>
      <c r="B419" s="11" t="s">
        <v>847</v>
      </c>
      <c r="C419" s="12">
        <f t="shared" si="358"/>
        <v>1</v>
      </c>
      <c r="D419" s="41" t="str">
        <f t="shared" si="359"/>
        <v xml:space="preserve">UN </v>
      </c>
      <c r="E419" s="41">
        <v>47.66</v>
      </c>
      <c r="F419" s="41">
        <v>34.26</v>
      </c>
      <c r="G419" s="41">
        <f t="shared" si="335"/>
        <v>81.919999999999987</v>
      </c>
      <c r="H419" s="13">
        <f t="shared" si="360"/>
        <v>47.66</v>
      </c>
      <c r="I419" s="13">
        <f t="shared" si="361"/>
        <v>34.26</v>
      </c>
      <c r="J419" s="14">
        <f t="shared" si="334"/>
        <v>81.919999999999987</v>
      </c>
      <c r="M419" s="54"/>
      <c r="N419" s="55"/>
      <c r="V419" s="74">
        <v>1</v>
      </c>
      <c r="W419" s="74" t="s">
        <v>462</v>
      </c>
      <c r="X419" s="13">
        <v>58.59</v>
      </c>
      <c r="Y419" s="13">
        <v>36.03</v>
      </c>
      <c r="Z419" s="13">
        <f t="shared" si="362"/>
        <v>94.62</v>
      </c>
      <c r="AB419" s="74">
        <v>1</v>
      </c>
      <c r="AC419" s="74" t="s">
        <v>462</v>
      </c>
      <c r="AD419" s="13">
        <v>75.48</v>
      </c>
      <c r="AE419" s="13">
        <v>46.41</v>
      </c>
      <c r="AF419" s="13">
        <f t="shared" si="363"/>
        <v>121.89</v>
      </c>
      <c r="AH419" s="89">
        <f t="shared" si="354"/>
        <v>-0.36857445680975098</v>
      </c>
      <c r="AI419" s="89">
        <f t="shared" si="355"/>
        <v>-0.26179702650290881</v>
      </c>
      <c r="AJ419" s="89">
        <f t="shared" si="356"/>
        <v>-0.32791861514480281</v>
      </c>
    </row>
    <row r="420" spans="1:36" x14ac:dyDescent="0.3">
      <c r="A420" s="21" t="s">
        <v>848</v>
      </c>
      <c r="B420" s="11" t="s">
        <v>849</v>
      </c>
      <c r="C420" s="12">
        <f t="shared" si="358"/>
        <v>1</v>
      </c>
      <c r="D420" s="41" t="str">
        <f t="shared" si="359"/>
        <v>un</v>
      </c>
      <c r="E420" s="41">
        <v>12.9</v>
      </c>
      <c r="F420" s="41">
        <v>2.88</v>
      </c>
      <c r="G420" s="41">
        <f t="shared" si="335"/>
        <v>15.780000000000001</v>
      </c>
      <c r="H420" s="13">
        <f t="shared" si="360"/>
        <v>12.9</v>
      </c>
      <c r="I420" s="13">
        <f t="shared" si="361"/>
        <v>2.88</v>
      </c>
      <c r="J420" s="14">
        <f t="shared" si="334"/>
        <v>15.780000000000001</v>
      </c>
      <c r="M420" s="54"/>
      <c r="N420" s="56"/>
      <c r="V420" s="74">
        <v>1</v>
      </c>
      <c r="W420" s="74" t="s">
        <v>110</v>
      </c>
      <c r="X420" s="13">
        <v>14.02</v>
      </c>
      <c r="Y420" s="13">
        <v>3.01</v>
      </c>
      <c r="Z420" s="13">
        <f t="shared" si="362"/>
        <v>17.03</v>
      </c>
      <c r="AB420" s="74">
        <v>1</v>
      </c>
      <c r="AC420" s="74" t="s">
        <v>110</v>
      </c>
      <c r="AD420" s="13">
        <v>18.059999999999999</v>
      </c>
      <c r="AE420" s="13">
        <v>3.88</v>
      </c>
      <c r="AF420" s="13">
        <f t="shared" si="363"/>
        <v>21.939999999999998</v>
      </c>
      <c r="AH420" s="89">
        <f t="shared" si="354"/>
        <v>-0.2857142857142857</v>
      </c>
      <c r="AI420" s="89">
        <f t="shared" si="355"/>
        <v>-0.25773195876288657</v>
      </c>
      <c r="AJ420" s="89">
        <f t="shared" si="356"/>
        <v>-0.28076572470373728</v>
      </c>
    </row>
    <row r="421" spans="1:36" x14ac:dyDescent="0.3">
      <c r="A421" s="21" t="s">
        <v>850</v>
      </c>
      <c r="B421" s="11" t="s">
        <v>851</v>
      </c>
      <c r="C421" s="12">
        <f t="shared" ref="C421" si="364">V421</f>
        <v>1</v>
      </c>
      <c r="D421" s="41" t="str">
        <f t="shared" ref="D421" si="365">W421</f>
        <v>un</v>
      </c>
      <c r="E421" s="41">
        <v>410.69</v>
      </c>
      <c r="F421" s="41">
        <v>33.64</v>
      </c>
      <c r="G421" s="41">
        <f t="shared" ref="G421" si="366">F421+E421</f>
        <v>444.33</v>
      </c>
      <c r="H421" s="13">
        <f t="shared" ref="H421" si="367">C421*E421</f>
        <v>410.69</v>
      </c>
      <c r="I421" s="13">
        <f t="shared" ref="I421" si="368">C421*F421</f>
        <v>33.64</v>
      </c>
      <c r="J421" s="14">
        <f t="shared" ref="J421" si="369">SUM(E421:F421)*C421</f>
        <v>444.33</v>
      </c>
      <c r="M421" s="54"/>
      <c r="N421" s="56"/>
      <c r="V421" s="74">
        <v>1</v>
      </c>
      <c r="W421" s="74" t="s">
        <v>110</v>
      </c>
      <c r="X421" s="13">
        <v>398.57</v>
      </c>
      <c r="Y421" s="13">
        <v>35.15</v>
      </c>
      <c r="Z421" s="13">
        <f t="shared" ref="Z421" si="370">SUM(X421:Y421)</f>
        <v>433.71999999999997</v>
      </c>
      <c r="AB421" s="74">
        <v>1</v>
      </c>
      <c r="AC421" s="74" t="s">
        <v>110</v>
      </c>
      <c r="AD421" s="13">
        <v>513.44000000000005</v>
      </c>
      <c r="AE421" s="13">
        <v>45.28</v>
      </c>
      <c r="AF421" s="13">
        <f t="shared" ref="AF421" si="371">SUM(AD421:AE421)</f>
        <v>558.72</v>
      </c>
      <c r="AH421" s="89">
        <f t="shared" ref="AH421" si="372">IF(E421=0,0,(E421/AD421)-1)</f>
        <v>-0.2001207541290122</v>
      </c>
      <c r="AI421" s="89">
        <f t="shared" ref="AI421" si="373">IF(F421=0,0,(F421/AE421)-1)</f>
        <v>-0.25706713780918733</v>
      </c>
      <c r="AJ421" s="89">
        <f t="shared" ref="AJ421" si="374">IF(G421=0,0,(G421/AF421)-1)</f>
        <v>-0.20473582474226815</v>
      </c>
    </row>
    <row r="422" spans="1:36" x14ac:dyDescent="0.3">
      <c r="A422" s="21" t="s">
        <v>850</v>
      </c>
      <c r="B422" s="11" t="s">
        <v>852</v>
      </c>
      <c r="C422" s="12">
        <f t="shared" si="358"/>
        <v>1</v>
      </c>
      <c r="D422" s="41" t="str">
        <f t="shared" si="359"/>
        <v>un</v>
      </c>
      <c r="E422" s="41">
        <v>164.28</v>
      </c>
      <c r="F422" s="41">
        <v>41.12</v>
      </c>
      <c r="G422" s="41">
        <f t="shared" si="335"/>
        <v>205.4</v>
      </c>
      <c r="H422" s="13">
        <f t="shared" si="360"/>
        <v>164.28</v>
      </c>
      <c r="I422" s="13">
        <f t="shared" si="361"/>
        <v>41.12</v>
      </c>
      <c r="J422" s="14">
        <f t="shared" si="334"/>
        <v>205.4</v>
      </c>
      <c r="M422" s="54"/>
      <c r="N422" s="56"/>
      <c r="V422" s="74">
        <v>1</v>
      </c>
      <c r="W422" s="74" t="s">
        <v>110</v>
      </c>
      <c r="X422" s="13">
        <v>184.41</v>
      </c>
      <c r="Y422" s="13">
        <v>42.97</v>
      </c>
      <c r="Z422" s="13">
        <f t="shared" si="362"/>
        <v>227.38</v>
      </c>
      <c r="AB422" s="74">
        <v>1</v>
      </c>
      <c r="AC422" s="74" t="s">
        <v>110</v>
      </c>
      <c r="AD422" s="13">
        <v>237.56</v>
      </c>
      <c r="AE422" s="13">
        <v>55.35</v>
      </c>
      <c r="AF422" s="13">
        <f t="shared" si="363"/>
        <v>292.91000000000003</v>
      </c>
      <c r="AH422" s="89">
        <f t="shared" si="354"/>
        <v>-0.3084694392995454</v>
      </c>
      <c r="AI422" s="89">
        <f t="shared" si="355"/>
        <v>-0.25709123757904251</v>
      </c>
      <c r="AJ422" s="89">
        <f t="shared" si="356"/>
        <v>-0.29876071148134242</v>
      </c>
    </row>
    <row r="423" spans="1:36" x14ac:dyDescent="0.3">
      <c r="A423" s="19">
        <v>23</v>
      </c>
      <c r="B423" s="20" t="s">
        <v>853</v>
      </c>
      <c r="C423" s="76"/>
      <c r="D423" s="58"/>
      <c r="E423" s="58">
        <v>0</v>
      </c>
      <c r="F423" s="58">
        <v>0</v>
      </c>
      <c r="G423" s="58"/>
      <c r="H423" s="23">
        <v>0</v>
      </c>
      <c r="I423" s="23">
        <v>0</v>
      </c>
      <c r="J423" s="24">
        <v>0</v>
      </c>
      <c r="M423" s="54"/>
      <c r="N423" s="56"/>
      <c r="V423" s="75"/>
      <c r="W423" s="75"/>
      <c r="X423" s="23"/>
      <c r="Y423" s="23"/>
      <c r="Z423" s="23"/>
      <c r="AB423" s="75"/>
      <c r="AC423" s="75"/>
      <c r="AD423" s="23"/>
      <c r="AE423" s="23"/>
      <c r="AF423" s="23"/>
      <c r="AH423" s="89">
        <f t="shared" si="354"/>
        <v>0</v>
      </c>
      <c r="AI423" s="89">
        <f t="shared" si="355"/>
        <v>0</v>
      </c>
      <c r="AJ423" s="89">
        <f t="shared" si="356"/>
        <v>0</v>
      </c>
    </row>
    <row r="424" spans="1:36" x14ac:dyDescent="0.3">
      <c r="A424" s="19">
        <v>24</v>
      </c>
      <c r="B424" s="20" t="s">
        <v>854</v>
      </c>
      <c r="C424" s="76"/>
      <c r="D424" s="58"/>
      <c r="E424" s="58">
        <v>0</v>
      </c>
      <c r="F424" s="58">
        <v>0</v>
      </c>
      <c r="G424" s="58"/>
      <c r="H424" s="23">
        <v>0</v>
      </c>
      <c r="I424" s="23">
        <v>0</v>
      </c>
      <c r="J424" s="24">
        <v>0</v>
      </c>
      <c r="M424" s="54"/>
      <c r="N424" s="56"/>
      <c r="V424" s="75"/>
      <c r="W424" s="75"/>
      <c r="X424" s="23"/>
      <c r="Y424" s="23"/>
      <c r="Z424" s="23"/>
      <c r="AB424" s="75"/>
      <c r="AC424" s="75"/>
      <c r="AD424" s="23"/>
      <c r="AE424" s="23"/>
      <c r="AF424" s="23"/>
      <c r="AH424" s="89">
        <f t="shared" si="354"/>
        <v>0</v>
      </c>
      <c r="AI424" s="89">
        <f t="shared" si="355"/>
        <v>0</v>
      </c>
      <c r="AJ424" s="89">
        <f t="shared" si="356"/>
        <v>0</v>
      </c>
    </row>
    <row r="425" spans="1:36" x14ac:dyDescent="0.3">
      <c r="A425" s="19">
        <v>25</v>
      </c>
      <c r="B425" s="20" t="s">
        <v>855</v>
      </c>
      <c r="C425" s="76"/>
      <c r="D425" s="58"/>
      <c r="E425" s="58">
        <v>0</v>
      </c>
      <c r="F425" s="58">
        <v>0</v>
      </c>
      <c r="G425" s="58"/>
      <c r="H425" s="23">
        <v>0</v>
      </c>
      <c r="I425" s="23">
        <v>0</v>
      </c>
      <c r="J425" s="24">
        <v>0</v>
      </c>
      <c r="M425" s="54"/>
      <c r="N425" s="56"/>
      <c r="V425" s="75"/>
      <c r="W425" s="75"/>
      <c r="X425" s="23"/>
      <c r="Y425" s="23"/>
      <c r="Z425" s="23"/>
      <c r="AB425" s="75"/>
      <c r="AC425" s="75"/>
      <c r="AD425" s="23"/>
      <c r="AE425" s="23"/>
      <c r="AF425" s="23"/>
      <c r="AH425" s="89">
        <f t="shared" si="354"/>
        <v>0</v>
      </c>
      <c r="AI425" s="89">
        <f t="shared" si="355"/>
        <v>0</v>
      </c>
      <c r="AJ425" s="89">
        <f t="shared" si="356"/>
        <v>0</v>
      </c>
    </row>
    <row r="426" spans="1:36" x14ac:dyDescent="0.3">
      <c r="A426" s="19">
        <v>26</v>
      </c>
      <c r="B426" s="22" t="s">
        <v>856</v>
      </c>
      <c r="C426" s="76"/>
      <c r="D426" s="58"/>
      <c r="E426" s="58">
        <v>0</v>
      </c>
      <c r="F426" s="58">
        <v>0</v>
      </c>
      <c r="G426" s="58"/>
      <c r="H426" s="23">
        <v>0</v>
      </c>
      <c r="I426" s="23">
        <v>0</v>
      </c>
      <c r="J426" s="24">
        <v>0</v>
      </c>
      <c r="M426" s="54"/>
      <c r="N426" s="56"/>
      <c r="V426" s="75"/>
      <c r="W426" s="75"/>
      <c r="X426" s="23"/>
      <c r="Y426" s="23"/>
      <c r="Z426" s="23"/>
      <c r="AB426" s="75"/>
      <c r="AC426" s="75"/>
      <c r="AD426" s="23"/>
      <c r="AE426" s="23"/>
      <c r="AF426" s="23"/>
      <c r="AH426" s="89">
        <f t="shared" si="354"/>
        <v>0</v>
      </c>
      <c r="AI426" s="89">
        <f t="shared" si="355"/>
        <v>0</v>
      </c>
      <c r="AJ426" s="89">
        <f t="shared" si="356"/>
        <v>0</v>
      </c>
    </row>
    <row r="427" spans="1:36" x14ac:dyDescent="0.3">
      <c r="A427" s="19">
        <v>27</v>
      </c>
      <c r="B427" s="20" t="s">
        <v>857</v>
      </c>
      <c r="C427" s="76"/>
      <c r="D427" s="58"/>
      <c r="E427" s="58">
        <v>0</v>
      </c>
      <c r="F427" s="58">
        <v>0</v>
      </c>
      <c r="G427" s="58"/>
      <c r="H427" s="23">
        <v>0</v>
      </c>
      <c r="I427" s="23">
        <v>0</v>
      </c>
      <c r="J427" s="24">
        <v>0</v>
      </c>
      <c r="M427" s="54"/>
      <c r="N427" s="56"/>
      <c r="V427" s="75"/>
      <c r="W427" s="75"/>
      <c r="X427" s="23"/>
      <c r="Y427" s="23"/>
      <c r="Z427" s="23"/>
      <c r="AB427" s="75"/>
      <c r="AC427" s="75"/>
      <c r="AD427" s="23"/>
      <c r="AE427" s="23"/>
      <c r="AF427" s="23"/>
      <c r="AH427" s="89">
        <f t="shared" si="354"/>
        <v>0</v>
      </c>
      <c r="AI427" s="89">
        <f t="shared" si="355"/>
        <v>0</v>
      </c>
      <c r="AJ427" s="89">
        <f t="shared" si="356"/>
        <v>0</v>
      </c>
    </row>
    <row r="428" spans="1:36" x14ac:dyDescent="0.3">
      <c r="A428" s="19">
        <v>28</v>
      </c>
      <c r="B428" s="20" t="s">
        <v>858</v>
      </c>
      <c r="C428" s="76"/>
      <c r="D428" s="58"/>
      <c r="E428" s="58">
        <v>0</v>
      </c>
      <c r="F428" s="58">
        <v>0</v>
      </c>
      <c r="G428" s="58"/>
      <c r="H428" s="24">
        <f t="shared" ref="H428:I428" si="375">SUM(H429:H462)</f>
        <v>134082.74000000002</v>
      </c>
      <c r="I428" s="24">
        <f t="shared" si="375"/>
        <v>18766.79</v>
      </c>
      <c r="J428" s="24">
        <f>SUM(J429:J462)</f>
        <v>152849.53000000003</v>
      </c>
      <c r="M428" s="54"/>
      <c r="N428" s="56"/>
      <c r="V428" s="75"/>
      <c r="W428" s="75"/>
      <c r="X428" s="23"/>
      <c r="Y428" s="23"/>
      <c r="Z428" s="23"/>
      <c r="AB428" s="75"/>
      <c r="AC428" s="75"/>
      <c r="AD428" s="23"/>
      <c r="AE428" s="23"/>
      <c r="AF428" s="23"/>
      <c r="AH428" s="89">
        <f t="shared" si="354"/>
        <v>0</v>
      </c>
      <c r="AI428" s="89">
        <f t="shared" si="355"/>
        <v>0</v>
      </c>
      <c r="AJ428" s="89">
        <f t="shared" si="356"/>
        <v>0</v>
      </c>
    </row>
    <row r="429" spans="1:36" x14ac:dyDescent="0.3">
      <c r="A429" s="21" t="s">
        <v>859</v>
      </c>
      <c r="B429" s="18" t="s">
        <v>860</v>
      </c>
      <c r="C429" s="12">
        <f t="shared" ref="C429:C462" si="376">V429</f>
        <v>1</v>
      </c>
      <c r="D429" s="41" t="str">
        <f t="shared" ref="D429:D462" si="377">W429</f>
        <v xml:space="preserve">UN </v>
      </c>
      <c r="E429" s="41">
        <v>453.95</v>
      </c>
      <c r="F429" s="41">
        <v>25.25</v>
      </c>
      <c r="G429" s="41">
        <f t="shared" si="335"/>
        <v>479.2</v>
      </c>
      <c r="H429" s="13">
        <f t="shared" ref="H429:H462" si="378">C429*E429</f>
        <v>453.95</v>
      </c>
      <c r="I429" s="13">
        <f t="shared" ref="I429:I462" si="379">C429*F429</f>
        <v>25.25</v>
      </c>
      <c r="J429" s="14">
        <f t="shared" ref="J429:J509" si="380">SUM(E429:F429)*C429</f>
        <v>479.2</v>
      </c>
      <c r="M429" s="54"/>
      <c r="N429" s="56"/>
      <c r="V429" s="74">
        <v>1</v>
      </c>
      <c r="W429" s="74" t="s">
        <v>462</v>
      </c>
      <c r="X429" s="13">
        <v>497.53</v>
      </c>
      <c r="Y429" s="13">
        <v>26.39</v>
      </c>
      <c r="Z429" s="13">
        <f t="shared" ref="Z429:Z462" si="381">SUM(X429:Y429)</f>
        <v>523.91999999999996</v>
      </c>
      <c r="AB429" s="74">
        <v>1</v>
      </c>
      <c r="AC429" s="74" t="s">
        <v>462</v>
      </c>
      <c r="AD429" s="13">
        <v>640.91999999999996</v>
      </c>
      <c r="AE429" s="13">
        <v>34</v>
      </c>
      <c r="AF429" s="13">
        <f t="shared" ref="AF429:AF462" si="382">SUM(AD429:AE429)</f>
        <v>674.92</v>
      </c>
      <c r="AH429" s="89">
        <f t="shared" si="354"/>
        <v>-0.29172127566622974</v>
      </c>
      <c r="AI429" s="89">
        <f t="shared" si="355"/>
        <v>-0.25735294117647056</v>
      </c>
      <c r="AJ429" s="89">
        <f t="shared" si="356"/>
        <v>-0.28998992473182006</v>
      </c>
    </row>
    <row r="430" spans="1:36" x14ac:dyDescent="0.3">
      <c r="A430" s="21" t="s">
        <v>861</v>
      </c>
      <c r="B430" s="11" t="s">
        <v>862</v>
      </c>
      <c r="C430" s="12">
        <f t="shared" si="376"/>
        <v>1</v>
      </c>
      <c r="D430" s="41" t="str">
        <f t="shared" si="377"/>
        <v xml:space="preserve">UN </v>
      </c>
      <c r="E430" s="41">
        <v>170.76</v>
      </c>
      <c r="F430" s="41">
        <v>24.33</v>
      </c>
      <c r="G430" s="41">
        <f t="shared" si="335"/>
        <v>195.08999999999997</v>
      </c>
      <c r="H430" s="13">
        <f t="shared" si="378"/>
        <v>170.76</v>
      </c>
      <c r="I430" s="13">
        <f t="shared" si="379"/>
        <v>24.33</v>
      </c>
      <c r="J430" s="14">
        <f t="shared" si="380"/>
        <v>195.08999999999997</v>
      </c>
      <c r="M430" s="54"/>
      <c r="N430" s="56"/>
      <c r="V430" s="74">
        <v>1</v>
      </c>
      <c r="W430" s="74" t="s">
        <v>462</v>
      </c>
      <c r="X430" s="13">
        <v>202.56</v>
      </c>
      <c r="Y430" s="13">
        <v>25.49</v>
      </c>
      <c r="Z430" s="13">
        <f t="shared" si="381"/>
        <v>228.05</v>
      </c>
      <c r="AB430" s="74">
        <v>1</v>
      </c>
      <c r="AC430" s="74" t="s">
        <v>462</v>
      </c>
      <c r="AD430" s="13">
        <v>260.94</v>
      </c>
      <c r="AE430" s="13">
        <v>32.840000000000003</v>
      </c>
      <c r="AF430" s="13">
        <f t="shared" si="382"/>
        <v>293.77999999999997</v>
      </c>
      <c r="AH430" s="89">
        <f t="shared" si="354"/>
        <v>-0.34559668889399864</v>
      </c>
      <c r="AI430" s="89">
        <f t="shared" si="355"/>
        <v>-0.25913520097442155</v>
      </c>
      <c r="AJ430" s="89">
        <f t="shared" si="356"/>
        <v>-0.33593164953366472</v>
      </c>
    </row>
    <row r="431" spans="1:36" x14ac:dyDescent="0.3">
      <c r="A431" s="21" t="s">
        <v>863</v>
      </c>
      <c r="B431" s="11" t="s">
        <v>864</v>
      </c>
      <c r="C431" s="12">
        <f t="shared" si="376"/>
        <v>12</v>
      </c>
      <c r="D431" s="41" t="str">
        <f t="shared" si="377"/>
        <v xml:space="preserve">UN </v>
      </c>
      <c r="E431" s="41">
        <v>196.53</v>
      </c>
      <c r="F431" s="41">
        <v>40.4</v>
      </c>
      <c r="G431" s="41">
        <f t="shared" si="335"/>
        <v>236.93</v>
      </c>
      <c r="H431" s="13">
        <f t="shared" si="378"/>
        <v>2358.36</v>
      </c>
      <c r="I431" s="13">
        <f t="shared" si="379"/>
        <v>484.79999999999995</v>
      </c>
      <c r="J431" s="14">
        <f t="shared" si="380"/>
        <v>2843.16</v>
      </c>
      <c r="M431" s="54"/>
      <c r="N431" s="56"/>
      <c r="V431" s="74">
        <v>12</v>
      </c>
      <c r="W431" s="74" t="s">
        <v>462</v>
      </c>
      <c r="X431" s="13">
        <v>235.71</v>
      </c>
      <c r="Y431" s="13">
        <v>42.48</v>
      </c>
      <c r="Z431" s="13">
        <f t="shared" si="381"/>
        <v>278.19</v>
      </c>
      <c r="AB431" s="74">
        <v>12</v>
      </c>
      <c r="AC431" s="74" t="s">
        <v>462</v>
      </c>
      <c r="AD431" s="13">
        <v>303.64</v>
      </c>
      <c r="AE431" s="13">
        <v>54.72</v>
      </c>
      <c r="AF431" s="13">
        <f t="shared" si="382"/>
        <v>358.36</v>
      </c>
      <c r="AH431" s="89">
        <f t="shared" si="354"/>
        <v>-0.35275326043999466</v>
      </c>
      <c r="AI431" s="89">
        <f t="shared" si="355"/>
        <v>-0.26169590643274854</v>
      </c>
      <c r="AJ431" s="89">
        <f t="shared" si="356"/>
        <v>-0.33884920191985712</v>
      </c>
    </row>
    <row r="432" spans="1:36" x14ac:dyDescent="0.3">
      <c r="A432" s="21" t="s">
        <v>865</v>
      </c>
      <c r="B432" s="11" t="s">
        <v>866</v>
      </c>
      <c r="C432" s="12">
        <f t="shared" si="376"/>
        <v>1</v>
      </c>
      <c r="D432" s="41" t="str">
        <f t="shared" si="377"/>
        <v xml:space="preserve">UN </v>
      </c>
      <c r="E432" s="41">
        <v>408.85</v>
      </c>
      <c r="F432" s="41">
        <v>40.4</v>
      </c>
      <c r="G432" s="41">
        <f t="shared" si="335"/>
        <v>449.25</v>
      </c>
      <c r="H432" s="13">
        <f t="shared" si="378"/>
        <v>408.85</v>
      </c>
      <c r="I432" s="13">
        <f t="shared" si="379"/>
        <v>40.4</v>
      </c>
      <c r="J432" s="14">
        <f t="shared" si="380"/>
        <v>449.25</v>
      </c>
      <c r="M432" s="54"/>
      <c r="N432" s="55"/>
      <c r="V432" s="74">
        <v>1</v>
      </c>
      <c r="W432" s="74" t="s">
        <v>462</v>
      </c>
      <c r="X432" s="13">
        <v>489.51</v>
      </c>
      <c r="Y432" s="13">
        <v>42.48</v>
      </c>
      <c r="Z432" s="13">
        <f t="shared" si="381"/>
        <v>531.99</v>
      </c>
      <c r="AB432" s="74">
        <v>1</v>
      </c>
      <c r="AC432" s="74" t="s">
        <v>462</v>
      </c>
      <c r="AD432" s="13">
        <v>630.59</v>
      </c>
      <c r="AE432" s="13">
        <v>54.72</v>
      </c>
      <c r="AF432" s="13">
        <f t="shared" si="382"/>
        <v>685.31000000000006</v>
      </c>
      <c r="AH432" s="89">
        <f t="shared" si="354"/>
        <v>-0.35163894130893292</v>
      </c>
      <c r="AI432" s="89">
        <f t="shared" si="355"/>
        <v>-0.26169590643274854</v>
      </c>
      <c r="AJ432" s="89">
        <f t="shared" si="356"/>
        <v>-0.34445725292203533</v>
      </c>
    </row>
    <row r="433" spans="1:36" x14ac:dyDescent="0.3">
      <c r="A433" s="21" t="s">
        <v>867</v>
      </c>
      <c r="B433" s="11" t="s">
        <v>868</v>
      </c>
      <c r="C433" s="12">
        <f t="shared" si="376"/>
        <v>1</v>
      </c>
      <c r="D433" s="41" t="str">
        <f t="shared" si="377"/>
        <v xml:space="preserve">UN </v>
      </c>
      <c r="E433" s="41">
        <v>3.71</v>
      </c>
      <c r="F433" s="41">
        <v>40.4</v>
      </c>
      <c r="G433" s="41">
        <f t="shared" si="335"/>
        <v>44.11</v>
      </c>
      <c r="H433" s="13">
        <f t="shared" si="378"/>
        <v>3.71</v>
      </c>
      <c r="I433" s="13">
        <f t="shared" si="379"/>
        <v>40.4</v>
      </c>
      <c r="J433" s="14">
        <f t="shared" si="380"/>
        <v>44.11</v>
      </c>
      <c r="M433" s="54"/>
      <c r="N433" s="55"/>
      <c r="V433" s="74">
        <v>1</v>
      </c>
      <c r="W433" s="74" t="s">
        <v>462</v>
      </c>
      <c r="X433" s="13">
        <v>5.22</v>
      </c>
      <c r="Y433" s="13">
        <v>42.48</v>
      </c>
      <c r="Z433" s="13">
        <f t="shared" si="381"/>
        <v>47.699999999999996</v>
      </c>
      <c r="AB433" s="74">
        <v>1</v>
      </c>
      <c r="AC433" s="74" t="s">
        <v>462</v>
      </c>
      <c r="AD433" s="13">
        <v>6.72</v>
      </c>
      <c r="AE433" s="13">
        <v>54.72</v>
      </c>
      <c r="AF433" s="13">
        <f t="shared" si="382"/>
        <v>61.44</v>
      </c>
      <c r="AH433" s="89">
        <f t="shared" si="354"/>
        <v>-0.44791666666666663</v>
      </c>
      <c r="AI433" s="89">
        <f t="shared" si="355"/>
        <v>-0.26169590643274854</v>
      </c>
      <c r="AJ433" s="89">
        <f t="shared" si="356"/>
        <v>-0.28206380208333337</v>
      </c>
    </row>
    <row r="434" spans="1:36" ht="28.8" x14ac:dyDescent="0.3">
      <c r="A434" s="21" t="s">
        <v>869</v>
      </c>
      <c r="B434" s="11" t="s">
        <v>870</v>
      </c>
      <c r="C434" s="12">
        <f t="shared" si="376"/>
        <v>1</v>
      </c>
      <c r="D434" s="41" t="str">
        <f t="shared" si="377"/>
        <v xml:space="preserve">UN </v>
      </c>
      <c r="E434" s="41">
        <v>884.53</v>
      </c>
      <c r="F434" s="41">
        <v>106.93</v>
      </c>
      <c r="G434" s="41">
        <f t="shared" si="335"/>
        <v>991.46</v>
      </c>
      <c r="H434" s="13">
        <f t="shared" si="378"/>
        <v>884.53</v>
      </c>
      <c r="I434" s="13">
        <f t="shared" si="379"/>
        <v>106.93</v>
      </c>
      <c r="J434" s="14">
        <f t="shared" si="380"/>
        <v>991.46</v>
      </c>
      <c r="M434" s="54"/>
      <c r="N434" s="55"/>
      <c r="V434" s="74">
        <v>1</v>
      </c>
      <c r="W434" s="74" t="s">
        <v>462</v>
      </c>
      <c r="X434" s="13">
        <v>1101.4100000000001</v>
      </c>
      <c r="Y434" s="13">
        <v>111.72</v>
      </c>
      <c r="Z434" s="13">
        <f t="shared" si="381"/>
        <v>1213.1300000000001</v>
      </c>
      <c r="AB434" s="74">
        <v>1</v>
      </c>
      <c r="AC434" s="74" t="s">
        <v>462</v>
      </c>
      <c r="AD434" s="13">
        <v>1418.84</v>
      </c>
      <c r="AE434" s="13">
        <v>143.91999999999999</v>
      </c>
      <c r="AF434" s="13">
        <f t="shared" si="382"/>
        <v>1562.76</v>
      </c>
      <c r="AH434" s="89">
        <f t="shared" si="354"/>
        <v>-0.37658227848101267</v>
      </c>
      <c r="AI434" s="89">
        <f t="shared" si="355"/>
        <v>-0.25701778765981087</v>
      </c>
      <c r="AJ434" s="89">
        <f t="shared" si="356"/>
        <v>-0.36557116895748543</v>
      </c>
    </row>
    <row r="435" spans="1:36" x14ac:dyDescent="0.3">
      <c r="A435" s="21" t="s">
        <v>871</v>
      </c>
      <c r="B435" s="11" t="s">
        <v>872</v>
      </c>
      <c r="C435" s="12">
        <f t="shared" si="376"/>
        <v>1</v>
      </c>
      <c r="D435" s="41" t="str">
        <f t="shared" si="377"/>
        <v xml:space="preserve">UN </v>
      </c>
      <c r="E435" s="41">
        <v>8.83</v>
      </c>
      <c r="F435" s="41">
        <v>14.64</v>
      </c>
      <c r="G435" s="41">
        <f t="shared" si="335"/>
        <v>23.47</v>
      </c>
      <c r="H435" s="13">
        <f t="shared" si="378"/>
        <v>8.83</v>
      </c>
      <c r="I435" s="13">
        <f t="shared" si="379"/>
        <v>14.64</v>
      </c>
      <c r="J435" s="14">
        <f t="shared" si="380"/>
        <v>23.47</v>
      </c>
      <c r="M435" s="54"/>
      <c r="N435" s="55"/>
      <c r="V435" s="74">
        <v>1</v>
      </c>
      <c r="W435" s="74" t="s">
        <v>462</v>
      </c>
      <c r="X435" s="13">
        <v>11.68</v>
      </c>
      <c r="Y435" s="13">
        <v>15.31</v>
      </c>
      <c r="Z435" s="13">
        <f t="shared" si="381"/>
        <v>26.990000000000002</v>
      </c>
      <c r="AB435" s="74">
        <v>1</v>
      </c>
      <c r="AC435" s="74" t="s">
        <v>462</v>
      </c>
      <c r="AD435" s="13">
        <v>15.05</v>
      </c>
      <c r="AE435" s="13">
        <v>19.72</v>
      </c>
      <c r="AF435" s="13">
        <f t="shared" si="382"/>
        <v>34.769999999999996</v>
      </c>
      <c r="AH435" s="89">
        <f t="shared" si="354"/>
        <v>-0.4132890365448505</v>
      </c>
      <c r="AI435" s="89">
        <f t="shared" si="355"/>
        <v>-0.25760649087221088</v>
      </c>
      <c r="AJ435" s="89">
        <f t="shared" si="356"/>
        <v>-0.32499280989358637</v>
      </c>
    </row>
    <row r="436" spans="1:36" x14ac:dyDescent="0.3">
      <c r="A436" s="21" t="s">
        <v>873</v>
      </c>
      <c r="B436" s="11" t="s">
        <v>874</v>
      </c>
      <c r="C436" s="12">
        <f t="shared" si="376"/>
        <v>1</v>
      </c>
      <c r="D436" s="41" t="str">
        <f t="shared" si="377"/>
        <v xml:space="preserve">UN </v>
      </c>
      <c r="E436" s="41">
        <v>105.86</v>
      </c>
      <c r="F436" s="41">
        <v>25.24</v>
      </c>
      <c r="G436" s="41">
        <f t="shared" si="335"/>
        <v>131.1</v>
      </c>
      <c r="H436" s="13">
        <f t="shared" si="378"/>
        <v>105.86</v>
      </c>
      <c r="I436" s="13">
        <f t="shared" si="379"/>
        <v>25.24</v>
      </c>
      <c r="J436" s="14">
        <f t="shared" si="380"/>
        <v>131.1</v>
      </c>
      <c r="M436" s="54"/>
      <c r="N436" s="55"/>
      <c r="V436" s="74">
        <v>1</v>
      </c>
      <c r="W436" s="74" t="s">
        <v>462</v>
      </c>
      <c r="X436" s="13">
        <v>114.55</v>
      </c>
      <c r="Y436" s="13">
        <v>26.4</v>
      </c>
      <c r="Z436" s="13">
        <f t="shared" si="381"/>
        <v>140.94999999999999</v>
      </c>
      <c r="AB436" s="74">
        <v>1</v>
      </c>
      <c r="AC436" s="74" t="s">
        <v>462</v>
      </c>
      <c r="AD436" s="13">
        <v>147.56</v>
      </c>
      <c r="AE436" s="13">
        <v>34.01</v>
      </c>
      <c r="AF436" s="13">
        <f t="shared" si="382"/>
        <v>181.57</v>
      </c>
      <c r="AH436" s="89">
        <f t="shared" si="354"/>
        <v>-0.28259690973163465</v>
      </c>
      <c r="AI436" s="89">
        <f t="shared" si="355"/>
        <v>-0.2578653337253749</v>
      </c>
      <c r="AJ436" s="89">
        <f t="shared" si="356"/>
        <v>-0.27796442143525912</v>
      </c>
    </row>
    <row r="437" spans="1:36" x14ac:dyDescent="0.3">
      <c r="A437" s="21" t="s">
        <v>875</v>
      </c>
      <c r="B437" s="11" t="s">
        <v>876</v>
      </c>
      <c r="C437" s="12">
        <f t="shared" si="376"/>
        <v>135</v>
      </c>
      <c r="D437" s="41" t="str">
        <f t="shared" si="377"/>
        <v xml:space="preserve">UN </v>
      </c>
      <c r="E437" s="41">
        <v>176.05</v>
      </c>
      <c r="F437" s="41">
        <v>20.56</v>
      </c>
      <c r="G437" s="41">
        <f t="shared" si="335"/>
        <v>196.61</v>
      </c>
      <c r="H437" s="13">
        <f t="shared" si="378"/>
        <v>23766.75</v>
      </c>
      <c r="I437" s="13">
        <f t="shared" si="379"/>
        <v>2775.6</v>
      </c>
      <c r="J437" s="14">
        <f t="shared" si="380"/>
        <v>26542.350000000002</v>
      </c>
      <c r="M437" s="54"/>
      <c r="N437" s="55"/>
      <c r="V437" s="74">
        <v>135</v>
      </c>
      <c r="W437" s="74" t="s">
        <v>462</v>
      </c>
      <c r="X437" s="13">
        <v>170.86</v>
      </c>
      <c r="Y437" s="13">
        <v>21.49</v>
      </c>
      <c r="Z437" s="13">
        <f t="shared" si="381"/>
        <v>192.35000000000002</v>
      </c>
      <c r="AB437" s="74">
        <v>135</v>
      </c>
      <c r="AC437" s="74" t="s">
        <v>462</v>
      </c>
      <c r="AD437" s="13">
        <v>220.1</v>
      </c>
      <c r="AE437" s="13">
        <v>27.68</v>
      </c>
      <c r="AF437" s="13">
        <f t="shared" si="382"/>
        <v>247.78</v>
      </c>
      <c r="AH437" s="89">
        <f t="shared" si="354"/>
        <v>-0.20013630168105401</v>
      </c>
      <c r="AI437" s="89">
        <f t="shared" si="355"/>
        <v>-0.25722543352601157</v>
      </c>
      <c r="AJ437" s="89">
        <f t="shared" si="356"/>
        <v>-0.20651384292517549</v>
      </c>
    </row>
    <row r="438" spans="1:36" x14ac:dyDescent="0.3">
      <c r="A438" s="21" t="s">
        <v>877</v>
      </c>
      <c r="B438" s="11" t="s">
        <v>878</v>
      </c>
      <c r="C438" s="12">
        <f t="shared" si="376"/>
        <v>1</v>
      </c>
      <c r="D438" s="41" t="str">
        <f t="shared" si="377"/>
        <v xml:space="preserve">UN </v>
      </c>
      <c r="E438" s="41">
        <v>48.56</v>
      </c>
      <c r="F438" s="41">
        <v>20.56</v>
      </c>
      <c r="G438" s="41">
        <f t="shared" si="335"/>
        <v>69.12</v>
      </c>
      <c r="H438" s="13">
        <f t="shared" si="378"/>
        <v>48.56</v>
      </c>
      <c r="I438" s="13">
        <f t="shared" si="379"/>
        <v>20.56</v>
      </c>
      <c r="J438" s="14">
        <f t="shared" si="380"/>
        <v>69.12</v>
      </c>
      <c r="M438" s="54"/>
      <c r="N438" s="56"/>
      <c r="V438" s="74">
        <v>1</v>
      </c>
      <c r="W438" s="74" t="s">
        <v>462</v>
      </c>
      <c r="X438" s="13">
        <v>54.47</v>
      </c>
      <c r="Y438" s="13">
        <v>21.49</v>
      </c>
      <c r="Z438" s="13">
        <f t="shared" si="381"/>
        <v>75.959999999999994</v>
      </c>
      <c r="AB438" s="74">
        <v>1</v>
      </c>
      <c r="AC438" s="74" t="s">
        <v>462</v>
      </c>
      <c r="AD438" s="13">
        <v>70.17</v>
      </c>
      <c r="AE438" s="13">
        <v>27.68</v>
      </c>
      <c r="AF438" s="13">
        <f t="shared" si="382"/>
        <v>97.85</v>
      </c>
      <c r="AH438" s="89">
        <f t="shared" si="354"/>
        <v>-0.30796636739347294</v>
      </c>
      <c r="AI438" s="89">
        <f t="shared" si="355"/>
        <v>-0.25722543352601157</v>
      </c>
      <c r="AJ438" s="89">
        <f t="shared" si="356"/>
        <v>-0.2936126724578435</v>
      </c>
    </row>
    <row r="439" spans="1:36" x14ac:dyDescent="0.3">
      <c r="A439" s="21" t="s">
        <v>879</v>
      </c>
      <c r="B439" s="11" t="s">
        <v>880</v>
      </c>
      <c r="C439" s="12">
        <f t="shared" si="376"/>
        <v>150</v>
      </c>
      <c r="D439" s="41" t="str">
        <f t="shared" si="377"/>
        <v xml:space="preserve">UN </v>
      </c>
      <c r="E439" s="41">
        <v>137.65</v>
      </c>
      <c r="F439" s="41">
        <v>20.56</v>
      </c>
      <c r="G439" s="41">
        <f t="shared" si="335"/>
        <v>158.21</v>
      </c>
      <c r="H439" s="13">
        <f t="shared" si="378"/>
        <v>20647.5</v>
      </c>
      <c r="I439" s="13">
        <f t="shared" si="379"/>
        <v>3084</v>
      </c>
      <c r="J439" s="14">
        <f t="shared" si="380"/>
        <v>23731.5</v>
      </c>
      <c r="M439" s="54"/>
      <c r="N439" s="56"/>
      <c r="V439" s="74">
        <v>150</v>
      </c>
      <c r="W439" s="74" t="s">
        <v>462</v>
      </c>
      <c r="X439" s="13">
        <v>165.37</v>
      </c>
      <c r="Y439" s="13">
        <v>21.49</v>
      </c>
      <c r="Z439" s="13">
        <f t="shared" si="381"/>
        <v>186.86</v>
      </c>
      <c r="AB439" s="74">
        <v>150</v>
      </c>
      <c r="AC439" s="74" t="s">
        <v>462</v>
      </c>
      <c r="AD439" s="13">
        <v>213.03</v>
      </c>
      <c r="AE439" s="13">
        <v>27.68</v>
      </c>
      <c r="AF439" s="13">
        <f t="shared" si="382"/>
        <v>240.71</v>
      </c>
      <c r="AH439" s="89">
        <f t="shared" si="354"/>
        <v>-0.35384687602685061</v>
      </c>
      <c r="AI439" s="89">
        <f t="shared" si="355"/>
        <v>-0.25722543352601157</v>
      </c>
      <c r="AJ439" s="89">
        <f t="shared" si="356"/>
        <v>-0.34273607245232851</v>
      </c>
    </row>
    <row r="440" spans="1:36" x14ac:dyDescent="0.3">
      <c r="A440" s="21" t="s">
        <v>881</v>
      </c>
      <c r="B440" s="11" t="s">
        <v>882</v>
      </c>
      <c r="C440" s="12">
        <f t="shared" si="376"/>
        <v>1</v>
      </c>
      <c r="D440" s="41" t="str">
        <f t="shared" si="377"/>
        <v xml:space="preserve">UN </v>
      </c>
      <c r="E440" s="41">
        <v>51.29</v>
      </c>
      <c r="F440" s="41">
        <v>20.56</v>
      </c>
      <c r="G440" s="41">
        <f t="shared" si="335"/>
        <v>71.849999999999994</v>
      </c>
      <c r="H440" s="13">
        <f t="shared" si="378"/>
        <v>51.29</v>
      </c>
      <c r="I440" s="13">
        <f t="shared" si="379"/>
        <v>20.56</v>
      </c>
      <c r="J440" s="14">
        <f t="shared" si="380"/>
        <v>71.849999999999994</v>
      </c>
      <c r="M440" s="54"/>
      <c r="N440" s="56"/>
      <c r="V440" s="74">
        <v>1</v>
      </c>
      <c r="W440" s="74" t="s">
        <v>462</v>
      </c>
      <c r="X440" s="13">
        <v>56.7</v>
      </c>
      <c r="Y440" s="13">
        <v>21.49</v>
      </c>
      <c r="Z440" s="13">
        <f t="shared" si="381"/>
        <v>78.19</v>
      </c>
      <c r="AB440" s="74">
        <v>1</v>
      </c>
      <c r="AC440" s="74" t="s">
        <v>462</v>
      </c>
      <c r="AD440" s="13">
        <v>73.040000000000006</v>
      </c>
      <c r="AE440" s="13">
        <v>27.68</v>
      </c>
      <c r="AF440" s="13">
        <f t="shared" si="382"/>
        <v>100.72</v>
      </c>
      <c r="AH440" s="89">
        <f t="shared" si="354"/>
        <v>-0.29778203723986862</v>
      </c>
      <c r="AI440" s="89">
        <f t="shared" si="355"/>
        <v>-0.25722543352601157</v>
      </c>
      <c r="AJ440" s="89">
        <f t="shared" si="356"/>
        <v>-0.28663621922160454</v>
      </c>
    </row>
    <row r="441" spans="1:36" x14ac:dyDescent="0.3">
      <c r="A441" s="21" t="s">
        <v>883</v>
      </c>
      <c r="B441" s="11" t="s">
        <v>884</v>
      </c>
      <c r="C441" s="12">
        <f t="shared" si="376"/>
        <v>9</v>
      </c>
      <c r="D441" s="41" t="str">
        <f t="shared" si="377"/>
        <v xml:space="preserve">UN </v>
      </c>
      <c r="E441" s="41">
        <v>51.14</v>
      </c>
      <c r="F441" s="41">
        <v>10.5</v>
      </c>
      <c r="G441" s="41">
        <f t="shared" si="335"/>
        <v>61.64</v>
      </c>
      <c r="H441" s="13">
        <f t="shared" si="378"/>
        <v>460.26</v>
      </c>
      <c r="I441" s="13">
        <f t="shared" si="379"/>
        <v>94.5</v>
      </c>
      <c r="J441" s="14">
        <f t="shared" si="380"/>
        <v>554.76</v>
      </c>
      <c r="M441" s="54"/>
      <c r="N441" s="56"/>
      <c r="V441" s="74">
        <v>9</v>
      </c>
      <c r="W441" s="74" t="s">
        <v>462</v>
      </c>
      <c r="X441" s="13">
        <v>62.5</v>
      </c>
      <c r="Y441" s="13">
        <v>10.96</v>
      </c>
      <c r="Z441" s="13">
        <f t="shared" si="381"/>
        <v>73.460000000000008</v>
      </c>
      <c r="AB441" s="74">
        <v>9</v>
      </c>
      <c r="AC441" s="74" t="s">
        <v>462</v>
      </c>
      <c r="AD441" s="13">
        <v>80.510000000000005</v>
      </c>
      <c r="AE441" s="13">
        <v>14.12</v>
      </c>
      <c r="AF441" s="13">
        <f t="shared" si="382"/>
        <v>94.63000000000001</v>
      </c>
      <c r="AH441" s="89">
        <f t="shared" si="354"/>
        <v>-0.36479940380077014</v>
      </c>
      <c r="AI441" s="89">
        <f t="shared" si="355"/>
        <v>-0.25637393767705374</v>
      </c>
      <c r="AJ441" s="89">
        <f t="shared" si="356"/>
        <v>-0.34862094473211458</v>
      </c>
    </row>
    <row r="442" spans="1:36" x14ac:dyDescent="0.3">
      <c r="A442" s="21" t="s">
        <v>885</v>
      </c>
      <c r="B442" s="11" t="s">
        <v>886</v>
      </c>
      <c r="C442" s="12">
        <f t="shared" si="376"/>
        <v>1</v>
      </c>
      <c r="D442" s="41" t="str">
        <f t="shared" si="377"/>
        <v xml:space="preserve">UN </v>
      </c>
      <c r="E442" s="41">
        <v>596.24</v>
      </c>
      <c r="F442" s="41">
        <v>27.53</v>
      </c>
      <c r="G442" s="41">
        <f t="shared" si="335"/>
        <v>623.77</v>
      </c>
      <c r="H442" s="13">
        <f t="shared" si="378"/>
        <v>596.24</v>
      </c>
      <c r="I442" s="13">
        <f t="shared" si="379"/>
        <v>27.53</v>
      </c>
      <c r="J442" s="14">
        <f t="shared" si="380"/>
        <v>623.77</v>
      </c>
      <c r="M442" s="54"/>
      <c r="N442" s="56"/>
      <c r="V442" s="74">
        <v>1</v>
      </c>
      <c r="W442" s="74" t="s">
        <v>462</v>
      </c>
      <c r="X442" s="13">
        <v>677.5</v>
      </c>
      <c r="Y442" s="13">
        <v>28.75</v>
      </c>
      <c r="Z442" s="13">
        <f t="shared" si="381"/>
        <v>706.25</v>
      </c>
      <c r="AB442" s="74">
        <v>1</v>
      </c>
      <c r="AC442" s="74" t="s">
        <v>462</v>
      </c>
      <c r="AD442" s="13">
        <v>872.76</v>
      </c>
      <c r="AE442" s="13">
        <v>37.04</v>
      </c>
      <c r="AF442" s="13">
        <f t="shared" si="382"/>
        <v>909.8</v>
      </c>
      <c r="AH442" s="89">
        <f t="shared" si="354"/>
        <v>-0.3168339520601311</v>
      </c>
      <c r="AI442" s="89">
        <f t="shared" si="355"/>
        <v>-0.25674946004319654</v>
      </c>
      <c r="AJ442" s="89">
        <f t="shared" si="356"/>
        <v>-0.31438777753352387</v>
      </c>
    </row>
    <row r="443" spans="1:36" x14ac:dyDescent="0.3">
      <c r="A443" s="21" t="s">
        <v>887</v>
      </c>
      <c r="B443" s="11" t="s">
        <v>888</v>
      </c>
      <c r="C443" s="12">
        <f t="shared" si="376"/>
        <v>1</v>
      </c>
      <c r="D443" s="41" t="str">
        <f t="shared" si="377"/>
        <v xml:space="preserve">UN </v>
      </c>
      <c r="E443" s="41">
        <v>50.22</v>
      </c>
      <c r="F443" s="41">
        <v>3.41</v>
      </c>
      <c r="G443" s="41">
        <f t="shared" si="335"/>
        <v>53.629999999999995</v>
      </c>
      <c r="H443" s="13">
        <f t="shared" si="378"/>
        <v>50.22</v>
      </c>
      <c r="I443" s="13">
        <f t="shared" si="379"/>
        <v>3.41</v>
      </c>
      <c r="J443" s="14">
        <f t="shared" si="380"/>
        <v>53.629999999999995</v>
      </c>
      <c r="M443" s="54"/>
      <c r="N443" s="56"/>
      <c r="V443" s="74">
        <v>1</v>
      </c>
      <c r="W443" s="74" t="s">
        <v>462</v>
      </c>
      <c r="X443" s="13">
        <v>61.48</v>
      </c>
      <c r="Y443" s="13">
        <v>3.56</v>
      </c>
      <c r="Z443" s="13">
        <f t="shared" si="381"/>
        <v>65.039999999999992</v>
      </c>
      <c r="AB443" s="74">
        <v>1</v>
      </c>
      <c r="AC443" s="74" t="s">
        <v>462</v>
      </c>
      <c r="AD443" s="13">
        <v>79.2</v>
      </c>
      <c r="AE443" s="13">
        <v>4.59</v>
      </c>
      <c r="AF443" s="13">
        <f t="shared" si="382"/>
        <v>83.79</v>
      </c>
      <c r="AH443" s="89">
        <f t="shared" si="354"/>
        <v>-0.36590909090909096</v>
      </c>
      <c r="AI443" s="89">
        <f t="shared" si="355"/>
        <v>-0.25708061002178639</v>
      </c>
      <c r="AJ443" s="89">
        <f t="shared" si="356"/>
        <v>-0.35994748776703678</v>
      </c>
    </row>
    <row r="444" spans="1:36" x14ac:dyDescent="0.3">
      <c r="A444" s="21" t="s">
        <v>889</v>
      </c>
      <c r="B444" s="11" t="s">
        <v>890</v>
      </c>
      <c r="C444" s="12">
        <f t="shared" si="376"/>
        <v>1</v>
      </c>
      <c r="D444" s="41" t="str">
        <f t="shared" si="377"/>
        <v xml:space="preserve">UN </v>
      </c>
      <c r="E444" s="41">
        <v>237.37</v>
      </c>
      <c r="F444" s="41">
        <v>12.36</v>
      </c>
      <c r="G444" s="41">
        <f t="shared" si="335"/>
        <v>249.73000000000002</v>
      </c>
      <c r="H444" s="13">
        <f t="shared" si="378"/>
        <v>237.37</v>
      </c>
      <c r="I444" s="13">
        <f t="shared" si="379"/>
        <v>12.36</v>
      </c>
      <c r="J444" s="14">
        <f t="shared" si="380"/>
        <v>249.73000000000002</v>
      </c>
      <c r="M444" s="54"/>
      <c r="N444" s="56"/>
      <c r="V444" s="74">
        <v>1</v>
      </c>
      <c r="W444" s="74" t="s">
        <v>462</v>
      </c>
      <c r="X444" s="13">
        <v>271.58999999999997</v>
      </c>
      <c r="Y444" s="13">
        <v>12.89</v>
      </c>
      <c r="Z444" s="13">
        <f t="shared" si="381"/>
        <v>284.47999999999996</v>
      </c>
      <c r="AB444" s="74">
        <v>1</v>
      </c>
      <c r="AC444" s="74" t="s">
        <v>462</v>
      </c>
      <c r="AD444" s="13">
        <v>349.86</v>
      </c>
      <c r="AE444" s="13">
        <v>16.600000000000001</v>
      </c>
      <c r="AF444" s="13">
        <f t="shared" si="382"/>
        <v>366.46000000000004</v>
      </c>
      <c r="AH444" s="89">
        <f t="shared" si="354"/>
        <v>-0.32152861144457789</v>
      </c>
      <c r="AI444" s="89">
        <f t="shared" si="355"/>
        <v>-0.25542168674698806</v>
      </c>
      <c r="AJ444" s="89">
        <f t="shared" si="356"/>
        <v>-0.31853408284669538</v>
      </c>
    </row>
    <row r="445" spans="1:36" x14ac:dyDescent="0.3">
      <c r="A445" s="21" t="s">
        <v>891</v>
      </c>
      <c r="B445" s="11" t="s">
        <v>892</v>
      </c>
      <c r="C445" s="12">
        <f t="shared" si="376"/>
        <v>21</v>
      </c>
      <c r="D445" s="41" t="str">
        <f t="shared" si="377"/>
        <v xml:space="preserve">UN </v>
      </c>
      <c r="E445" s="41">
        <v>403.36</v>
      </c>
      <c r="F445" s="41">
        <v>119.26</v>
      </c>
      <c r="G445" s="41">
        <f t="shared" si="335"/>
        <v>522.62</v>
      </c>
      <c r="H445" s="13">
        <f t="shared" si="378"/>
        <v>8470.56</v>
      </c>
      <c r="I445" s="13">
        <f t="shared" si="379"/>
        <v>2504.46</v>
      </c>
      <c r="J445" s="14">
        <f t="shared" si="380"/>
        <v>10975.02</v>
      </c>
      <c r="M445" s="54"/>
      <c r="N445" s="56"/>
      <c r="V445" s="74">
        <v>21</v>
      </c>
      <c r="W445" s="74" t="s">
        <v>462</v>
      </c>
      <c r="X445" s="13">
        <v>435.84</v>
      </c>
      <c r="Y445" s="13">
        <v>124.61</v>
      </c>
      <c r="Z445" s="13">
        <f t="shared" si="381"/>
        <v>560.44999999999993</v>
      </c>
      <c r="AB445" s="74">
        <v>21</v>
      </c>
      <c r="AC445" s="74" t="s">
        <v>462</v>
      </c>
      <c r="AD445" s="13">
        <v>561.45000000000005</v>
      </c>
      <c r="AE445" s="13">
        <v>160.52000000000001</v>
      </c>
      <c r="AF445" s="13">
        <f t="shared" si="382"/>
        <v>721.97</v>
      </c>
      <c r="AH445" s="89">
        <f t="shared" si="354"/>
        <v>-0.28157449461216499</v>
      </c>
      <c r="AI445" s="89">
        <f t="shared" si="355"/>
        <v>-0.25703962123099922</v>
      </c>
      <c r="AJ445" s="89">
        <f t="shared" si="356"/>
        <v>-0.27611950635067939</v>
      </c>
    </row>
    <row r="446" spans="1:36" x14ac:dyDescent="0.3">
      <c r="A446" s="21" t="s">
        <v>893</v>
      </c>
      <c r="B446" s="11" t="s">
        <v>894</v>
      </c>
      <c r="C446" s="12">
        <f t="shared" si="376"/>
        <v>1</v>
      </c>
      <c r="D446" s="41" t="str">
        <f t="shared" si="377"/>
        <v xml:space="preserve">UN </v>
      </c>
      <c r="E446" s="41">
        <v>35.46</v>
      </c>
      <c r="F446" s="41">
        <v>22.32</v>
      </c>
      <c r="G446" s="41">
        <f t="shared" si="335"/>
        <v>57.78</v>
      </c>
      <c r="H446" s="13">
        <f t="shared" si="378"/>
        <v>35.46</v>
      </c>
      <c r="I446" s="13">
        <f t="shared" si="379"/>
        <v>22.32</v>
      </c>
      <c r="J446" s="14">
        <f t="shared" si="380"/>
        <v>57.78</v>
      </c>
      <c r="M446" s="54"/>
      <c r="N446" s="56"/>
      <c r="V446" s="74">
        <v>1</v>
      </c>
      <c r="W446" s="74" t="s">
        <v>462</v>
      </c>
      <c r="X446" s="13">
        <v>36.57</v>
      </c>
      <c r="Y446" s="13">
        <v>23.44</v>
      </c>
      <c r="Z446" s="13">
        <f t="shared" si="381"/>
        <v>60.010000000000005</v>
      </c>
      <c r="AB446" s="74">
        <v>1</v>
      </c>
      <c r="AC446" s="74" t="s">
        <v>462</v>
      </c>
      <c r="AD446" s="13">
        <v>47.11</v>
      </c>
      <c r="AE446" s="13">
        <v>30.2</v>
      </c>
      <c r="AF446" s="13">
        <f t="shared" si="382"/>
        <v>77.31</v>
      </c>
      <c r="AH446" s="89">
        <f t="shared" si="354"/>
        <v>-0.24729356824453408</v>
      </c>
      <c r="AI446" s="89">
        <f t="shared" si="355"/>
        <v>-0.26092715231788077</v>
      </c>
      <c r="AJ446" s="89">
        <f t="shared" si="356"/>
        <v>-0.25261932479627469</v>
      </c>
    </row>
    <row r="447" spans="1:36" x14ac:dyDescent="0.3">
      <c r="A447" s="21" t="s">
        <v>895</v>
      </c>
      <c r="B447" s="11" t="s">
        <v>896</v>
      </c>
      <c r="C447" s="12">
        <f t="shared" si="376"/>
        <v>102</v>
      </c>
      <c r="D447" s="41" t="str">
        <f t="shared" si="377"/>
        <v xml:space="preserve">UN </v>
      </c>
      <c r="E447" s="41">
        <v>35.46</v>
      </c>
      <c r="F447" s="41">
        <v>22.32</v>
      </c>
      <c r="G447" s="41">
        <f t="shared" si="335"/>
        <v>57.78</v>
      </c>
      <c r="H447" s="13">
        <f t="shared" si="378"/>
        <v>3616.92</v>
      </c>
      <c r="I447" s="13">
        <f t="shared" si="379"/>
        <v>2276.64</v>
      </c>
      <c r="J447" s="14">
        <f t="shared" si="380"/>
        <v>5893.56</v>
      </c>
      <c r="M447" s="54"/>
      <c r="N447" s="56"/>
      <c r="V447" s="74">
        <v>102</v>
      </c>
      <c r="W447" s="74" t="s">
        <v>462</v>
      </c>
      <c r="X447" s="13">
        <v>36.57</v>
      </c>
      <c r="Y447" s="13">
        <v>23.44</v>
      </c>
      <c r="Z447" s="13">
        <f t="shared" si="381"/>
        <v>60.010000000000005</v>
      </c>
      <c r="AB447" s="74">
        <v>102</v>
      </c>
      <c r="AC447" s="74" t="s">
        <v>462</v>
      </c>
      <c r="AD447" s="13">
        <v>47.11</v>
      </c>
      <c r="AE447" s="13">
        <v>30.2</v>
      </c>
      <c r="AF447" s="13">
        <f t="shared" si="382"/>
        <v>77.31</v>
      </c>
      <c r="AH447" s="89">
        <f t="shared" si="354"/>
        <v>-0.24729356824453408</v>
      </c>
      <c r="AI447" s="89">
        <f t="shared" si="355"/>
        <v>-0.26092715231788077</v>
      </c>
      <c r="AJ447" s="89">
        <f t="shared" si="356"/>
        <v>-0.25261932479627469</v>
      </c>
    </row>
    <row r="448" spans="1:36" x14ac:dyDescent="0.3">
      <c r="A448" s="21" t="s">
        <v>897</v>
      </c>
      <c r="B448" s="11" t="s">
        <v>898</v>
      </c>
      <c r="C448" s="12">
        <f t="shared" si="376"/>
        <v>66</v>
      </c>
      <c r="D448" s="41" t="str">
        <f t="shared" si="377"/>
        <v xml:space="preserve">UN </v>
      </c>
      <c r="E448" s="41">
        <v>11.19</v>
      </c>
      <c r="F448" s="41">
        <v>10.28</v>
      </c>
      <c r="G448" s="41">
        <f t="shared" si="335"/>
        <v>21.47</v>
      </c>
      <c r="H448" s="13">
        <f t="shared" si="378"/>
        <v>738.54</v>
      </c>
      <c r="I448" s="13">
        <f t="shared" si="379"/>
        <v>678.4799999999999</v>
      </c>
      <c r="J448" s="14">
        <f t="shared" si="380"/>
        <v>1417.02</v>
      </c>
      <c r="M448" s="54"/>
      <c r="N448" s="56"/>
      <c r="V448" s="74">
        <v>66</v>
      </c>
      <c r="W448" s="74" t="s">
        <v>462</v>
      </c>
      <c r="X448" s="13">
        <v>13.04</v>
      </c>
      <c r="Y448" s="13">
        <v>10.74</v>
      </c>
      <c r="Z448" s="13">
        <f t="shared" si="381"/>
        <v>23.78</v>
      </c>
      <c r="AB448" s="74">
        <v>66</v>
      </c>
      <c r="AC448" s="74" t="s">
        <v>462</v>
      </c>
      <c r="AD448" s="13">
        <v>16.8</v>
      </c>
      <c r="AE448" s="13">
        <v>13.84</v>
      </c>
      <c r="AF448" s="13">
        <f t="shared" si="382"/>
        <v>30.64</v>
      </c>
      <c r="AH448" s="89">
        <f t="shared" si="354"/>
        <v>-0.33392857142857146</v>
      </c>
      <c r="AI448" s="89">
        <f t="shared" si="355"/>
        <v>-0.25722543352601157</v>
      </c>
      <c r="AJ448" s="89">
        <f t="shared" si="356"/>
        <v>-0.29928198433420372</v>
      </c>
    </row>
    <row r="449" spans="1:36" x14ac:dyDescent="0.3">
      <c r="A449" s="21" t="s">
        <v>899</v>
      </c>
      <c r="B449" s="11" t="s">
        <v>900</v>
      </c>
      <c r="C449" s="12">
        <f t="shared" si="376"/>
        <v>18</v>
      </c>
      <c r="D449" s="41" t="str">
        <f t="shared" si="377"/>
        <v xml:space="preserve">UN </v>
      </c>
      <c r="E449" s="41">
        <v>199.15</v>
      </c>
      <c r="F449" s="41">
        <v>7.79</v>
      </c>
      <c r="G449" s="41">
        <f t="shared" si="335"/>
        <v>206.94</v>
      </c>
      <c r="H449" s="13">
        <f t="shared" si="378"/>
        <v>3584.7000000000003</v>
      </c>
      <c r="I449" s="13">
        <f t="shared" si="379"/>
        <v>140.22</v>
      </c>
      <c r="J449" s="14">
        <f t="shared" si="380"/>
        <v>3724.92</v>
      </c>
      <c r="M449" s="54"/>
      <c r="N449" s="56"/>
      <c r="V449" s="74">
        <v>18</v>
      </c>
      <c r="W449" s="74" t="s">
        <v>462</v>
      </c>
      <c r="X449" s="13">
        <v>244.04</v>
      </c>
      <c r="Y449" s="13">
        <v>8.1199999999999992</v>
      </c>
      <c r="Z449" s="13">
        <f t="shared" si="381"/>
        <v>252.16</v>
      </c>
      <c r="AB449" s="74">
        <v>18</v>
      </c>
      <c r="AC449" s="74" t="s">
        <v>462</v>
      </c>
      <c r="AD449" s="13">
        <v>314.37</v>
      </c>
      <c r="AE449" s="13">
        <v>10.46</v>
      </c>
      <c r="AF449" s="13">
        <f t="shared" si="382"/>
        <v>324.83</v>
      </c>
      <c r="AH449" s="89">
        <f t="shared" si="354"/>
        <v>-0.36651079937653086</v>
      </c>
      <c r="AI449" s="89">
        <f t="shared" si="355"/>
        <v>-0.25525812619502875</v>
      </c>
      <c r="AJ449" s="89">
        <f t="shared" si="356"/>
        <v>-0.3629283009574239</v>
      </c>
    </row>
    <row r="450" spans="1:36" x14ac:dyDescent="0.3">
      <c r="A450" s="21" t="s">
        <v>901</v>
      </c>
      <c r="B450" s="11" t="s">
        <v>902</v>
      </c>
      <c r="C450" s="12">
        <f t="shared" si="376"/>
        <v>57</v>
      </c>
      <c r="D450" s="41" t="str">
        <f t="shared" si="377"/>
        <v xml:space="preserve">UN </v>
      </c>
      <c r="E450" s="41">
        <v>245.28</v>
      </c>
      <c r="F450" s="41">
        <v>32.450000000000003</v>
      </c>
      <c r="G450" s="41">
        <f t="shared" ref="G450:G509" si="383">F450+E450</f>
        <v>277.73</v>
      </c>
      <c r="H450" s="13">
        <f t="shared" si="378"/>
        <v>13980.960000000001</v>
      </c>
      <c r="I450" s="13">
        <f t="shared" si="379"/>
        <v>1849.65</v>
      </c>
      <c r="J450" s="14">
        <f t="shared" si="380"/>
        <v>15830.61</v>
      </c>
      <c r="M450" s="54"/>
      <c r="N450" s="56"/>
      <c r="V450" s="74">
        <v>57</v>
      </c>
      <c r="W450" s="74" t="s">
        <v>462</v>
      </c>
      <c r="X450" s="13">
        <v>260.75</v>
      </c>
      <c r="Y450" s="13">
        <v>33.9</v>
      </c>
      <c r="Z450" s="13">
        <f t="shared" si="381"/>
        <v>294.64999999999998</v>
      </c>
      <c r="AB450" s="74">
        <v>57</v>
      </c>
      <c r="AC450" s="74" t="s">
        <v>462</v>
      </c>
      <c r="AD450" s="13">
        <v>335.9</v>
      </c>
      <c r="AE450" s="13">
        <v>43.67</v>
      </c>
      <c r="AF450" s="13">
        <f t="shared" si="382"/>
        <v>379.57</v>
      </c>
      <c r="AH450" s="89">
        <f t="shared" si="354"/>
        <v>-0.26978267341470674</v>
      </c>
      <c r="AI450" s="89">
        <f t="shared" si="355"/>
        <v>-0.25692695214105787</v>
      </c>
      <c r="AJ450" s="89">
        <f t="shared" si="356"/>
        <v>-0.26830360671285924</v>
      </c>
    </row>
    <row r="451" spans="1:36" x14ac:dyDescent="0.3">
      <c r="A451" s="21" t="s">
        <v>903</v>
      </c>
      <c r="B451" s="11" t="s">
        <v>904</v>
      </c>
      <c r="C451" s="12">
        <f t="shared" si="376"/>
        <v>1</v>
      </c>
      <c r="D451" s="41" t="str">
        <f t="shared" si="377"/>
        <v xml:space="preserve">UN </v>
      </c>
      <c r="E451" s="41">
        <v>1943.55</v>
      </c>
      <c r="F451" s="41">
        <v>25.83</v>
      </c>
      <c r="G451" s="41">
        <f t="shared" si="383"/>
        <v>1969.3799999999999</v>
      </c>
      <c r="H451" s="13">
        <f t="shared" si="378"/>
        <v>1943.55</v>
      </c>
      <c r="I451" s="13">
        <f t="shared" si="379"/>
        <v>25.83</v>
      </c>
      <c r="J451" s="14">
        <f t="shared" si="380"/>
        <v>1969.3799999999999</v>
      </c>
      <c r="M451" s="54"/>
      <c r="N451" s="56"/>
      <c r="V451" s="74">
        <v>1</v>
      </c>
      <c r="W451" s="74" t="s">
        <v>462</v>
      </c>
      <c r="X451" s="13">
        <v>2144.58</v>
      </c>
      <c r="Y451" s="13">
        <v>26.93</v>
      </c>
      <c r="Z451" s="13">
        <f t="shared" si="381"/>
        <v>2171.5099999999998</v>
      </c>
      <c r="AB451" s="74">
        <v>1</v>
      </c>
      <c r="AC451" s="74" t="s">
        <v>462</v>
      </c>
      <c r="AD451" s="13">
        <v>2762.65</v>
      </c>
      <c r="AE451" s="13">
        <v>34.69</v>
      </c>
      <c r="AF451" s="13">
        <f t="shared" si="382"/>
        <v>2797.34</v>
      </c>
      <c r="AH451" s="89">
        <f t="shared" si="354"/>
        <v>-0.29649068828841874</v>
      </c>
      <c r="AI451" s="89">
        <f t="shared" si="355"/>
        <v>-0.2554050158547132</v>
      </c>
      <c r="AJ451" s="89">
        <f t="shared" si="356"/>
        <v>-0.29598118212301694</v>
      </c>
    </row>
    <row r="452" spans="1:36" x14ac:dyDescent="0.3">
      <c r="A452" s="21" t="s">
        <v>905</v>
      </c>
      <c r="B452" s="11" t="s">
        <v>906</v>
      </c>
      <c r="C452" s="12">
        <f t="shared" si="376"/>
        <v>15</v>
      </c>
      <c r="D452" s="41" t="str">
        <f t="shared" si="377"/>
        <v xml:space="preserve">UN </v>
      </c>
      <c r="E452" s="41">
        <v>1276.94</v>
      </c>
      <c r="F452" s="41">
        <v>8.2200000000000006</v>
      </c>
      <c r="G452" s="41">
        <f t="shared" si="383"/>
        <v>1285.1600000000001</v>
      </c>
      <c r="H452" s="13">
        <f t="shared" si="378"/>
        <v>19154.100000000002</v>
      </c>
      <c r="I452" s="13">
        <f t="shared" si="379"/>
        <v>123.30000000000001</v>
      </c>
      <c r="J452" s="14">
        <f t="shared" si="380"/>
        <v>19277.400000000001</v>
      </c>
      <c r="M452" s="54"/>
      <c r="N452" s="56"/>
      <c r="V452" s="74">
        <v>15</v>
      </c>
      <c r="W452" s="74" t="s">
        <v>462</v>
      </c>
      <c r="X452" s="13">
        <v>1434.1</v>
      </c>
      <c r="Y452" s="13">
        <v>8.59</v>
      </c>
      <c r="Z452" s="13">
        <f t="shared" si="381"/>
        <v>1442.6899999999998</v>
      </c>
      <c r="AB452" s="74">
        <v>15</v>
      </c>
      <c r="AC452" s="74" t="s">
        <v>462</v>
      </c>
      <c r="AD452" s="13">
        <v>1847.41</v>
      </c>
      <c r="AE452" s="13">
        <v>11.07</v>
      </c>
      <c r="AF452" s="13">
        <f t="shared" si="382"/>
        <v>1858.48</v>
      </c>
      <c r="AH452" s="89">
        <f t="shared" si="354"/>
        <v>-0.3087944744263591</v>
      </c>
      <c r="AI452" s="89">
        <f t="shared" si="355"/>
        <v>-0.25745257452574521</v>
      </c>
      <c r="AJ452" s="89">
        <f t="shared" si="356"/>
        <v>-0.30848865739744302</v>
      </c>
    </row>
    <row r="453" spans="1:36" x14ac:dyDescent="0.3">
      <c r="A453" s="21" t="s">
        <v>907</v>
      </c>
      <c r="B453" s="18" t="s">
        <v>908</v>
      </c>
      <c r="C453" s="12">
        <f t="shared" si="376"/>
        <v>159</v>
      </c>
      <c r="D453" s="41" t="str">
        <f t="shared" si="377"/>
        <v xml:space="preserve">UN </v>
      </c>
      <c r="E453" s="41">
        <v>32.19</v>
      </c>
      <c r="F453" s="41">
        <v>8.2200000000000006</v>
      </c>
      <c r="G453" s="41">
        <f t="shared" si="383"/>
        <v>40.409999999999997</v>
      </c>
      <c r="H453" s="13">
        <f t="shared" si="378"/>
        <v>5118.21</v>
      </c>
      <c r="I453" s="13">
        <f t="shared" si="379"/>
        <v>1306.98</v>
      </c>
      <c r="J453" s="14">
        <f t="shared" si="380"/>
        <v>6425.19</v>
      </c>
      <c r="M453" s="54"/>
      <c r="N453" s="56"/>
      <c r="V453" s="74">
        <v>159</v>
      </c>
      <c r="W453" s="74" t="s">
        <v>462</v>
      </c>
      <c r="X453" s="13">
        <v>41.75</v>
      </c>
      <c r="Y453" s="13">
        <v>8.59</v>
      </c>
      <c r="Z453" s="13">
        <f t="shared" si="381"/>
        <v>50.34</v>
      </c>
      <c r="AB453" s="74">
        <v>159</v>
      </c>
      <c r="AC453" s="74" t="s">
        <v>462</v>
      </c>
      <c r="AD453" s="13">
        <v>53.78</v>
      </c>
      <c r="AE453" s="13">
        <v>11.07</v>
      </c>
      <c r="AF453" s="13">
        <f t="shared" si="382"/>
        <v>64.849999999999994</v>
      </c>
      <c r="AH453" s="89">
        <f t="shared" si="354"/>
        <v>-0.40145035329118639</v>
      </c>
      <c r="AI453" s="89">
        <f t="shared" si="355"/>
        <v>-0.25745257452574521</v>
      </c>
      <c r="AJ453" s="89">
        <f t="shared" si="356"/>
        <v>-0.37686969930609093</v>
      </c>
    </row>
    <row r="454" spans="1:36" x14ac:dyDescent="0.3">
      <c r="A454" s="21" t="s">
        <v>909</v>
      </c>
      <c r="B454" s="11" t="s">
        <v>910</v>
      </c>
      <c r="C454" s="12">
        <f t="shared" si="376"/>
        <v>15</v>
      </c>
      <c r="D454" s="41" t="str">
        <f t="shared" si="377"/>
        <v xml:space="preserve">UN </v>
      </c>
      <c r="E454" s="41">
        <v>46.66</v>
      </c>
      <c r="F454" s="41">
        <v>4.33</v>
      </c>
      <c r="G454" s="41">
        <f t="shared" si="383"/>
        <v>50.989999999999995</v>
      </c>
      <c r="H454" s="13">
        <f t="shared" si="378"/>
        <v>699.9</v>
      </c>
      <c r="I454" s="13">
        <f t="shared" si="379"/>
        <v>64.95</v>
      </c>
      <c r="J454" s="14">
        <f t="shared" si="380"/>
        <v>764.84999999999991</v>
      </c>
      <c r="M454" s="54"/>
      <c r="N454" s="56"/>
      <c r="V454" s="74">
        <v>15</v>
      </c>
      <c r="W454" s="74" t="s">
        <v>462</v>
      </c>
      <c r="X454" s="13">
        <v>56.09</v>
      </c>
      <c r="Y454" s="13">
        <v>4.51</v>
      </c>
      <c r="Z454" s="13">
        <f t="shared" si="381"/>
        <v>60.6</v>
      </c>
      <c r="AB454" s="74">
        <v>15</v>
      </c>
      <c r="AC454" s="74" t="s">
        <v>462</v>
      </c>
      <c r="AD454" s="13">
        <v>72.260000000000005</v>
      </c>
      <c r="AE454" s="13">
        <v>5.81</v>
      </c>
      <c r="AF454" s="13">
        <f t="shared" si="382"/>
        <v>78.070000000000007</v>
      </c>
      <c r="AH454" s="89">
        <f t="shared" si="354"/>
        <v>-0.35427622474398013</v>
      </c>
      <c r="AI454" s="89">
        <f t="shared" si="355"/>
        <v>-0.25473321858864018</v>
      </c>
      <c r="AJ454" s="89">
        <f t="shared" si="356"/>
        <v>-0.34686819520942758</v>
      </c>
    </row>
    <row r="455" spans="1:36" x14ac:dyDescent="0.3">
      <c r="A455" s="21" t="s">
        <v>911</v>
      </c>
      <c r="B455" s="11" t="s">
        <v>912</v>
      </c>
      <c r="C455" s="12">
        <f t="shared" si="376"/>
        <v>51</v>
      </c>
      <c r="D455" s="41" t="str">
        <f t="shared" si="377"/>
        <v xml:space="preserve">UN </v>
      </c>
      <c r="E455" s="41">
        <v>116.53</v>
      </c>
      <c r="F455" s="41">
        <v>3.46</v>
      </c>
      <c r="G455" s="41">
        <f t="shared" si="383"/>
        <v>119.99</v>
      </c>
      <c r="H455" s="13">
        <f t="shared" si="378"/>
        <v>5943.03</v>
      </c>
      <c r="I455" s="13">
        <f t="shared" si="379"/>
        <v>176.46</v>
      </c>
      <c r="J455" s="14">
        <f t="shared" si="380"/>
        <v>6119.49</v>
      </c>
      <c r="M455" s="54"/>
      <c r="N455" s="56"/>
      <c r="V455" s="74">
        <v>51</v>
      </c>
      <c r="W455" s="74" t="s">
        <v>462</v>
      </c>
      <c r="X455" s="13">
        <v>140.07</v>
      </c>
      <c r="Y455" s="13">
        <v>3.61</v>
      </c>
      <c r="Z455" s="13">
        <f t="shared" si="381"/>
        <v>143.68</v>
      </c>
      <c r="AB455" s="74">
        <v>51</v>
      </c>
      <c r="AC455" s="74" t="s">
        <v>462</v>
      </c>
      <c r="AD455" s="13">
        <v>180.44</v>
      </c>
      <c r="AE455" s="13">
        <v>4.6500000000000004</v>
      </c>
      <c r="AF455" s="13">
        <f t="shared" si="382"/>
        <v>185.09</v>
      </c>
      <c r="AH455" s="89">
        <f t="shared" si="354"/>
        <v>-0.35418975836843269</v>
      </c>
      <c r="AI455" s="89">
        <f t="shared" si="355"/>
        <v>-0.25591397849462372</v>
      </c>
      <c r="AJ455" s="89">
        <f t="shared" si="356"/>
        <v>-0.35172078448322441</v>
      </c>
    </row>
    <row r="456" spans="1:36" x14ac:dyDescent="0.3">
      <c r="A456" s="21" t="s">
        <v>913</v>
      </c>
      <c r="B456" s="11" t="s">
        <v>914</v>
      </c>
      <c r="C456" s="12">
        <f t="shared" si="376"/>
        <v>99</v>
      </c>
      <c r="D456" s="41" t="str">
        <f t="shared" si="377"/>
        <v xml:space="preserve">UN </v>
      </c>
      <c r="E456" s="41">
        <v>162.16</v>
      </c>
      <c r="F456" s="41">
        <v>2.52</v>
      </c>
      <c r="G456" s="41">
        <f t="shared" si="383"/>
        <v>164.68</v>
      </c>
      <c r="H456" s="13">
        <f t="shared" si="378"/>
        <v>16053.84</v>
      </c>
      <c r="I456" s="13">
        <f t="shared" si="379"/>
        <v>249.48</v>
      </c>
      <c r="J456" s="14">
        <f t="shared" si="380"/>
        <v>16303.320000000002</v>
      </c>
      <c r="M456" s="54"/>
      <c r="N456" s="56"/>
      <c r="V456" s="74">
        <v>99</v>
      </c>
      <c r="W456" s="74" t="s">
        <v>462</v>
      </c>
      <c r="X456" s="13">
        <v>195.99</v>
      </c>
      <c r="Y456" s="13">
        <v>2.64</v>
      </c>
      <c r="Z456" s="13">
        <f t="shared" si="381"/>
        <v>198.63</v>
      </c>
      <c r="AB456" s="74">
        <v>99</v>
      </c>
      <c r="AC456" s="74" t="s">
        <v>462</v>
      </c>
      <c r="AD456" s="13">
        <v>252.47</v>
      </c>
      <c r="AE456" s="13">
        <v>3.4</v>
      </c>
      <c r="AF456" s="13">
        <f t="shared" si="382"/>
        <v>255.87</v>
      </c>
      <c r="AH456" s="89">
        <f t="shared" si="354"/>
        <v>-0.35770586604349031</v>
      </c>
      <c r="AI456" s="89">
        <f t="shared" si="355"/>
        <v>-0.25882352941176467</v>
      </c>
      <c r="AJ456" s="89">
        <f t="shared" si="356"/>
        <v>-0.35639191777074297</v>
      </c>
    </row>
    <row r="457" spans="1:36" x14ac:dyDescent="0.3">
      <c r="A457" s="21" t="s">
        <v>915</v>
      </c>
      <c r="B457" s="11" t="s">
        <v>916</v>
      </c>
      <c r="C457" s="12">
        <f t="shared" si="376"/>
        <v>1</v>
      </c>
      <c r="D457" s="41" t="str">
        <f t="shared" si="377"/>
        <v>m²</v>
      </c>
      <c r="E457" s="41">
        <v>429.1</v>
      </c>
      <c r="F457" s="41">
        <v>52.9</v>
      </c>
      <c r="G457" s="41">
        <f t="shared" si="383"/>
        <v>482</v>
      </c>
      <c r="H457" s="13">
        <f t="shared" si="378"/>
        <v>429.1</v>
      </c>
      <c r="I457" s="13">
        <f t="shared" si="379"/>
        <v>52.9</v>
      </c>
      <c r="J457" s="14">
        <f t="shared" si="380"/>
        <v>482</v>
      </c>
      <c r="M457" s="54"/>
      <c r="N457" s="56"/>
      <c r="V457" s="74">
        <v>1</v>
      </c>
      <c r="W457" s="74" t="s">
        <v>60</v>
      </c>
      <c r="X457" s="13">
        <v>525.94000000000005</v>
      </c>
      <c r="Y457" s="13">
        <v>55.45</v>
      </c>
      <c r="Z457" s="13">
        <f t="shared" si="381"/>
        <v>581.3900000000001</v>
      </c>
      <c r="AB457" s="74">
        <v>1</v>
      </c>
      <c r="AC457" s="74" t="s">
        <v>60</v>
      </c>
      <c r="AD457" s="13">
        <v>677.52</v>
      </c>
      <c r="AE457" s="13">
        <v>71.430000000000007</v>
      </c>
      <c r="AF457" s="13">
        <f t="shared" si="382"/>
        <v>748.95</v>
      </c>
      <c r="AH457" s="89">
        <f t="shared" si="354"/>
        <v>-0.3666607627819104</v>
      </c>
      <c r="AI457" s="89">
        <f t="shared" si="355"/>
        <v>-0.25941481170376601</v>
      </c>
      <c r="AJ457" s="89">
        <f t="shared" si="356"/>
        <v>-0.35643233860738366</v>
      </c>
    </row>
    <row r="458" spans="1:36" x14ac:dyDescent="0.3">
      <c r="A458" s="21" t="s">
        <v>917</v>
      </c>
      <c r="B458" s="11" t="s">
        <v>918</v>
      </c>
      <c r="C458" s="12">
        <f t="shared" si="376"/>
        <v>36</v>
      </c>
      <c r="D458" s="41" t="str">
        <f t="shared" si="377"/>
        <v>un</v>
      </c>
      <c r="E458" s="41">
        <v>29.13</v>
      </c>
      <c r="F458" s="41">
        <v>41.12</v>
      </c>
      <c r="G458" s="41">
        <f t="shared" ref="G458:G460" si="384">F458+E458</f>
        <v>70.25</v>
      </c>
      <c r="H458" s="13">
        <f t="shared" ref="H458:H460" si="385">C458*E458</f>
        <v>1048.68</v>
      </c>
      <c r="I458" s="13">
        <f t="shared" ref="I458:I460" si="386">C458*F458</f>
        <v>1480.32</v>
      </c>
      <c r="J458" s="14">
        <f t="shared" ref="J458:J460" si="387">SUM(E458:F458)*C458</f>
        <v>2529</v>
      </c>
      <c r="M458" s="54"/>
      <c r="N458" s="56"/>
      <c r="V458" s="74">
        <v>36</v>
      </c>
      <c r="W458" s="74" t="s">
        <v>110</v>
      </c>
      <c r="X458" s="13">
        <v>33.85</v>
      </c>
      <c r="Y458" s="13">
        <v>42.97</v>
      </c>
      <c r="Z458" s="13">
        <f t="shared" ref="Z458:Z460" si="388">SUM(X458:Y458)</f>
        <v>76.819999999999993</v>
      </c>
      <c r="AB458" s="74">
        <v>36</v>
      </c>
      <c r="AC458" s="74" t="s">
        <v>110</v>
      </c>
      <c r="AD458" s="13">
        <v>43.61</v>
      </c>
      <c r="AE458" s="13">
        <v>55.35</v>
      </c>
      <c r="AF458" s="13">
        <f t="shared" si="382"/>
        <v>98.960000000000008</v>
      </c>
      <c r="AH458" s="89">
        <f t="shared" si="354"/>
        <v>-0.33203393717037377</v>
      </c>
      <c r="AI458" s="89">
        <f t="shared" si="355"/>
        <v>-0.25709123757904251</v>
      </c>
      <c r="AJ458" s="89">
        <f t="shared" si="356"/>
        <v>-0.29011721907841559</v>
      </c>
    </row>
    <row r="459" spans="1:36" x14ac:dyDescent="0.3">
      <c r="A459" s="21" t="s">
        <v>919</v>
      </c>
      <c r="B459" s="11" t="s">
        <v>920</v>
      </c>
      <c r="C459" s="12">
        <f t="shared" ref="C459:C460" si="389">V459</f>
        <v>48</v>
      </c>
      <c r="D459" s="41" t="str">
        <f t="shared" ref="D459:D460" si="390">W459</f>
        <v>un</v>
      </c>
      <c r="E459" s="41">
        <v>56.23</v>
      </c>
      <c r="F459" s="41">
        <v>20.56</v>
      </c>
      <c r="G459" s="41">
        <f t="shared" si="384"/>
        <v>76.789999999999992</v>
      </c>
      <c r="H459" s="13">
        <f t="shared" si="385"/>
        <v>2699.04</v>
      </c>
      <c r="I459" s="13">
        <f t="shared" si="386"/>
        <v>986.87999999999988</v>
      </c>
      <c r="J459" s="14">
        <f t="shared" si="387"/>
        <v>3685.9199999999996</v>
      </c>
      <c r="M459" s="54"/>
      <c r="N459" s="56"/>
      <c r="V459" s="74">
        <v>48</v>
      </c>
      <c r="W459" s="74" t="s">
        <v>110</v>
      </c>
      <c r="X459" s="13">
        <v>76.13</v>
      </c>
      <c r="Y459" s="13">
        <v>21.49</v>
      </c>
      <c r="Z459" s="13">
        <f t="shared" si="388"/>
        <v>97.61999999999999</v>
      </c>
      <c r="AB459" s="74">
        <v>48</v>
      </c>
      <c r="AC459" s="74" t="s">
        <v>110</v>
      </c>
      <c r="AD459" s="13">
        <v>98.07</v>
      </c>
      <c r="AE459" s="13">
        <v>27.68</v>
      </c>
      <c r="AF459" s="13">
        <f t="shared" si="382"/>
        <v>125.75</v>
      </c>
      <c r="AH459" s="89">
        <f t="shared" si="354"/>
        <v>-0.42663403691240953</v>
      </c>
      <c r="AI459" s="89">
        <f t="shared" si="355"/>
        <v>-0.25722543352601157</v>
      </c>
      <c r="AJ459" s="89">
        <f t="shared" si="356"/>
        <v>-0.38934393638170983</v>
      </c>
    </row>
    <row r="460" spans="1:36" x14ac:dyDescent="0.3">
      <c r="A460" s="21" t="s">
        <v>921</v>
      </c>
      <c r="B460" s="18" t="s">
        <v>922</v>
      </c>
      <c r="C460" s="12">
        <f t="shared" si="389"/>
        <v>1</v>
      </c>
      <c r="D460" s="41" t="str">
        <f t="shared" si="390"/>
        <v>un</v>
      </c>
      <c r="E460" s="41">
        <v>179.98</v>
      </c>
      <c r="F460" s="41">
        <v>2.52</v>
      </c>
      <c r="G460" s="41">
        <f t="shared" si="384"/>
        <v>182.5</v>
      </c>
      <c r="H460" s="13">
        <f t="shared" si="385"/>
        <v>179.98</v>
      </c>
      <c r="I460" s="13">
        <f t="shared" si="386"/>
        <v>2.52</v>
      </c>
      <c r="J460" s="14">
        <f t="shared" si="387"/>
        <v>182.5</v>
      </c>
      <c r="M460" s="54"/>
      <c r="N460" s="56"/>
      <c r="V460" s="74">
        <v>1</v>
      </c>
      <c r="W460" s="74" t="s">
        <v>110</v>
      </c>
      <c r="X460" s="13">
        <v>259.93</v>
      </c>
      <c r="Y460" s="13">
        <v>2.64</v>
      </c>
      <c r="Z460" s="13">
        <f t="shared" si="388"/>
        <v>262.57</v>
      </c>
      <c r="AB460" s="74">
        <v>1</v>
      </c>
      <c r="AC460" s="74" t="s">
        <v>110</v>
      </c>
      <c r="AD460" s="13">
        <v>334.84</v>
      </c>
      <c r="AE460" s="13">
        <v>3.4</v>
      </c>
      <c r="AF460" s="13">
        <f t="shared" si="382"/>
        <v>338.23999999999995</v>
      </c>
      <c r="AH460" s="89">
        <f t="shared" si="354"/>
        <v>-0.46248954724644609</v>
      </c>
      <c r="AI460" s="89">
        <f t="shared" si="355"/>
        <v>-0.25882352941176467</v>
      </c>
      <c r="AJ460" s="89">
        <f t="shared" si="356"/>
        <v>-0.46044228949858079</v>
      </c>
    </row>
    <row r="461" spans="1:36" x14ac:dyDescent="0.3">
      <c r="A461" s="21" t="s">
        <v>923</v>
      </c>
      <c r="B461" s="11" t="s">
        <v>924</v>
      </c>
      <c r="C461" s="12">
        <f t="shared" si="376"/>
        <v>1</v>
      </c>
      <c r="D461" s="41" t="str">
        <f t="shared" si="377"/>
        <v xml:space="preserve">UN </v>
      </c>
      <c r="E461" s="41">
        <v>98.59</v>
      </c>
      <c r="F461" s="41">
        <v>4.33</v>
      </c>
      <c r="G461" s="41">
        <f t="shared" si="383"/>
        <v>102.92</v>
      </c>
      <c r="H461" s="13">
        <f t="shared" si="378"/>
        <v>98.59</v>
      </c>
      <c r="I461" s="13">
        <f t="shared" si="379"/>
        <v>4.33</v>
      </c>
      <c r="J461" s="14">
        <f t="shared" si="380"/>
        <v>102.92</v>
      </c>
      <c r="M461" s="54"/>
      <c r="N461" s="56"/>
      <c r="V461" s="74">
        <v>1</v>
      </c>
      <c r="W461" s="74" t="s">
        <v>462</v>
      </c>
      <c r="X461" s="13">
        <v>118.5</v>
      </c>
      <c r="Y461" s="13">
        <v>4.51</v>
      </c>
      <c r="Z461" s="13">
        <f t="shared" si="381"/>
        <v>123.01</v>
      </c>
      <c r="AB461" s="74">
        <v>1</v>
      </c>
      <c r="AC461" s="74" t="s">
        <v>462</v>
      </c>
      <c r="AD461" s="13">
        <v>152.65</v>
      </c>
      <c r="AE461" s="13">
        <v>5.81</v>
      </c>
      <c r="AF461" s="13">
        <f t="shared" si="382"/>
        <v>158.46</v>
      </c>
      <c r="AH461" s="89">
        <f t="shared" si="354"/>
        <v>-0.3541434654438258</v>
      </c>
      <c r="AI461" s="89">
        <f t="shared" si="355"/>
        <v>-0.25473321858864018</v>
      </c>
      <c r="AJ461" s="89">
        <f t="shared" si="356"/>
        <v>-0.35049854852959739</v>
      </c>
    </row>
    <row r="462" spans="1:36" x14ac:dyDescent="0.3">
      <c r="A462" s="21" t="s">
        <v>925</v>
      </c>
      <c r="B462" s="18" t="s">
        <v>926</v>
      </c>
      <c r="C462" s="12">
        <f t="shared" si="376"/>
        <v>1</v>
      </c>
      <c r="D462" s="41" t="str">
        <f t="shared" si="377"/>
        <v xml:space="preserve">UN </v>
      </c>
      <c r="E462" s="41">
        <v>34.54</v>
      </c>
      <c r="F462" s="41">
        <v>20.56</v>
      </c>
      <c r="G462" s="41">
        <f t="shared" si="383"/>
        <v>55.099999999999994</v>
      </c>
      <c r="H462" s="13">
        <f t="shared" si="378"/>
        <v>34.54</v>
      </c>
      <c r="I462" s="13">
        <f t="shared" si="379"/>
        <v>20.56</v>
      </c>
      <c r="J462" s="14">
        <f t="shared" si="380"/>
        <v>55.099999999999994</v>
      </c>
      <c r="M462" s="54"/>
      <c r="N462" s="56"/>
      <c r="V462" s="74">
        <v>1</v>
      </c>
      <c r="W462" s="74" t="s">
        <v>462</v>
      </c>
      <c r="X462" s="13">
        <v>35.630000000000003</v>
      </c>
      <c r="Y462" s="13">
        <v>21.49</v>
      </c>
      <c r="Z462" s="13">
        <f t="shared" si="381"/>
        <v>57.120000000000005</v>
      </c>
      <c r="AB462" s="74">
        <v>1</v>
      </c>
      <c r="AC462" s="74" t="s">
        <v>462</v>
      </c>
      <c r="AD462" s="13">
        <v>45.9</v>
      </c>
      <c r="AE462" s="13">
        <v>27.68</v>
      </c>
      <c r="AF462" s="13">
        <f t="shared" si="382"/>
        <v>73.58</v>
      </c>
      <c r="AH462" s="89">
        <f t="shared" si="354"/>
        <v>-0.24749455337690629</v>
      </c>
      <c r="AI462" s="89">
        <f t="shared" si="355"/>
        <v>-0.25722543352601157</v>
      </c>
      <c r="AJ462" s="89">
        <f t="shared" si="356"/>
        <v>-0.25115520521880952</v>
      </c>
    </row>
    <row r="463" spans="1:36" x14ac:dyDescent="0.3">
      <c r="A463" s="19">
        <v>29</v>
      </c>
      <c r="B463" s="20" t="s">
        <v>927</v>
      </c>
      <c r="C463" s="76"/>
      <c r="D463" s="58"/>
      <c r="E463" s="58">
        <v>0</v>
      </c>
      <c r="F463" s="58">
        <v>0</v>
      </c>
      <c r="G463" s="58"/>
      <c r="H463" s="24">
        <f>SUM(H464:H514)</f>
        <v>476594.41000000003</v>
      </c>
      <c r="I463" s="24">
        <f>SUM(I464:I514)</f>
        <v>214623.62</v>
      </c>
      <c r="J463" s="24">
        <f>SUM(J464:J514)</f>
        <v>691218.03000000026</v>
      </c>
      <c r="M463" s="54"/>
      <c r="N463" s="56"/>
      <c r="V463" s="75"/>
      <c r="W463" s="75"/>
      <c r="X463" s="23"/>
      <c r="Y463" s="23"/>
      <c r="Z463" s="23"/>
      <c r="AB463" s="75"/>
      <c r="AC463" s="75"/>
      <c r="AD463" s="23"/>
      <c r="AE463" s="23"/>
      <c r="AF463" s="23"/>
      <c r="AH463" s="89">
        <f t="shared" si="354"/>
        <v>0</v>
      </c>
      <c r="AI463" s="89">
        <f t="shared" si="355"/>
        <v>0</v>
      </c>
      <c r="AJ463" s="89">
        <f t="shared" si="356"/>
        <v>0</v>
      </c>
    </row>
    <row r="464" spans="1:36" x14ac:dyDescent="0.3">
      <c r="A464" s="21" t="s">
        <v>928</v>
      </c>
      <c r="B464" s="11" t="s">
        <v>929</v>
      </c>
      <c r="C464" s="12">
        <f t="shared" ref="C464:C507" si="391">V464</f>
        <v>75</v>
      </c>
      <c r="D464" s="41" t="str">
        <f t="shared" ref="D464:D507" si="392">W464</f>
        <v>UN</v>
      </c>
      <c r="E464" s="41">
        <v>27.09</v>
      </c>
      <c r="F464" s="41">
        <v>6.48</v>
      </c>
      <c r="G464" s="41">
        <f t="shared" si="383"/>
        <v>33.57</v>
      </c>
      <c r="H464" s="13">
        <f t="shared" ref="H464:H509" si="393">C464*E464</f>
        <v>2031.75</v>
      </c>
      <c r="I464" s="13">
        <f t="shared" ref="I464:I509" si="394">C464*F464</f>
        <v>486.00000000000006</v>
      </c>
      <c r="J464" s="14">
        <f t="shared" si="380"/>
        <v>2517.75</v>
      </c>
      <c r="M464" s="54"/>
      <c r="N464" s="56"/>
      <c r="V464" s="74">
        <v>75</v>
      </c>
      <c r="W464" s="74" t="s">
        <v>47</v>
      </c>
      <c r="X464" s="13">
        <v>30.42</v>
      </c>
      <c r="Y464" s="13">
        <v>6.8</v>
      </c>
      <c r="Z464" s="13">
        <f t="shared" ref="Z464:Z509" si="395">SUM(X464:Y464)</f>
        <v>37.22</v>
      </c>
      <c r="AB464" s="74">
        <v>75</v>
      </c>
      <c r="AC464" s="74" t="s">
        <v>47</v>
      </c>
      <c r="AD464" s="13">
        <v>39.19</v>
      </c>
      <c r="AE464" s="13">
        <v>8.76</v>
      </c>
      <c r="AF464" s="13">
        <f t="shared" ref="AF464:AF489" si="396">SUM(AD464:AE464)</f>
        <v>47.949999999999996</v>
      </c>
      <c r="AH464" s="89">
        <f t="shared" si="354"/>
        <v>-0.30875223271242658</v>
      </c>
      <c r="AI464" s="89">
        <f t="shared" si="355"/>
        <v>-0.26027397260273966</v>
      </c>
      <c r="AJ464" s="89">
        <f t="shared" si="356"/>
        <v>-0.29989572471324288</v>
      </c>
    </row>
    <row r="465" spans="1:36" ht="28.8" x14ac:dyDescent="0.3">
      <c r="A465" s="21" t="s">
        <v>930</v>
      </c>
      <c r="B465" s="11" t="s">
        <v>931</v>
      </c>
      <c r="C465" s="12">
        <f t="shared" si="391"/>
        <v>78</v>
      </c>
      <c r="D465" s="41" t="str">
        <f t="shared" si="392"/>
        <v>M</v>
      </c>
      <c r="E465" s="41">
        <v>9.6999999999999993</v>
      </c>
      <c r="F465" s="41">
        <v>10.71</v>
      </c>
      <c r="G465" s="41">
        <f t="shared" si="383"/>
        <v>20.41</v>
      </c>
      <c r="H465" s="13">
        <f t="shared" si="393"/>
        <v>756.59999999999991</v>
      </c>
      <c r="I465" s="13">
        <f t="shared" si="394"/>
        <v>835.38000000000011</v>
      </c>
      <c r="J465" s="14">
        <f t="shared" si="380"/>
        <v>1591.98</v>
      </c>
      <c r="M465" s="54"/>
      <c r="N465" s="56"/>
      <c r="V465" s="74">
        <v>78</v>
      </c>
      <c r="W465" s="74" t="s">
        <v>932</v>
      </c>
      <c r="X465" s="13">
        <v>13.85</v>
      </c>
      <c r="Y465" s="13">
        <v>11.25</v>
      </c>
      <c r="Z465" s="13">
        <f t="shared" si="395"/>
        <v>25.1</v>
      </c>
      <c r="AB465" s="74">
        <v>78</v>
      </c>
      <c r="AC465" s="74" t="s">
        <v>932</v>
      </c>
      <c r="AD465" s="13">
        <v>17.84</v>
      </c>
      <c r="AE465" s="13">
        <v>14.49</v>
      </c>
      <c r="AF465" s="13">
        <f t="shared" si="396"/>
        <v>32.33</v>
      </c>
      <c r="AH465" s="89">
        <f t="shared" si="354"/>
        <v>-0.45627802690582964</v>
      </c>
      <c r="AI465" s="89">
        <f t="shared" si="355"/>
        <v>-0.26086956521739124</v>
      </c>
      <c r="AJ465" s="89">
        <f t="shared" si="356"/>
        <v>-0.368697803897309</v>
      </c>
    </row>
    <row r="466" spans="1:36" x14ac:dyDescent="0.3">
      <c r="A466" s="21" t="s">
        <v>933</v>
      </c>
      <c r="B466" s="11" t="s">
        <v>934</v>
      </c>
      <c r="C466" s="12">
        <f t="shared" si="391"/>
        <v>66</v>
      </c>
      <c r="D466" s="41" t="str">
        <f t="shared" si="392"/>
        <v>UN</v>
      </c>
      <c r="E466" s="41">
        <v>233.45</v>
      </c>
      <c r="F466" s="41">
        <v>11.6</v>
      </c>
      <c r="G466" s="41">
        <f t="shared" si="383"/>
        <v>245.04999999999998</v>
      </c>
      <c r="H466" s="13">
        <f t="shared" si="393"/>
        <v>15407.699999999999</v>
      </c>
      <c r="I466" s="13">
        <f t="shared" si="394"/>
        <v>765.6</v>
      </c>
      <c r="J466" s="14">
        <f t="shared" si="380"/>
        <v>16173.3</v>
      </c>
      <c r="M466" s="54"/>
      <c r="N466" s="56"/>
      <c r="V466" s="74">
        <v>66</v>
      </c>
      <c r="W466" s="74" t="s">
        <v>47</v>
      </c>
      <c r="X466" s="13">
        <v>287.31</v>
      </c>
      <c r="Y466" s="13">
        <v>12.22</v>
      </c>
      <c r="Z466" s="13">
        <f t="shared" si="395"/>
        <v>299.53000000000003</v>
      </c>
      <c r="AB466" s="74">
        <v>66</v>
      </c>
      <c r="AC466" s="74" t="s">
        <v>47</v>
      </c>
      <c r="AD466" s="13">
        <v>370.11</v>
      </c>
      <c r="AE466" s="13">
        <v>15.74</v>
      </c>
      <c r="AF466" s="13">
        <f t="shared" si="396"/>
        <v>385.85</v>
      </c>
      <c r="AH466" s="89">
        <f t="shared" si="354"/>
        <v>-0.36924157682851044</v>
      </c>
      <c r="AI466" s="89">
        <f t="shared" si="355"/>
        <v>-0.26302414231257942</v>
      </c>
      <c r="AJ466" s="89">
        <f t="shared" si="356"/>
        <v>-0.36490864325515104</v>
      </c>
    </row>
    <row r="467" spans="1:36" ht="28.8" x14ac:dyDescent="0.3">
      <c r="A467" s="21" t="s">
        <v>935</v>
      </c>
      <c r="B467" s="11" t="s">
        <v>936</v>
      </c>
      <c r="C467" s="12">
        <f t="shared" si="391"/>
        <v>15</v>
      </c>
      <c r="D467" s="41" t="str">
        <f t="shared" si="392"/>
        <v>M</v>
      </c>
      <c r="E467" s="41">
        <v>9.24</v>
      </c>
      <c r="F467" s="41">
        <v>6.43</v>
      </c>
      <c r="G467" s="41">
        <f t="shared" si="383"/>
        <v>15.67</v>
      </c>
      <c r="H467" s="13">
        <f t="shared" si="393"/>
        <v>138.6</v>
      </c>
      <c r="I467" s="13">
        <f t="shared" si="394"/>
        <v>96.449999999999989</v>
      </c>
      <c r="J467" s="14">
        <f t="shared" si="380"/>
        <v>235.05</v>
      </c>
      <c r="M467" s="54"/>
      <c r="N467" s="56"/>
      <c r="V467" s="74">
        <v>15</v>
      </c>
      <c r="W467" s="74" t="s">
        <v>932</v>
      </c>
      <c r="X467" s="13">
        <v>13.34</v>
      </c>
      <c r="Y467" s="13">
        <v>6.75</v>
      </c>
      <c r="Z467" s="13">
        <f t="shared" si="395"/>
        <v>20.09</v>
      </c>
      <c r="AB467" s="74">
        <v>15</v>
      </c>
      <c r="AC467" s="74" t="s">
        <v>932</v>
      </c>
      <c r="AD467" s="13">
        <v>17.18</v>
      </c>
      <c r="AE467" s="13">
        <v>8.6999999999999993</v>
      </c>
      <c r="AF467" s="13">
        <f t="shared" si="396"/>
        <v>25.88</v>
      </c>
      <c r="AH467" s="89">
        <f t="shared" ref="AH467:AH514" si="397">IF(E467=0,0,(E467/AD467)-1)</f>
        <v>-0.46216530849825377</v>
      </c>
      <c r="AI467" s="89">
        <f t="shared" si="355"/>
        <v>-0.26091954022988506</v>
      </c>
      <c r="AJ467" s="89">
        <f t="shared" si="356"/>
        <v>-0.3945131375579598</v>
      </c>
    </row>
    <row r="468" spans="1:36" x14ac:dyDescent="0.3">
      <c r="A468" s="21" t="s">
        <v>937</v>
      </c>
      <c r="B468" s="11" t="s">
        <v>938</v>
      </c>
      <c r="C468" s="12">
        <f t="shared" si="391"/>
        <v>1</v>
      </c>
      <c r="D468" s="41" t="str">
        <f t="shared" si="392"/>
        <v>CJ</v>
      </c>
      <c r="E468" s="41">
        <v>341.49</v>
      </c>
      <c r="F468" s="41">
        <v>85.66</v>
      </c>
      <c r="G468" s="41">
        <f t="shared" si="383"/>
        <v>427.15</v>
      </c>
      <c r="H468" s="13">
        <f t="shared" si="393"/>
        <v>341.49</v>
      </c>
      <c r="I468" s="13">
        <f t="shared" si="394"/>
        <v>85.66</v>
      </c>
      <c r="J468" s="14">
        <f t="shared" si="380"/>
        <v>427.15</v>
      </c>
      <c r="M468" s="54"/>
      <c r="N468" s="56"/>
      <c r="V468" s="74">
        <v>1</v>
      </c>
      <c r="W468" s="74" t="s">
        <v>939</v>
      </c>
      <c r="X468" s="13">
        <v>339.45</v>
      </c>
      <c r="Y468" s="13">
        <v>90.08</v>
      </c>
      <c r="Z468" s="13">
        <f t="shared" si="395"/>
        <v>429.53</v>
      </c>
      <c r="AB468" s="74">
        <v>1</v>
      </c>
      <c r="AC468" s="74" t="s">
        <v>939</v>
      </c>
      <c r="AD468" s="13">
        <v>437.28</v>
      </c>
      <c r="AE468" s="13">
        <v>116.04</v>
      </c>
      <c r="AF468" s="13">
        <f t="shared" si="396"/>
        <v>553.31999999999994</v>
      </c>
      <c r="AH468" s="89">
        <f t="shared" si="397"/>
        <v>-0.21905872667398452</v>
      </c>
      <c r="AI468" s="89">
        <f t="shared" ref="AI468:AI514" si="398">IF(F468=0,0,(F468/AE468)-1)</f>
        <v>-0.26180627369872467</v>
      </c>
      <c r="AJ468" s="89">
        <f t="shared" ref="AJ468:AJ514" si="399">IF(G468=0,0,(G468/AF468)-1)</f>
        <v>-0.22802356683293568</v>
      </c>
    </row>
    <row r="469" spans="1:36" x14ac:dyDescent="0.3">
      <c r="A469" s="21" t="s">
        <v>940</v>
      </c>
      <c r="B469" s="11" t="s">
        <v>941</v>
      </c>
      <c r="C469" s="12">
        <f t="shared" si="391"/>
        <v>7713</v>
      </c>
      <c r="D469" s="41" t="str">
        <f t="shared" si="392"/>
        <v>UN</v>
      </c>
      <c r="E469" s="41">
        <v>13.59</v>
      </c>
      <c r="F469" s="41">
        <v>1.41</v>
      </c>
      <c r="G469" s="41">
        <f t="shared" si="383"/>
        <v>15</v>
      </c>
      <c r="H469" s="13">
        <f t="shared" si="393"/>
        <v>104819.67</v>
      </c>
      <c r="I469" s="13">
        <f t="shared" si="394"/>
        <v>10875.33</v>
      </c>
      <c r="J469" s="14">
        <f t="shared" si="380"/>
        <v>115695</v>
      </c>
      <c r="M469" s="54"/>
      <c r="N469" s="56"/>
      <c r="V469" s="74">
        <v>7713</v>
      </c>
      <c r="W469" s="74" t="s">
        <v>47</v>
      </c>
      <c r="X469" s="13">
        <v>16.05</v>
      </c>
      <c r="Y469" s="13">
        <v>1.48</v>
      </c>
      <c r="Z469" s="13">
        <f t="shared" si="395"/>
        <v>17.53</v>
      </c>
      <c r="AB469" s="74">
        <v>7713</v>
      </c>
      <c r="AC469" s="74" t="s">
        <v>47</v>
      </c>
      <c r="AD469" s="13">
        <v>20.68</v>
      </c>
      <c r="AE469" s="13">
        <v>1.91</v>
      </c>
      <c r="AF469" s="13">
        <f t="shared" si="396"/>
        <v>22.59</v>
      </c>
      <c r="AH469" s="89">
        <f t="shared" si="397"/>
        <v>-0.34284332688588004</v>
      </c>
      <c r="AI469" s="89">
        <f t="shared" si="398"/>
        <v>-0.26178010471204194</v>
      </c>
      <c r="AJ469" s="89">
        <f t="shared" si="399"/>
        <v>-0.33598937583001331</v>
      </c>
    </row>
    <row r="470" spans="1:36" x14ac:dyDescent="0.3">
      <c r="A470" s="21" t="s">
        <v>942</v>
      </c>
      <c r="B470" s="11" t="s">
        <v>943</v>
      </c>
      <c r="C470" s="12">
        <f t="shared" si="391"/>
        <v>805</v>
      </c>
      <c r="D470" s="41" t="str">
        <f t="shared" si="392"/>
        <v>M</v>
      </c>
      <c r="E470" s="41">
        <v>7.24</v>
      </c>
      <c r="F470" s="41">
        <v>9.67</v>
      </c>
      <c r="G470" s="41">
        <f t="shared" si="383"/>
        <v>16.91</v>
      </c>
      <c r="H470" s="13">
        <f t="shared" si="393"/>
        <v>5828.2</v>
      </c>
      <c r="I470" s="13">
        <f t="shared" si="394"/>
        <v>7784.35</v>
      </c>
      <c r="J470" s="14">
        <f t="shared" si="380"/>
        <v>13612.55</v>
      </c>
      <c r="M470" s="54"/>
      <c r="N470" s="56"/>
      <c r="V470" s="74">
        <v>805</v>
      </c>
      <c r="W470" s="74" t="s">
        <v>932</v>
      </c>
      <c r="X470" s="13">
        <v>10.47</v>
      </c>
      <c r="Y470" s="13">
        <v>10.18</v>
      </c>
      <c r="Z470" s="13">
        <f t="shared" si="395"/>
        <v>20.65</v>
      </c>
      <c r="AB470" s="74">
        <v>805</v>
      </c>
      <c r="AC470" s="74" t="s">
        <v>932</v>
      </c>
      <c r="AD470" s="13">
        <v>13.49</v>
      </c>
      <c r="AE470" s="13">
        <v>13.11</v>
      </c>
      <c r="AF470" s="13">
        <f t="shared" si="396"/>
        <v>26.6</v>
      </c>
      <c r="AH470" s="89">
        <f t="shared" si="397"/>
        <v>-0.46330615270570796</v>
      </c>
      <c r="AI470" s="89">
        <f t="shared" si="398"/>
        <v>-0.26239511823035844</v>
      </c>
      <c r="AJ470" s="89">
        <f t="shared" si="399"/>
        <v>-0.36428571428571432</v>
      </c>
    </row>
    <row r="471" spans="1:36" x14ac:dyDescent="0.3">
      <c r="A471" s="21" t="s">
        <v>944</v>
      </c>
      <c r="B471" s="11" t="s">
        <v>945</v>
      </c>
      <c r="C471" s="12">
        <f t="shared" si="391"/>
        <v>221</v>
      </c>
      <c r="D471" s="41" t="str">
        <f t="shared" si="392"/>
        <v>UN</v>
      </c>
      <c r="E471" s="41">
        <v>20.97</v>
      </c>
      <c r="F471" s="41">
        <v>77.42</v>
      </c>
      <c r="G471" s="41">
        <f t="shared" si="383"/>
        <v>98.39</v>
      </c>
      <c r="H471" s="13">
        <f t="shared" si="393"/>
        <v>4634.37</v>
      </c>
      <c r="I471" s="13">
        <f t="shared" si="394"/>
        <v>17109.82</v>
      </c>
      <c r="J471" s="14">
        <f t="shared" si="380"/>
        <v>21744.19</v>
      </c>
      <c r="M471" s="54"/>
      <c r="N471" s="56"/>
      <c r="V471" s="74">
        <v>221</v>
      </c>
      <c r="W471" s="74" t="s">
        <v>47</v>
      </c>
      <c r="X471" s="13">
        <v>35.54</v>
      </c>
      <c r="Y471" s="13">
        <v>81.459999999999994</v>
      </c>
      <c r="Z471" s="13">
        <f t="shared" si="395"/>
        <v>117</v>
      </c>
      <c r="AB471" s="74">
        <v>221</v>
      </c>
      <c r="AC471" s="74" t="s">
        <v>47</v>
      </c>
      <c r="AD471" s="13">
        <v>45.78</v>
      </c>
      <c r="AE471" s="13">
        <v>104.94</v>
      </c>
      <c r="AF471" s="13">
        <f t="shared" si="396"/>
        <v>150.72</v>
      </c>
      <c r="AH471" s="89">
        <f t="shared" si="397"/>
        <v>-0.5419397116644824</v>
      </c>
      <c r="AI471" s="89">
        <f t="shared" si="398"/>
        <v>-0.2622450924337717</v>
      </c>
      <c r="AJ471" s="89">
        <f t="shared" si="399"/>
        <v>-0.3472001061571125</v>
      </c>
    </row>
    <row r="472" spans="1:36" ht="28.8" x14ac:dyDescent="0.3">
      <c r="A472" s="21" t="s">
        <v>946</v>
      </c>
      <c r="B472" s="11" t="s">
        <v>947</v>
      </c>
      <c r="C472" s="12">
        <f t="shared" si="391"/>
        <v>1</v>
      </c>
      <c r="D472" s="41" t="str">
        <f t="shared" si="392"/>
        <v>UN</v>
      </c>
      <c r="E472" s="41">
        <v>82.97</v>
      </c>
      <c r="F472" s="41">
        <v>38.71</v>
      </c>
      <c r="G472" s="41">
        <f t="shared" si="383"/>
        <v>121.68</v>
      </c>
      <c r="H472" s="13">
        <f t="shared" si="393"/>
        <v>82.97</v>
      </c>
      <c r="I472" s="13">
        <f t="shared" si="394"/>
        <v>38.71</v>
      </c>
      <c r="J472" s="14">
        <f t="shared" si="380"/>
        <v>121.68</v>
      </c>
      <c r="M472" s="54"/>
      <c r="N472" s="55"/>
      <c r="V472" s="74">
        <v>1</v>
      </c>
      <c r="W472" s="74" t="s">
        <v>47</v>
      </c>
      <c r="X472" s="13">
        <v>115.05</v>
      </c>
      <c r="Y472" s="13">
        <v>40.729999999999997</v>
      </c>
      <c r="Z472" s="13">
        <f t="shared" si="395"/>
        <v>155.78</v>
      </c>
      <c r="AB472" s="74">
        <v>1</v>
      </c>
      <c r="AC472" s="74" t="s">
        <v>47</v>
      </c>
      <c r="AD472" s="13">
        <v>148.21</v>
      </c>
      <c r="AE472" s="13">
        <v>52.47</v>
      </c>
      <c r="AF472" s="13">
        <f t="shared" si="396"/>
        <v>200.68</v>
      </c>
      <c r="AH472" s="89">
        <f t="shared" si="397"/>
        <v>-0.44018622225220971</v>
      </c>
      <c r="AI472" s="89">
        <f t="shared" si="398"/>
        <v>-0.2622450924337717</v>
      </c>
      <c r="AJ472" s="89">
        <f t="shared" si="399"/>
        <v>-0.3936615507275264</v>
      </c>
    </row>
    <row r="473" spans="1:36" ht="28.8" x14ac:dyDescent="0.3">
      <c r="A473" s="21" t="s">
        <v>948</v>
      </c>
      <c r="B473" s="11" t="s">
        <v>949</v>
      </c>
      <c r="C473" s="12">
        <f t="shared" si="391"/>
        <v>309</v>
      </c>
      <c r="D473" s="41" t="str">
        <f t="shared" si="392"/>
        <v>UN</v>
      </c>
      <c r="E473" s="41">
        <v>83.13</v>
      </c>
      <c r="F473" s="41">
        <v>38.71</v>
      </c>
      <c r="G473" s="41">
        <f t="shared" si="383"/>
        <v>121.84</v>
      </c>
      <c r="H473" s="13">
        <f t="shared" si="393"/>
        <v>25687.17</v>
      </c>
      <c r="I473" s="13">
        <f t="shared" si="394"/>
        <v>11961.39</v>
      </c>
      <c r="J473" s="14">
        <f t="shared" si="380"/>
        <v>37648.559999999998</v>
      </c>
      <c r="M473" s="54"/>
      <c r="N473" s="56"/>
      <c r="V473" s="74">
        <v>309</v>
      </c>
      <c r="W473" s="74" t="s">
        <v>47</v>
      </c>
      <c r="X473" s="13">
        <v>115.26</v>
      </c>
      <c r="Y473" s="13">
        <v>40.729999999999997</v>
      </c>
      <c r="Z473" s="13">
        <f t="shared" si="395"/>
        <v>155.99</v>
      </c>
      <c r="AB473" s="74">
        <v>309</v>
      </c>
      <c r="AC473" s="74" t="s">
        <v>47</v>
      </c>
      <c r="AD473" s="13">
        <v>148.47999999999999</v>
      </c>
      <c r="AE473" s="13">
        <v>52.47</v>
      </c>
      <c r="AF473" s="13">
        <f t="shared" si="396"/>
        <v>200.95</v>
      </c>
      <c r="AH473" s="89">
        <f t="shared" si="397"/>
        <v>-0.44012661637931039</v>
      </c>
      <c r="AI473" s="89">
        <f t="shared" si="398"/>
        <v>-0.2622450924337717</v>
      </c>
      <c r="AJ473" s="89">
        <f t="shared" si="399"/>
        <v>-0.3936800199054491</v>
      </c>
    </row>
    <row r="474" spans="1:36" x14ac:dyDescent="0.3">
      <c r="A474" s="21" t="s">
        <v>950</v>
      </c>
      <c r="B474" s="18" t="s">
        <v>951</v>
      </c>
      <c r="C474" s="12">
        <f t="shared" si="391"/>
        <v>8371</v>
      </c>
      <c r="D474" s="41" t="str">
        <f t="shared" si="392"/>
        <v>M</v>
      </c>
      <c r="E474" s="41">
        <v>0.86</v>
      </c>
      <c r="F474" s="41">
        <v>6.43</v>
      </c>
      <c r="G474" s="41">
        <f t="shared" si="383"/>
        <v>7.29</v>
      </c>
      <c r="H474" s="13">
        <f t="shared" si="393"/>
        <v>7199.0599999999995</v>
      </c>
      <c r="I474" s="13">
        <f t="shared" si="394"/>
        <v>53825.53</v>
      </c>
      <c r="J474" s="14">
        <f t="shared" si="380"/>
        <v>61024.590000000004</v>
      </c>
      <c r="M474" s="54"/>
      <c r="N474" s="56"/>
      <c r="V474" s="74">
        <v>8371</v>
      </c>
      <c r="W474" s="74" t="s">
        <v>932</v>
      </c>
      <c r="X474" s="13">
        <v>1.33</v>
      </c>
      <c r="Y474" s="13">
        <v>6.75</v>
      </c>
      <c r="Z474" s="13">
        <f t="shared" si="395"/>
        <v>8.08</v>
      </c>
      <c r="AB474" s="74">
        <v>8371</v>
      </c>
      <c r="AC474" s="74" t="s">
        <v>932</v>
      </c>
      <c r="AD474" s="13">
        <v>1.71</v>
      </c>
      <c r="AE474" s="13">
        <v>8.6999999999999993</v>
      </c>
      <c r="AF474" s="13">
        <f t="shared" si="396"/>
        <v>10.41</v>
      </c>
      <c r="AH474" s="89">
        <f t="shared" si="397"/>
        <v>-0.49707602339181289</v>
      </c>
      <c r="AI474" s="89">
        <f t="shared" si="398"/>
        <v>-0.26091954022988506</v>
      </c>
      <c r="AJ474" s="89">
        <f t="shared" si="399"/>
        <v>-0.29971181556195969</v>
      </c>
    </row>
    <row r="475" spans="1:36" x14ac:dyDescent="0.3">
      <c r="A475" s="21" t="s">
        <v>952</v>
      </c>
      <c r="B475" s="11" t="s">
        <v>953</v>
      </c>
      <c r="C475" s="12">
        <f t="shared" si="391"/>
        <v>375</v>
      </c>
      <c r="D475" s="41" t="str">
        <f t="shared" si="392"/>
        <v>M</v>
      </c>
      <c r="E475" s="41">
        <v>6.47</v>
      </c>
      <c r="F475" s="41">
        <v>6.43</v>
      </c>
      <c r="G475" s="41">
        <f t="shared" si="383"/>
        <v>12.899999999999999</v>
      </c>
      <c r="H475" s="13">
        <f t="shared" si="393"/>
        <v>2426.25</v>
      </c>
      <c r="I475" s="13">
        <f t="shared" si="394"/>
        <v>2411.25</v>
      </c>
      <c r="J475" s="14">
        <f t="shared" si="380"/>
        <v>4837.4999999999991</v>
      </c>
      <c r="M475" s="54"/>
      <c r="N475" s="56"/>
      <c r="V475" s="74">
        <v>375</v>
      </c>
      <c r="W475" s="74" t="s">
        <v>932</v>
      </c>
      <c r="X475" s="13">
        <v>8.49</v>
      </c>
      <c r="Y475" s="13">
        <v>6.75</v>
      </c>
      <c r="Z475" s="13">
        <f t="shared" si="395"/>
        <v>15.24</v>
      </c>
      <c r="AB475" s="74">
        <v>375</v>
      </c>
      <c r="AC475" s="74" t="s">
        <v>932</v>
      </c>
      <c r="AD475" s="13">
        <v>10.94</v>
      </c>
      <c r="AE475" s="13">
        <v>8.6999999999999993</v>
      </c>
      <c r="AF475" s="13">
        <f t="shared" si="396"/>
        <v>19.64</v>
      </c>
      <c r="AH475" s="89">
        <f t="shared" si="397"/>
        <v>-0.40859232175502747</v>
      </c>
      <c r="AI475" s="89">
        <f t="shared" si="398"/>
        <v>-0.26091954022988506</v>
      </c>
      <c r="AJ475" s="89">
        <f t="shared" si="399"/>
        <v>-0.3431771894093687</v>
      </c>
    </row>
    <row r="476" spans="1:36" ht="28.8" x14ac:dyDescent="0.3">
      <c r="A476" s="21" t="s">
        <v>954</v>
      </c>
      <c r="B476" s="11" t="s">
        <v>955</v>
      </c>
      <c r="C476" s="12">
        <f t="shared" si="391"/>
        <v>830</v>
      </c>
      <c r="D476" s="41" t="str">
        <f t="shared" si="392"/>
        <v>M²</v>
      </c>
      <c r="E476" s="41">
        <v>31.72</v>
      </c>
      <c r="F476" s="41">
        <v>38.71</v>
      </c>
      <c r="G476" s="41">
        <f t="shared" si="383"/>
        <v>70.430000000000007</v>
      </c>
      <c r="H476" s="13">
        <f t="shared" si="393"/>
        <v>26327.599999999999</v>
      </c>
      <c r="I476" s="13">
        <f t="shared" si="394"/>
        <v>32129.3</v>
      </c>
      <c r="J476" s="14">
        <f t="shared" si="380"/>
        <v>58456.900000000009</v>
      </c>
      <c r="M476" s="54"/>
      <c r="N476" s="56"/>
      <c r="V476" s="74">
        <v>830</v>
      </c>
      <c r="W476" s="74" t="s">
        <v>956</v>
      </c>
      <c r="X476" s="13">
        <v>45.82</v>
      </c>
      <c r="Y476" s="13">
        <v>40.729999999999997</v>
      </c>
      <c r="Z476" s="13">
        <f t="shared" si="395"/>
        <v>86.55</v>
      </c>
      <c r="AB476" s="74">
        <v>830</v>
      </c>
      <c r="AC476" s="74" t="s">
        <v>956</v>
      </c>
      <c r="AD476" s="13">
        <v>59.03</v>
      </c>
      <c r="AE476" s="13">
        <v>52.47</v>
      </c>
      <c r="AF476" s="13">
        <f t="shared" si="396"/>
        <v>111.5</v>
      </c>
      <c r="AH476" s="89">
        <f t="shared" si="397"/>
        <v>-0.46264611214636631</v>
      </c>
      <c r="AI476" s="89">
        <f t="shared" si="398"/>
        <v>-0.2622450924337717</v>
      </c>
      <c r="AJ476" s="89">
        <f t="shared" si="399"/>
        <v>-0.36834080717488782</v>
      </c>
    </row>
    <row r="477" spans="1:36" ht="28.8" x14ac:dyDescent="0.3">
      <c r="A477" s="21" t="s">
        <v>957</v>
      </c>
      <c r="B477" s="11" t="s">
        <v>958</v>
      </c>
      <c r="C477" s="12">
        <f t="shared" si="391"/>
        <v>630</v>
      </c>
      <c r="D477" s="41" t="str">
        <f t="shared" si="392"/>
        <v>M²</v>
      </c>
      <c r="E477" s="41">
        <v>160.03</v>
      </c>
      <c r="F477" s="41">
        <v>38.71</v>
      </c>
      <c r="G477" s="41">
        <f t="shared" si="383"/>
        <v>198.74</v>
      </c>
      <c r="H477" s="13">
        <f t="shared" si="393"/>
        <v>100818.9</v>
      </c>
      <c r="I477" s="13">
        <f t="shared" si="394"/>
        <v>24387.3</v>
      </c>
      <c r="J477" s="14">
        <f t="shared" si="380"/>
        <v>125206.20000000001</v>
      </c>
      <c r="M477" s="54"/>
      <c r="N477" s="56"/>
      <c r="V477" s="74">
        <v>630</v>
      </c>
      <c r="W477" s="74" t="s">
        <v>956</v>
      </c>
      <c r="X477" s="13">
        <v>214.57</v>
      </c>
      <c r="Y477" s="13">
        <v>40.729999999999997</v>
      </c>
      <c r="Z477" s="13">
        <f t="shared" si="395"/>
        <v>255.29999999999998</v>
      </c>
      <c r="AB477" s="74">
        <v>630</v>
      </c>
      <c r="AC477" s="74" t="s">
        <v>956</v>
      </c>
      <c r="AD477" s="13">
        <v>276.41000000000003</v>
      </c>
      <c r="AE477" s="13">
        <v>52.47</v>
      </c>
      <c r="AF477" s="13">
        <f t="shared" si="396"/>
        <v>328.88</v>
      </c>
      <c r="AH477" s="89">
        <f t="shared" si="397"/>
        <v>-0.42104120690278934</v>
      </c>
      <c r="AI477" s="89">
        <f t="shared" si="398"/>
        <v>-0.2622450924337717</v>
      </c>
      <c r="AJ477" s="89">
        <f t="shared" si="399"/>
        <v>-0.39570664072001938</v>
      </c>
    </row>
    <row r="478" spans="1:36" ht="28.8" x14ac:dyDescent="0.3">
      <c r="A478" s="21" t="s">
        <v>959</v>
      </c>
      <c r="B478" s="11" t="s">
        <v>960</v>
      </c>
      <c r="C478" s="12">
        <f t="shared" si="391"/>
        <v>126</v>
      </c>
      <c r="D478" s="41" t="str">
        <f t="shared" si="392"/>
        <v>M²</v>
      </c>
      <c r="E478" s="41">
        <v>157.1</v>
      </c>
      <c r="F478" s="41">
        <v>38.71</v>
      </c>
      <c r="G478" s="41">
        <f t="shared" si="383"/>
        <v>195.81</v>
      </c>
      <c r="H478" s="13">
        <f t="shared" si="393"/>
        <v>19794.599999999999</v>
      </c>
      <c r="I478" s="13">
        <f t="shared" si="394"/>
        <v>4877.46</v>
      </c>
      <c r="J478" s="14">
        <f t="shared" si="380"/>
        <v>24672.06</v>
      </c>
      <c r="M478" s="54"/>
      <c r="N478" s="56"/>
      <c r="V478" s="74">
        <v>126</v>
      </c>
      <c r="W478" s="74" t="s">
        <v>956</v>
      </c>
      <c r="X478" s="13">
        <v>210.74</v>
      </c>
      <c r="Y478" s="13">
        <v>40.729999999999997</v>
      </c>
      <c r="Z478" s="13">
        <f t="shared" si="395"/>
        <v>251.47</v>
      </c>
      <c r="AB478" s="74">
        <v>126</v>
      </c>
      <c r="AC478" s="74" t="s">
        <v>956</v>
      </c>
      <c r="AD478" s="13">
        <v>271.48</v>
      </c>
      <c r="AE478" s="13">
        <v>52.47</v>
      </c>
      <c r="AF478" s="13">
        <f t="shared" si="396"/>
        <v>323.95000000000005</v>
      </c>
      <c r="AH478" s="89">
        <f t="shared" si="397"/>
        <v>-0.42132017091498464</v>
      </c>
      <c r="AI478" s="89">
        <f t="shared" si="398"/>
        <v>-0.2622450924337717</v>
      </c>
      <c r="AJ478" s="89">
        <f t="shared" si="399"/>
        <v>-0.39555486957863872</v>
      </c>
    </row>
    <row r="479" spans="1:36" x14ac:dyDescent="0.3">
      <c r="A479" s="21" t="s">
        <v>961</v>
      </c>
      <c r="B479" s="11" t="s">
        <v>962</v>
      </c>
      <c r="C479" s="12">
        <f t="shared" si="391"/>
        <v>21</v>
      </c>
      <c r="D479" s="41" t="str">
        <f t="shared" si="392"/>
        <v>UN</v>
      </c>
      <c r="E479" s="41">
        <v>398.7</v>
      </c>
      <c r="F479" s="41">
        <v>116.13</v>
      </c>
      <c r="G479" s="41">
        <f t="shared" si="383"/>
        <v>514.82999999999993</v>
      </c>
      <c r="H479" s="13">
        <f t="shared" si="393"/>
        <v>8372.6999999999989</v>
      </c>
      <c r="I479" s="13">
        <f t="shared" si="394"/>
        <v>2438.73</v>
      </c>
      <c r="J479" s="14">
        <f t="shared" si="380"/>
        <v>10811.429999999998</v>
      </c>
      <c r="M479" s="54"/>
      <c r="N479" s="56"/>
      <c r="V479" s="74">
        <v>21</v>
      </c>
      <c r="W479" s="74" t="s">
        <v>47</v>
      </c>
      <c r="X479" s="13">
        <v>524.85</v>
      </c>
      <c r="Y479" s="13">
        <v>122.19</v>
      </c>
      <c r="Z479" s="13">
        <f t="shared" si="395"/>
        <v>647.04</v>
      </c>
      <c r="AB479" s="74">
        <v>21</v>
      </c>
      <c r="AC479" s="74" t="s">
        <v>47</v>
      </c>
      <c r="AD479" s="13">
        <v>676.11</v>
      </c>
      <c r="AE479" s="13">
        <v>157.41</v>
      </c>
      <c r="AF479" s="13">
        <f t="shared" si="396"/>
        <v>833.52</v>
      </c>
      <c r="AH479" s="89">
        <f t="shared" si="397"/>
        <v>-0.41030305719483517</v>
      </c>
      <c r="AI479" s="89">
        <f t="shared" si="398"/>
        <v>-0.2622450924337717</v>
      </c>
      <c r="AJ479" s="89">
        <f t="shared" si="399"/>
        <v>-0.38234235531241012</v>
      </c>
    </row>
    <row r="480" spans="1:36" x14ac:dyDescent="0.3">
      <c r="A480" s="21" t="s">
        <v>963</v>
      </c>
      <c r="B480" s="11" t="s">
        <v>964</v>
      </c>
      <c r="C480" s="12">
        <f t="shared" si="391"/>
        <v>69</v>
      </c>
      <c r="D480" s="41" t="str">
        <f t="shared" si="392"/>
        <v>UN</v>
      </c>
      <c r="E480" s="41">
        <v>212.08</v>
      </c>
      <c r="F480" s="41">
        <v>123.59</v>
      </c>
      <c r="G480" s="41">
        <f t="shared" si="383"/>
        <v>335.67</v>
      </c>
      <c r="H480" s="13">
        <f t="shared" si="393"/>
        <v>14633.52</v>
      </c>
      <c r="I480" s="13">
        <f t="shared" si="394"/>
        <v>8527.7100000000009</v>
      </c>
      <c r="J480" s="14">
        <f t="shared" si="380"/>
        <v>23161.23</v>
      </c>
      <c r="M480" s="54"/>
      <c r="N480" s="56"/>
      <c r="V480" s="74">
        <v>69</v>
      </c>
      <c r="W480" s="74" t="s">
        <v>47</v>
      </c>
      <c r="X480" s="13">
        <v>238.15</v>
      </c>
      <c r="Y480" s="13">
        <v>129.91</v>
      </c>
      <c r="Z480" s="13">
        <f t="shared" si="395"/>
        <v>368.06</v>
      </c>
      <c r="AB480" s="74">
        <v>69</v>
      </c>
      <c r="AC480" s="74" t="s">
        <v>47</v>
      </c>
      <c r="AD480" s="13">
        <v>306.77999999999997</v>
      </c>
      <c r="AE480" s="13">
        <v>167.35</v>
      </c>
      <c r="AF480" s="13">
        <f t="shared" si="396"/>
        <v>474.13</v>
      </c>
      <c r="AH480" s="89">
        <f t="shared" si="397"/>
        <v>-0.30869026664058929</v>
      </c>
      <c r="AI480" s="89">
        <f t="shared" si="398"/>
        <v>-0.26148789961159247</v>
      </c>
      <c r="AJ480" s="89">
        <f t="shared" si="399"/>
        <v>-0.29202961213169376</v>
      </c>
    </row>
    <row r="481" spans="1:36" x14ac:dyDescent="0.3">
      <c r="A481" s="21" t="s">
        <v>965</v>
      </c>
      <c r="B481" s="11" t="s">
        <v>966</v>
      </c>
      <c r="C481" s="12">
        <f t="shared" si="391"/>
        <v>63</v>
      </c>
      <c r="D481" s="41" t="str">
        <f t="shared" si="392"/>
        <v>UN</v>
      </c>
      <c r="E481" s="41">
        <v>286.31</v>
      </c>
      <c r="F481" s="41">
        <v>80.81</v>
      </c>
      <c r="G481" s="41">
        <f t="shared" si="383"/>
        <v>367.12</v>
      </c>
      <c r="H481" s="13">
        <f t="shared" si="393"/>
        <v>18037.53</v>
      </c>
      <c r="I481" s="13">
        <f t="shared" si="394"/>
        <v>5091.03</v>
      </c>
      <c r="J481" s="14">
        <f t="shared" si="380"/>
        <v>23128.560000000001</v>
      </c>
      <c r="M481" s="54"/>
      <c r="N481" s="56"/>
      <c r="V481" s="74">
        <v>63</v>
      </c>
      <c r="W481" s="74" t="s">
        <v>47</v>
      </c>
      <c r="X481" s="13">
        <v>341.35</v>
      </c>
      <c r="Y481" s="13">
        <v>84.96</v>
      </c>
      <c r="Z481" s="13">
        <f t="shared" si="395"/>
        <v>426.31</v>
      </c>
      <c r="AB481" s="74">
        <v>63</v>
      </c>
      <c r="AC481" s="74" t="s">
        <v>47</v>
      </c>
      <c r="AD481" s="13">
        <v>439.73</v>
      </c>
      <c r="AE481" s="13">
        <v>109.45</v>
      </c>
      <c r="AF481" s="13">
        <f t="shared" si="396"/>
        <v>549.18000000000006</v>
      </c>
      <c r="AH481" s="89">
        <f t="shared" si="397"/>
        <v>-0.34889591340140547</v>
      </c>
      <c r="AI481" s="89">
        <f t="shared" si="398"/>
        <v>-0.2616719963453632</v>
      </c>
      <c r="AJ481" s="89">
        <f t="shared" si="399"/>
        <v>-0.3315124367238429</v>
      </c>
    </row>
    <row r="482" spans="1:36" x14ac:dyDescent="0.3">
      <c r="A482" s="21" t="s">
        <v>967</v>
      </c>
      <c r="B482" s="11" t="s">
        <v>968</v>
      </c>
      <c r="C482" s="12">
        <f t="shared" si="391"/>
        <v>1</v>
      </c>
      <c r="D482" s="41" t="str">
        <f t="shared" si="392"/>
        <v>UN</v>
      </c>
      <c r="E482" s="41">
        <v>1.35</v>
      </c>
      <c r="F482" s="41">
        <v>109.7</v>
      </c>
      <c r="G482" s="41">
        <f t="shared" si="383"/>
        <v>111.05</v>
      </c>
      <c r="H482" s="13">
        <f t="shared" si="393"/>
        <v>1.35</v>
      </c>
      <c r="I482" s="13">
        <f t="shared" si="394"/>
        <v>109.7</v>
      </c>
      <c r="J482" s="14">
        <f t="shared" si="380"/>
        <v>111.05</v>
      </c>
      <c r="M482" s="54"/>
      <c r="N482" s="56"/>
      <c r="V482" s="74">
        <v>1</v>
      </c>
      <c r="W482" s="74" t="s">
        <v>47</v>
      </c>
      <c r="X482" s="13">
        <v>1.78</v>
      </c>
      <c r="Y482" s="13">
        <v>114.97</v>
      </c>
      <c r="Z482" s="13">
        <f t="shared" si="395"/>
        <v>116.75</v>
      </c>
      <c r="AB482" s="74">
        <v>1</v>
      </c>
      <c r="AC482" s="74" t="s">
        <v>47</v>
      </c>
      <c r="AD482" s="13">
        <v>2.29</v>
      </c>
      <c r="AE482" s="13">
        <v>148.1</v>
      </c>
      <c r="AF482" s="13">
        <f t="shared" si="396"/>
        <v>150.38999999999999</v>
      </c>
      <c r="AH482" s="89">
        <f t="shared" si="397"/>
        <v>-0.41048034934497812</v>
      </c>
      <c r="AI482" s="89">
        <f t="shared" si="398"/>
        <v>-0.25928426738690069</v>
      </c>
      <c r="AJ482" s="89">
        <f t="shared" si="399"/>
        <v>-0.26158654165835493</v>
      </c>
    </row>
    <row r="483" spans="1:36" x14ac:dyDescent="0.3">
      <c r="A483" s="21" t="s">
        <v>969</v>
      </c>
      <c r="B483" s="11" t="s">
        <v>970</v>
      </c>
      <c r="C483" s="12">
        <f t="shared" si="391"/>
        <v>1</v>
      </c>
      <c r="D483" s="41" t="str">
        <f t="shared" si="392"/>
        <v>UN</v>
      </c>
      <c r="E483" s="41">
        <v>2.02</v>
      </c>
      <c r="F483" s="41">
        <v>111.28</v>
      </c>
      <c r="G483" s="41">
        <f t="shared" si="383"/>
        <v>113.3</v>
      </c>
      <c r="H483" s="13">
        <f t="shared" si="393"/>
        <v>2.02</v>
      </c>
      <c r="I483" s="13">
        <f t="shared" si="394"/>
        <v>111.28</v>
      </c>
      <c r="J483" s="14">
        <f t="shared" si="380"/>
        <v>113.3</v>
      </c>
      <c r="M483" s="54"/>
      <c r="N483" s="56"/>
      <c r="V483" s="74">
        <v>1</v>
      </c>
      <c r="W483" s="74" t="s">
        <v>47</v>
      </c>
      <c r="X483" s="13">
        <v>2.5</v>
      </c>
      <c r="Y483" s="13">
        <v>117.72</v>
      </c>
      <c r="Z483" s="13">
        <f t="shared" si="395"/>
        <v>120.22</v>
      </c>
      <c r="AB483" s="74">
        <v>1</v>
      </c>
      <c r="AC483" s="74" t="s">
        <v>47</v>
      </c>
      <c r="AD483" s="13">
        <v>3.22</v>
      </c>
      <c r="AE483" s="13">
        <v>151.65</v>
      </c>
      <c r="AF483" s="13">
        <f t="shared" si="396"/>
        <v>154.87</v>
      </c>
      <c r="AH483" s="89">
        <f t="shared" si="397"/>
        <v>-0.37267080745341619</v>
      </c>
      <c r="AI483" s="89">
        <f t="shared" si="398"/>
        <v>-0.26620507748104194</v>
      </c>
      <c r="AJ483" s="89">
        <f t="shared" si="399"/>
        <v>-0.2684186737263512</v>
      </c>
    </row>
    <row r="484" spans="1:36" x14ac:dyDescent="0.3">
      <c r="A484" s="21" t="s">
        <v>971</v>
      </c>
      <c r="B484" s="11" t="s">
        <v>972</v>
      </c>
      <c r="C484" s="12">
        <f t="shared" si="391"/>
        <v>1</v>
      </c>
      <c r="D484" s="41" t="str">
        <f t="shared" si="392"/>
        <v xml:space="preserve">un </v>
      </c>
      <c r="E484" s="41">
        <v>231.92</v>
      </c>
      <c r="F484" s="41">
        <v>83.96</v>
      </c>
      <c r="G484" s="41">
        <f t="shared" si="383"/>
        <v>315.88</v>
      </c>
      <c r="H484" s="13">
        <f t="shared" si="393"/>
        <v>231.92</v>
      </c>
      <c r="I484" s="13">
        <f t="shared" si="394"/>
        <v>83.96</v>
      </c>
      <c r="J484" s="14">
        <f t="shared" si="380"/>
        <v>315.88</v>
      </c>
      <c r="M484" s="54"/>
      <c r="N484" s="56"/>
      <c r="V484" s="74">
        <v>1</v>
      </c>
      <c r="W484" s="74" t="s">
        <v>30</v>
      </c>
      <c r="X484" s="13">
        <v>276.33</v>
      </c>
      <c r="Y484" s="13">
        <v>88.22</v>
      </c>
      <c r="Z484" s="13">
        <f t="shared" si="395"/>
        <v>364.54999999999995</v>
      </c>
      <c r="AB484" s="74">
        <v>1</v>
      </c>
      <c r="AC484" s="74" t="s">
        <v>30</v>
      </c>
      <c r="AD484" s="13">
        <v>355.97</v>
      </c>
      <c r="AE484" s="13">
        <v>113.65</v>
      </c>
      <c r="AF484" s="13">
        <f t="shared" si="396"/>
        <v>469.62</v>
      </c>
      <c r="AH484" s="89">
        <f t="shared" si="397"/>
        <v>-0.34848442284462178</v>
      </c>
      <c r="AI484" s="89">
        <f t="shared" si="398"/>
        <v>-0.26124065112186545</v>
      </c>
      <c r="AJ484" s="89">
        <f t="shared" si="399"/>
        <v>-0.32737106596822962</v>
      </c>
    </row>
    <row r="485" spans="1:36" x14ac:dyDescent="0.3">
      <c r="A485" s="21" t="s">
        <v>973</v>
      </c>
      <c r="B485" s="11" t="s">
        <v>974</v>
      </c>
      <c r="C485" s="12">
        <f t="shared" si="391"/>
        <v>109</v>
      </c>
      <c r="D485" s="41" t="str">
        <f t="shared" si="392"/>
        <v xml:space="preserve">un </v>
      </c>
      <c r="E485" s="41">
        <v>9.2799999999999994</v>
      </c>
      <c r="F485" s="41">
        <v>83.96</v>
      </c>
      <c r="G485" s="41">
        <f t="shared" si="383"/>
        <v>93.24</v>
      </c>
      <c r="H485" s="13">
        <f t="shared" si="393"/>
        <v>1011.52</v>
      </c>
      <c r="I485" s="13">
        <f t="shared" si="394"/>
        <v>9151.64</v>
      </c>
      <c r="J485" s="14">
        <f t="shared" si="380"/>
        <v>10163.16</v>
      </c>
      <c r="M485" s="54"/>
      <c r="N485" s="56"/>
      <c r="V485" s="74">
        <v>109</v>
      </c>
      <c r="W485" s="74" t="s">
        <v>30</v>
      </c>
      <c r="X485" s="13">
        <v>10.17</v>
      </c>
      <c r="Y485" s="13">
        <v>88.22</v>
      </c>
      <c r="Z485" s="13">
        <f t="shared" si="395"/>
        <v>98.39</v>
      </c>
      <c r="AB485" s="74">
        <v>109</v>
      </c>
      <c r="AC485" s="74" t="s">
        <v>30</v>
      </c>
      <c r="AD485" s="13">
        <v>13.1</v>
      </c>
      <c r="AE485" s="13">
        <v>113.65</v>
      </c>
      <c r="AF485" s="13">
        <f t="shared" si="396"/>
        <v>126.75</v>
      </c>
      <c r="AH485" s="89">
        <f t="shared" si="397"/>
        <v>-0.2916030534351145</v>
      </c>
      <c r="AI485" s="89">
        <f t="shared" si="398"/>
        <v>-0.26124065112186545</v>
      </c>
      <c r="AJ485" s="89">
        <f t="shared" si="399"/>
        <v>-0.26437869822485216</v>
      </c>
    </row>
    <row r="486" spans="1:36" x14ac:dyDescent="0.3">
      <c r="A486" s="21" t="s">
        <v>975</v>
      </c>
      <c r="B486" s="11" t="s">
        <v>976</v>
      </c>
      <c r="C486" s="12">
        <f t="shared" si="391"/>
        <v>58</v>
      </c>
      <c r="D486" s="41" t="str">
        <f t="shared" si="392"/>
        <v>m²</v>
      </c>
      <c r="E486" s="41">
        <v>752.64</v>
      </c>
      <c r="F486" s="41">
        <v>83.96</v>
      </c>
      <c r="G486" s="41">
        <f t="shared" si="383"/>
        <v>836.6</v>
      </c>
      <c r="H486" s="13">
        <f t="shared" si="393"/>
        <v>43653.120000000003</v>
      </c>
      <c r="I486" s="13">
        <f t="shared" si="394"/>
        <v>4869.6799999999994</v>
      </c>
      <c r="J486" s="14">
        <f t="shared" si="380"/>
        <v>48522.8</v>
      </c>
      <c r="M486" s="54"/>
      <c r="N486" s="56"/>
      <c r="V486" s="74">
        <v>58</v>
      </c>
      <c r="W486" s="74" t="s">
        <v>60</v>
      </c>
      <c r="X486" s="13">
        <v>1024.69</v>
      </c>
      <c r="Y486" s="13">
        <v>88.22</v>
      </c>
      <c r="Z486" s="13">
        <f t="shared" si="395"/>
        <v>1112.9100000000001</v>
      </c>
      <c r="AB486" s="74">
        <v>58</v>
      </c>
      <c r="AC486" s="74" t="s">
        <v>60</v>
      </c>
      <c r="AD486" s="13">
        <v>1320.01</v>
      </c>
      <c r="AE486" s="13">
        <v>113.65</v>
      </c>
      <c r="AF486" s="13">
        <f t="shared" si="396"/>
        <v>1433.66</v>
      </c>
      <c r="AH486" s="89">
        <f t="shared" si="397"/>
        <v>-0.4298225013446868</v>
      </c>
      <c r="AI486" s="89">
        <f t="shared" si="398"/>
        <v>-0.26124065112186545</v>
      </c>
      <c r="AJ486" s="89">
        <f t="shared" si="399"/>
        <v>-0.41645857455742652</v>
      </c>
    </row>
    <row r="487" spans="1:36" x14ac:dyDescent="0.3">
      <c r="A487" s="21" t="s">
        <v>977</v>
      </c>
      <c r="B487" s="11" t="s">
        <v>978</v>
      </c>
      <c r="C487" s="12">
        <f t="shared" si="391"/>
        <v>63</v>
      </c>
      <c r="D487" s="41" t="str">
        <f t="shared" si="392"/>
        <v>m²</v>
      </c>
      <c r="E487" s="41">
        <v>18.48</v>
      </c>
      <c r="F487" s="41">
        <v>18.54</v>
      </c>
      <c r="G487" s="41">
        <f t="shared" si="383"/>
        <v>37.019999999999996</v>
      </c>
      <c r="H487" s="13">
        <f t="shared" si="393"/>
        <v>1164.24</v>
      </c>
      <c r="I487" s="13">
        <f t="shared" si="394"/>
        <v>1168.02</v>
      </c>
      <c r="J487" s="14">
        <f t="shared" si="380"/>
        <v>2332.2599999999998</v>
      </c>
      <c r="M487" s="54"/>
      <c r="N487" s="56"/>
      <c r="V487" s="74">
        <v>63</v>
      </c>
      <c r="W487" s="74" t="s">
        <v>60</v>
      </c>
      <c r="X487" s="13">
        <v>24.05</v>
      </c>
      <c r="Y487" s="13">
        <v>19.62</v>
      </c>
      <c r="Z487" s="13">
        <f t="shared" si="395"/>
        <v>43.67</v>
      </c>
      <c r="AB487" s="74">
        <v>63</v>
      </c>
      <c r="AC487" s="74" t="s">
        <v>60</v>
      </c>
      <c r="AD487" s="13">
        <v>30.98</v>
      </c>
      <c r="AE487" s="13">
        <v>25.27</v>
      </c>
      <c r="AF487" s="13">
        <f t="shared" si="396"/>
        <v>56.25</v>
      </c>
      <c r="AH487" s="89">
        <f t="shared" si="397"/>
        <v>-0.40348612007746931</v>
      </c>
      <c r="AI487" s="89">
        <f t="shared" si="398"/>
        <v>-0.26632370399683425</v>
      </c>
      <c r="AJ487" s="89">
        <f t="shared" si="399"/>
        <v>-0.34186666666666676</v>
      </c>
    </row>
    <row r="488" spans="1:36" x14ac:dyDescent="0.3">
      <c r="A488" s="21" t="s">
        <v>979</v>
      </c>
      <c r="B488" s="11" t="s">
        <v>980</v>
      </c>
      <c r="C488" s="12">
        <f t="shared" si="391"/>
        <v>1</v>
      </c>
      <c r="D488" s="41" t="str">
        <f t="shared" si="392"/>
        <v xml:space="preserve">un </v>
      </c>
      <c r="E488" s="41">
        <v>105.99</v>
      </c>
      <c r="F488" s="41">
        <v>43.11</v>
      </c>
      <c r="G488" s="41">
        <f t="shared" si="383"/>
        <v>149.1</v>
      </c>
      <c r="H488" s="13">
        <f t="shared" si="393"/>
        <v>105.99</v>
      </c>
      <c r="I488" s="13">
        <f t="shared" si="394"/>
        <v>43.11</v>
      </c>
      <c r="J488" s="14">
        <f t="shared" si="380"/>
        <v>149.1</v>
      </c>
      <c r="M488" s="54"/>
      <c r="N488" s="56"/>
      <c r="V488" s="74">
        <v>1</v>
      </c>
      <c r="W488" s="74" t="s">
        <v>30</v>
      </c>
      <c r="X488" s="13">
        <v>153.08000000000001</v>
      </c>
      <c r="Y488" s="13">
        <v>45.25</v>
      </c>
      <c r="Z488" s="13">
        <f t="shared" si="395"/>
        <v>198.33</v>
      </c>
      <c r="AB488" s="74">
        <v>1</v>
      </c>
      <c r="AC488" s="74" t="s">
        <v>30</v>
      </c>
      <c r="AD488" s="13">
        <v>197.2</v>
      </c>
      <c r="AE488" s="13">
        <v>58.29</v>
      </c>
      <c r="AF488" s="13">
        <f t="shared" si="396"/>
        <v>255.48999999999998</v>
      </c>
      <c r="AH488" s="89">
        <f t="shared" si="397"/>
        <v>-0.46252535496957403</v>
      </c>
      <c r="AI488" s="89">
        <f t="shared" si="398"/>
        <v>-0.26042202779207413</v>
      </c>
      <c r="AJ488" s="89">
        <f t="shared" si="399"/>
        <v>-0.4164155152843555</v>
      </c>
    </row>
    <row r="489" spans="1:36" x14ac:dyDescent="0.3">
      <c r="A489" s="21" t="s">
        <v>981</v>
      </c>
      <c r="B489" s="11" t="s">
        <v>982</v>
      </c>
      <c r="C489" s="12">
        <f t="shared" si="391"/>
        <v>165</v>
      </c>
      <c r="D489" s="41" t="str">
        <f t="shared" si="392"/>
        <v>UN</v>
      </c>
      <c r="E489" s="41">
        <v>6.79</v>
      </c>
      <c r="F489" s="41">
        <v>1.41</v>
      </c>
      <c r="G489" s="41">
        <f t="shared" si="383"/>
        <v>8.1999999999999993</v>
      </c>
      <c r="H489" s="13">
        <f t="shared" si="393"/>
        <v>1120.3499999999999</v>
      </c>
      <c r="I489" s="13">
        <f t="shared" si="394"/>
        <v>232.64999999999998</v>
      </c>
      <c r="J489" s="14">
        <f t="shared" si="380"/>
        <v>1352.9999999999998</v>
      </c>
      <c r="M489" s="54"/>
      <c r="N489" s="56"/>
      <c r="V489" s="74">
        <v>165</v>
      </c>
      <c r="W489" s="74" t="s">
        <v>47</v>
      </c>
      <c r="X489" s="13">
        <v>8.27</v>
      </c>
      <c r="Y489" s="13">
        <v>1.48</v>
      </c>
      <c r="Z489" s="13">
        <f t="shared" si="395"/>
        <v>9.75</v>
      </c>
      <c r="AB489" s="74">
        <v>165</v>
      </c>
      <c r="AC489" s="74" t="s">
        <v>47</v>
      </c>
      <c r="AD489" s="13">
        <v>10.65</v>
      </c>
      <c r="AE489" s="13">
        <v>1.91</v>
      </c>
      <c r="AF489" s="13">
        <f t="shared" si="396"/>
        <v>12.56</v>
      </c>
      <c r="AH489" s="89">
        <f t="shared" si="397"/>
        <v>-0.36244131455399065</v>
      </c>
      <c r="AI489" s="89">
        <f t="shared" si="398"/>
        <v>-0.26178010471204194</v>
      </c>
      <c r="AJ489" s="89">
        <f t="shared" si="399"/>
        <v>-0.34713375796178347</v>
      </c>
    </row>
    <row r="490" spans="1:36" x14ac:dyDescent="0.3">
      <c r="A490" s="21" t="s">
        <v>983</v>
      </c>
      <c r="B490" s="11" t="s">
        <v>984</v>
      </c>
      <c r="C490" s="12">
        <f t="shared" si="391"/>
        <v>1</v>
      </c>
      <c r="D490" s="41" t="str">
        <f t="shared" si="392"/>
        <v xml:space="preserve">un </v>
      </c>
      <c r="E490" s="41">
        <v>9.68</v>
      </c>
      <c r="F490" s="41">
        <v>4.3099999999999996</v>
      </c>
      <c r="G490" s="41">
        <f t="shared" ref="G490:G501" si="400">F490+E490</f>
        <v>13.989999999999998</v>
      </c>
      <c r="H490" s="13">
        <f t="shared" ref="H490:H501" si="401">C490*E490</f>
        <v>9.68</v>
      </c>
      <c r="I490" s="13">
        <f t="shared" ref="I490:I501" si="402">C490*F490</f>
        <v>4.3099999999999996</v>
      </c>
      <c r="J490" s="14">
        <f t="shared" ref="J490:J501" si="403">SUM(E490:F490)*C490</f>
        <v>13.989999999999998</v>
      </c>
      <c r="M490" s="54"/>
      <c r="N490" s="56"/>
      <c r="V490" s="74">
        <v>1</v>
      </c>
      <c r="W490" s="74" t="s">
        <v>30</v>
      </c>
      <c r="X490" s="13">
        <v>13.99</v>
      </c>
      <c r="Y490" s="13">
        <v>4.53</v>
      </c>
      <c r="Z490" s="13">
        <f t="shared" ref="Z490:Z501" si="404">SUM(X490:Y490)</f>
        <v>18.52</v>
      </c>
      <c r="AB490" s="74">
        <v>1</v>
      </c>
      <c r="AC490" s="74" t="s">
        <v>30</v>
      </c>
      <c r="AD490" s="13">
        <v>18.02</v>
      </c>
      <c r="AE490" s="13">
        <v>5.84</v>
      </c>
      <c r="AF490" s="13">
        <f t="shared" ref="AF490:AF504" si="405">SUM(AD490:AE490)</f>
        <v>23.86</v>
      </c>
      <c r="AH490" s="89">
        <f t="shared" si="397"/>
        <v>-0.462819089900111</v>
      </c>
      <c r="AI490" s="89">
        <f t="shared" si="398"/>
        <v>-0.26198630136986312</v>
      </c>
      <c r="AJ490" s="89">
        <f t="shared" si="399"/>
        <v>-0.41366303436714169</v>
      </c>
    </row>
    <row r="491" spans="1:36" x14ac:dyDescent="0.3">
      <c r="A491" s="21" t="s">
        <v>985</v>
      </c>
      <c r="B491" s="11" t="s">
        <v>986</v>
      </c>
      <c r="C491" s="12">
        <f t="shared" si="391"/>
        <v>1</v>
      </c>
      <c r="D491" s="41" t="str">
        <f t="shared" si="392"/>
        <v xml:space="preserve">un </v>
      </c>
      <c r="E491" s="41">
        <v>11.83</v>
      </c>
      <c r="F491" s="41">
        <v>4.3099999999999996</v>
      </c>
      <c r="G491" s="41">
        <f t="shared" ref="G491:G499" si="406">F491+E491</f>
        <v>16.14</v>
      </c>
      <c r="H491" s="13">
        <f t="shared" ref="H491:H499" si="407">C491*E491</f>
        <v>11.83</v>
      </c>
      <c r="I491" s="13">
        <f t="shared" ref="I491:I499" si="408">C491*F491</f>
        <v>4.3099999999999996</v>
      </c>
      <c r="J491" s="14">
        <f t="shared" ref="J491:J499" si="409">SUM(E491:F491)*C491</f>
        <v>16.14</v>
      </c>
      <c r="M491" s="54"/>
      <c r="N491" s="56"/>
      <c r="V491" s="74">
        <v>1</v>
      </c>
      <c r="W491" s="74" t="s">
        <v>30</v>
      </c>
      <c r="X491" s="13">
        <v>13</v>
      </c>
      <c r="Y491" s="13">
        <v>4.53</v>
      </c>
      <c r="Z491" s="13">
        <f t="shared" ref="Z491:Z499" si="410">SUM(X491:Y491)</f>
        <v>17.53</v>
      </c>
      <c r="AB491" s="74">
        <v>1</v>
      </c>
      <c r="AC491" s="74" t="s">
        <v>30</v>
      </c>
      <c r="AD491" s="13">
        <v>16.75</v>
      </c>
      <c r="AE491" s="13">
        <v>5.84</v>
      </c>
      <c r="AF491" s="13">
        <f t="shared" si="405"/>
        <v>22.59</v>
      </c>
      <c r="AH491" s="89">
        <f t="shared" si="397"/>
        <v>-0.29373134328358208</v>
      </c>
      <c r="AI491" s="89">
        <f t="shared" si="398"/>
        <v>-0.26198630136986312</v>
      </c>
      <c r="AJ491" s="89">
        <f t="shared" si="399"/>
        <v>-0.28552456839309426</v>
      </c>
    </row>
    <row r="492" spans="1:36" x14ac:dyDescent="0.3">
      <c r="A492" s="21" t="s">
        <v>987</v>
      </c>
      <c r="B492" s="11" t="s">
        <v>988</v>
      </c>
      <c r="C492" s="12">
        <f t="shared" si="391"/>
        <v>1</v>
      </c>
      <c r="D492" s="41" t="str">
        <f t="shared" si="392"/>
        <v>m</v>
      </c>
      <c r="E492" s="41">
        <v>109.01</v>
      </c>
      <c r="F492" s="41">
        <v>60.18</v>
      </c>
      <c r="G492" s="41">
        <f t="shared" si="406"/>
        <v>169.19</v>
      </c>
      <c r="H492" s="13">
        <f t="shared" si="407"/>
        <v>109.01</v>
      </c>
      <c r="I492" s="13">
        <f t="shared" si="408"/>
        <v>60.18</v>
      </c>
      <c r="J492" s="14">
        <f t="shared" si="409"/>
        <v>169.19</v>
      </c>
      <c r="M492" s="54"/>
      <c r="N492" s="56"/>
      <c r="V492" s="74">
        <v>1</v>
      </c>
      <c r="W492" s="74" t="s">
        <v>76</v>
      </c>
      <c r="X492" s="13">
        <v>119.4</v>
      </c>
      <c r="Y492" s="13">
        <v>63.11</v>
      </c>
      <c r="Z492" s="13">
        <f t="shared" si="410"/>
        <v>182.51</v>
      </c>
      <c r="AB492" s="74">
        <v>1</v>
      </c>
      <c r="AC492" s="74" t="s">
        <v>76</v>
      </c>
      <c r="AD492" s="13">
        <v>153.81</v>
      </c>
      <c r="AE492" s="13">
        <v>81.3</v>
      </c>
      <c r="AF492" s="13">
        <f t="shared" si="405"/>
        <v>235.11</v>
      </c>
      <c r="AH492" s="89">
        <f t="shared" si="397"/>
        <v>-0.29126844808530006</v>
      </c>
      <c r="AI492" s="89">
        <f t="shared" si="398"/>
        <v>-0.25977859778597778</v>
      </c>
      <c r="AJ492" s="89">
        <f t="shared" si="399"/>
        <v>-0.28037939687805713</v>
      </c>
    </row>
    <row r="493" spans="1:36" x14ac:dyDescent="0.3">
      <c r="A493" s="21" t="s">
        <v>989</v>
      </c>
      <c r="B493" s="11" t="s">
        <v>990</v>
      </c>
      <c r="C493" s="12">
        <f t="shared" si="391"/>
        <v>1</v>
      </c>
      <c r="D493" s="41" t="str">
        <f t="shared" si="392"/>
        <v>un</v>
      </c>
      <c r="E493" s="41">
        <v>13.46</v>
      </c>
      <c r="F493" s="41">
        <v>3.5</v>
      </c>
      <c r="G493" s="41">
        <f t="shared" si="406"/>
        <v>16.96</v>
      </c>
      <c r="H493" s="13">
        <f t="shared" si="407"/>
        <v>13.46</v>
      </c>
      <c r="I493" s="13">
        <f t="shared" si="408"/>
        <v>3.5</v>
      </c>
      <c r="J493" s="14">
        <f t="shared" si="409"/>
        <v>16.96</v>
      </c>
      <c r="M493" s="54"/>
      <c r="N493" s="56"/>
      <c r="V493" s="74">
        <v>1</v>
      </c>
      <c r="W493" s="74" t="s">
        <v>110</v>
      </c>
      <c r="X493" s="13">
        <v>14.48</v>
      </c>
      <c r="Y493" s="13">
        <v>3.69</v>
      </c>
      <c r="Z493" s="13">
        <f t="shared" si="410"/>
        <v>18.170000000000002</v>
      </c>
      <c r="AB493" s="74">
        <v>1</v>
      </c>
      <c r="AC493" s="74" t="s">
        <v>110</v>
      </c>
      <c r="AD493" s="13">
        <v>18.649999999999999</v>
      </c>
      <c r="AE493" s="13">
        <v>4.75</v>
      </c>
      <c r="AF493" s="13">
        <f t="shared" si="405"/>
        <v>23.4</v>
      </c>
      <c r="AH493" s="89">
        <f t="shared" si="397"/>
        <v>-0.2782841823056299</v>
      </c>
      <c r="AI493" s="89">
        <f t="shared" si="398"/>
        <v>-0.26315789473684215</v>
      </c>
      <c r="AJ493" s="89">
        <f t="shared" si="399"/>
        <v>-0.27521367521367512</v>
      </c>
    </row>
    <row r="494" spans="1:36" x14ac:dyDescent="0.3">
      <c r="A494" s="21" t="s">
        <v>991</v>
      </c>
      <c r="B494" s="11" t="s">
        <v>992</v>
      </c>
      <c r="C494" s="12">
        <f t="shared" si="391"/>
        <v>1</v>
      </c>
      <c r="D494" s="41" t="str">
        <f t="shared" si="392"/>
        <v>H</v>
      </c>
      <c r="E494" s="41">
        <v>223.97</v>
      </c>
      <c r="F494" s="41">
        <v>19.850000000000001</v>
      </c>
      <c r="G494" s="41">
        <f t="shared" si="406"/>
        <v>243.82</v>
      </c>
      <c r="H494" s="13">
        <f t="shared" si="407"/>
        <v>223.97</v>
      </c>
      <c r="I494" s="13">
        <f t="shared" si="408"/>
        <v>19.850000000000001</v>
      </c>
      <c r="J494" s="14">
        <f t="shared" si="409"/>
        <v>243.82</v>
      </c>
      <c r="M494" s="54"/>
      <c r="N494" s="56"/>
      <c r="V494" s="74">
        <v>1</v>
      </c>
      <c r="W494" s="74" t="s">
        <v>789</v>
      </c>
      <c r="X494" s="13">
        <v>269.10000000000002</v>
      </c>
      <c r="Y494" s="13">
        <v>20.98</v>
      </c>
      <c r="Z494" s="13">
        <f t="shared" si="410"/>
        <v>290.08000000000004</v>
      </c>
      <c r="AB494" s="74">
        <v>1</v>
      </c>
      <c r="AC494" s="74" t="s">
        <v>789</v>
      </c>
      <c r="AD494" s="13">
        <v>346.65</v>
      </c>
      <c r="AE494" s="13">
        <v>27.03</v>
      </c>
      <c r="AF494" s="13">
        <f t="shared" si="405"/>
        <v>373.67999999999995</v>
      </c>
      <c r="AH494" s="89">
        <f t="shared" si="397"/>
        <v>-0.35390162988605223</v>
      </c>
      <c r="AI494" s="89">
        <f t="shared" si="398"/>
        <v>-0.26563078061413248</v>
      </c>
      <c r="AJ494" s="89">
        <f t="shared" si="399"/>
        <v>-0.34751659173624483</v>
      </c>
    </row>
    <row r="495" spans="1:36" x14ac:dyDescent="0.3">
      <c r="A495" s="21" t="s">
        <v>993</v>
      </c>
      <c r="B495" s="11" t="s">
        <v>994</v>
      </c>
      <c r="C495" s="12">
        <f t="shared" si="391"/>
        <v>1</v>
      </c>
      <c r="D495" s="41" t="str">
        <f t="shared" si="392"/>
        <v>un</v>
      </c>
      <c r="E495" s="41">
        <v>1629.97</v>
      </c>
      <c r="F495" s="41">
        <v>210.76</v>
      </c>
      <c r="G495" s="41">
        <f t="shared" si="406"/>
        <v>1840.73</v>
      </c>
      <c r="H495" s="13">
        <f t="shared" si="407"/>
        <v>1629.97</v>
      </c>
      <c r="I495" s="13">
        <f t="shared" si="408"/>
        <v>210.76</v>
      </c>
      <c r="J495" s="14">
        <f t="shared" si="409"/>
        <v>1840.73</v>
      </c>
      <c r="M495" s="54"/>
      <c r="N495" s="56"/>
      <c r="V495" s="74">
        <v>1</v>
      </c>
      <c r="W495" s="74" t="s">
        <v>110</v>
      </c>
      <c r="X495" s="13">
        <v>1830.3</v>
      </c>
      <c r="Y495" s="13">
        <v>221.48</v>
      </c>
      <c r="Z495" s="13">
        <f t="shared" si="410"/>
        <v>2051.7799999999997</v>
      </c>
      <c r="AB495" s="74">
        <v>1</v>
      </c>
      <c r="AC495" s="74" t="s">
        <v>110</v>
      </c>
      <c r="AD495" s="13">
        <v>2357.79</v>
      </c>
      <c r="AE495" s="13">
        <v>285.31</v>
      </c>
      <c r="AF495" s="13">
        <f t="shared" si="405"/>
        <v>2643.1</v>
      </c>
      <c r="AH495" s="89">
        <f t="shared" si="397"/>
        <v>-0.30868737249712652</v>
      </c>
      <c r="AI495" s="89">
        <f t="shared" si="398"/>
        <v>-0.26129473204584486</v>
      </c>
      <c r="AJ495" s="89">
        <f t="shared" si="399"/>
        <v>-0.30357156369414695</v>
      </c>
    </row>
    <row r="496" spans="1:36" x14ac:dyDescent="0.3">
      <c r="A496" s="21" t="s">
        <v>995</v>
      </c>
      <c r="B496" s="11" t="s">
        <v>996</v>
      </c>
      <c r="C496" s="12">
        <f t="shared" si="391"/>
        <v>1</v>
      </c>
      <c r="D496" s="41" t="str">
        <f t="shared" si="392"/>
        <v>un</v>
      </c>
      <c r="E496" s="41">
        <v>1307.3</v>
      </c>
      <c r="F496" s="41">
        <v>210.76</v>
      </c>
      <c r="G496" s="41">
        <f t="shared" si="406"/>
        <v>1518.06</v>
      </c>
      <c r="H496" s="13">
        <f t="shared" si="407"/>
        <v>1307.3</v>
      </c>
      <c r="I496" s="13">
        <f t="shared" si="408"/>
        <v>210.76</v>
      </c>
      <c r="J496" s="14">
        <f t="shared" si="409"/>
        <v>1518.06</v>
      </c>
      <c r="M496" s="54"/>
      <c r="N496" s="56"/>
      <c r="V496" s="74">
        <v>1</v>
      </c>
      <c r="W496" s="74" t="s">
        <v>110</v>
      </c>
      <c r="X496" s="13">
        <v>1467.97</v>
      </c>
      <c r="Y496" s="13">
        <v>221.48</v>
      </c>
      <c r="Z496" s="13">
        <f t="shared" si="410"/>
        <v>1689.45</v>
      </c>
      <c r="AB496" s="74">
        <v>1</v>
      </c>
      <c r="AC496" s="74" t="s">
        <v>110</v>
      </c>
      <c r="AD496" s="13">
        <v>1891.04</v>
      </c>
      <c r="AE496" s="13">
        <v>285.31</v>
      </c>
      <c r="AF496" s="13">
        <f t="shared" si="405"/>
        <v>2176.35</v>
      </c>
      <c r="AH496" s="89">
        <f t="shared" si="397"/>
        <v>-0.30868728318808702</v>
      </c>
      <c r="AI496" s="89">
        <f t="shared" si="398"/>
        <v>-0.26129473204584486</v>
      </c>
      <c r="AJ496" s="89">
        <f t="shared" si="399"/>
        <v>-0.30247432628023985</v>
      </c>
    </row>
    <row r="497" spans="1:36" x14ac:dyDescent="0.3">
      <c r="A497" s="21" t="s">
        <v>997</v>
      </c>
      <c r="B497" s="11" t="s">
        <v>998</v>
      </c>
      <c r="C497" s="12">
        <f t="shared" si="391"/>
        <v>1</v>
      </c>
      <c r="D497" s="41" t="str">
        <f t="shared" si="392"/>
        <v>un</v>
      </c>
      <c r="E497" s="41">
        <v>2813.61</v>
      </c>
      <c r="F497" s="41">
        <v>856.64</v>
      </c>
      <c r="G497" s="41">
        <f t="shared" si="406"/>
        <v>3670.25</v>
      </c>
      <c r="H497" s="13">
        <f t="shared" si="407"/>
        <v>2813.61</v>
      </c>
      <c r="I497" s="13">
        <f t="shared" si="408"/>
        <v>856.64</v>
      </c>
      <c r="J497" s="14">
        <f t="shared" si="409"/>
        <v>3670.25</v>
      </c>
      <c r="M497" s="54"/>
      <c r="N497" s="56"/>
      <c r="V497" s="74">
        <v>1</v>
      </c>
      <c r="W497" s="74" t="s">
        <v>110</v>
      </c>
      <c r="X497" s="13">
        <v>3391.13</v>
      </c>
      <c r="Y497" s="13">
        <v>900.11</v>
      </c>
      <c r="Z497" s="13">
        <f t="shared" si="410"/>
        <v>4291.24</v>
      </c>
      <c r="AB497" s="74">
        <v>1</v>
      </c>
      <c r="AC497" s="74" t="s">
        <v>110</v>
      </c>
      <c r="AD497" s="13">
        <v>4368.45</v>
      </c>
      <c r="AE497" s="13">
        <v>1159.52</v>
      </c>
      <c r="AF497" s="13">
        <f t="shared" si="405"/>
        <v>5527.9699999999993</v>
      </c>
      <c r="AH497" s="89">
        <f t="shared" si="397"/>
        <v>-0.35592487037736487</v>
      </c>
      <c r="AI497" s="89">
        <f t="shared" si="398"/>
        <v>-0.26121153580792056</v>
      </c>
      <c r="AJ497" s="89">
        <f t="shared" si="399"/>
        <v>-0.33605826370258873</v>
      </c>
    </row>
    <row r="498" spans="1:36" x14ac:dyDescent="0.3">
      <c r="A498" s="21" t="s">
        <v>999</v>
      </c>
      <c r="B498" s="11" t="s">
        <v>1000</v>
      </c>
      <c r="C498" s="12">
        <f t="shared" si="391"/>
        <v>1</v>
      </c>
      <c r="D498" s="41" t="str">
        <f t="shared" si="392"/>
        <v>un</v>
      </c>
      <c r="E498" s="41">
        <v>1890.59</v>
      </c>
      <c r="F498" s="41">
        <v>571.09</v>
      </c>
      <c r="G498" s="41">
        <f t="shared" si="406"/>
        <v>2461.6799999999998</v>
      </c>
      <c r="H498" s="13">
        <f t="shared" si="407"/>
        <v>1890.59</v>
      </c>
      <c r="I498" s="13">
        <f t="shared" si="408"/>
        <v>571.09</v>
      </c>
      <c r="J498" s="14">
        <f t="shared" si="409"/>
        <v>2461.6799999999998</v>
      </c>
      <c r="M498" s="54"/>
      <c r="N498" s="56"/>
      <c r="V498" s="74">
        <v>1</v>
      </c>
      <c r="W498" s="74" t="s">
        <v>110</v>
      </c>
      <c r="X498" s="13">
        <v>2282.21</v>
      </c>
      <c r="Y498" s="13">
        <v>600.07000000000005</v>
      </c>
      <c r="Z498" s="13">
        <f t="shared" si="410"/>
        <v>2882.28</v>
      </c>
      <c r="AB498" s="74">
        <v>1</v>
      </c>
      <c r="AC498" s="74" t="s">
        <v>110</v>
      </c>
      <c r="AD498" s="13">
        <v>2939.94</v>
      </c>
      <c r="AE498" s="13">
        <v>773.01</v>
      </c>
      <c r="AF498" s="13">
        <f t="shared" si="405"/>
        <v>3712.95</v>
      </c>
      <c r="AH498" s="89">
        <f t="shared" si="397"/>
        <v>-0.35692905297387023</v>
      </c>
      <c r="AI498" s="89">
        <f t="shared" si="398"/>
        <v>-0.2612126621906572</v>
      </c>
      <c r="AJ498" s="89">
        <f t="shared" si="399"/>
        <v>-0.33700157556659804</v>
      </c>
    </row>
    <row r="499" spans="1:36" x14ac:dyDescent="0.3">
      <c r="A499" s="21" t="s">
        <v>1001</v>
      </c>
      <c r="B499" s="11" t="s">
        <v>1002</v>
      </c>
      <c r="C499" s="12">
        <f t="shared" si="391"/>
        <v>1</v>
      </c>
      <c r="D499" s="41" t="str">
        <f t="shared" si="392"/>
        <v>un</v>
      </c>
      <c r="E499" s="41">
        <v>3970.64</v>
      </c>
      <c r="F499" s="41">
        <v>477.95</v>
      </c>
      <c r="G499" s="41">
        <f t="shared" si="406"/>
        <v>4448.59</v>
      </c>
      <c r="H499" s="13">
        <f t="shared" si="407"/>
        <v>3970.64</v>
      </c>
      <c r="I499" s="13">
        <f t="shared" si="408"/>
        <v>477.95</v>
      </c>
      <c r="J499" s="14">
        <f t="shared" si="409"/>
        <v>4448.59</v>
      </c>
      <c r="M499" s="54"/>
      <c r="N499" s="56"/>
      <c r="V499" s="74">
        <v>1</v>
      </c>
      <c r="W499" s="74" t="s">
        <v>110</v>
      </c>
      <c r="X499" s="13">
        <v>4782.18</v>
      </c>
      <c r="Y499" s="13">
        <v>502.25</v>
      </c>
      <c r="Z499" s="13">
        <f t="shared" si="410"/>
        <v>5284.43</v>
      </c>
      <c r="AB499" s="74">
        <v>1</v>
      </c>
      <c r="AC499" s="74" t="s">
        <v>110</v>
      </c>
      <c r="AD499" s="13">
        <v>6160.4</v>
      </c>
      <c r="AE499" s="13">
        <v>647</v>
      </c>
      <c r="AF499" s="13">
        <f t="shared" si="405"/>
        <v>6807.4</v>
      </c>
      <c r="AH499" s="89">
        <f t="shared" si="397"/>
        <v>-0.35545743782871242</v>
      </c>
      <c r="AI499" s="89">
        <f t="shared" si="398"/>
        <v>-0.26128284389489953</v>
      </c>
      <c r="AJ499" s="89">
        <f t="shared" si="399"/>
        <v>-0.34650674266239678</v>
      </c>
    </row>
    <row r="500" spans="1:36" x14ac:dyDescent="0.3">
      <c r="A500" s="21" t="s">
        <v>1003</v>
      </c>
      <c r="B500" s="11" t="s">
        <v>1004</v>
      </c>
      <c r="C500" s="12">
        <f t="shared" si="391"/>
        <v>1</v>
      </c>
      <c r="D500" s="41" t="str">
        <f t="shared" si="392"/>
        <v>un</v>
      </c>
      <c r="E500" s="41">
        <v>5109.12</v>
      </c>
      <c r="F500" s="41">
        <v>1106.8699999999999</v>
      </c>
      <c r="G500" s="41">
        <f t="shared" si="400"/>
        <v>6215.99</v>
      </c>
      <c r="H500" s="13">
        <f t="shared" si="401"/>
        <v>5109.12</v>
      </c>
      <c r="I500" s="13">
        <f t="shared" si="402"/>
        <v>1106.8699999999999</v>
      </c>
      <c r="J500" s="14">
        <f t="shared" si="403"/>
        <v>6215.99</v>
      </c>
      <c r="M500" s="54"/>
      <c r="N500" s="56"/>
      <c r="V500" s="74">
        <v>1</v>
      </c>
      <c r="W500" s="74" t="s">
        <v>110</v>
      </c>
      <c r="X500" s="13">
        <v>6147.44</v>
      </c>
      <c r="Y500" s="13">
        <v>1163.02</v>
      </c>
      <c r="Z500" s="13">
        <f t="shared" si="404"/>
        <v>7310.4599999999991</v>
      </c>
      <c r="AB500" s="74">
        <v>1</v>
      </c>
      <c r="AC500" s="74" t="s">
        <v>110</v>
      </c>
      <c r="AD500" s="13">
        <v>7919.13</v>
      </c>
      <c r="AE500" s="13">
        <v>1498.2</v>
      </c>
      <c r="AF500" s="13">
        <f t="shared" si="405"/>
        <v>9417.33</v>
      </c>
      <c r="AH500" s="89">
        <f t="shared" si="397"/>
        <v>-0.35483822086517081</v>
      </c>
      <c r="AI500" s="89">
        <f t="shared" si="398"/>
        <v>-0.26120010679482053</v>
      </c>
      <c r="AJ500" s="89">
        <f t="shared" si="399"/>
        <v>-0.33994136342254122</v>
      </c>
    </row>
    <row r="501" spans="1:36" x14ac:dyDescent="0.3">
      <c r="A501" s="21" t="s">
        <v>1005</v>
      </c>
      <c r="B501" s="11" t="s">
        <v>1006</v>
      </c>
      <c r="C501" s="12">
        <f t="shared" si="391"/>
        <v>1</v>
      </c>
      <c r="D501" s="41" t="str">
        <f t="shared" si="392"/>
        <v>un</v>
      </c>
      <c r="E501" s="41">
        <v>5959.58</v>
      </c>
      <c r="F501" s="41">
        <v>1834.13</v>
      </c>
      <c r="G501" s="41">
        <f t="shared" si="400"/>
        <v>7793.71</v>
      </c>
      <c r="H501" s="13">
        <f t="shared" si="401"/>
        <v>5959.58</v>
      </c>
      <c r="I501" s="13">
        <f t="shared" si="402"/>
        <v>1834.13</v>
      </c>
      <c r="J501" s="14">
        <f t="shared" si="403"/>
        <v>7793.71</v>
      </c>
      <c r="M501" s="54"/>
      <c r="N501" s="56"/>
      <c r="V501" s="74">
        <v>1</v>
      </c>
      <c r="W501" s="74" t="s">
        <v>110</v>
      </c>
      <c r="X501" s="13">
        <v>7173.58</v>
      </c>
      <c r="Y501" s="13">
        <v>1927.21</v>
      </c>
      <c r="Z501" s="13">
        <f t="shared" si="404"/>
        <v>9100.7900000000009</v>
      </c>
      <c r="AB501" s="74">
        <v>1</v>
      </c>
      <c r="AC501" s="74" t="s">
        <v>110</v>
      </c>
      <c r="AD501" s="13">
        <v>9241.01</v>
      </c>
      <c r="AE501" s="13">
        <v>2482.63</v>
      </c>
      <c r="AF501" s="13">
        <f t="shared" si="405"/>
        <v>11723.64</v>
      </c>
      <c r="AH501" s="89">
        <f t="shared" si="397"/>
        <v>-0.35509430246260965</v>
      </c>
      <c r="AI501" s="89">
        <f t="shared" si="398"/>
        <v>-0.26121492127300483</v>
      </c>
      <c r="AJ501" s="89">
        <f t="shared" si="399"/>
        <v>-0.33521414850677778</v>
      </c>
    </row>
    <row r="502" spans="1:36" x14ac:dyDescent="0.3">
      <c r="A502" s="21" t="s">
        <v>1007</v>
      </c>
      <c r="B502" s="11" t="s">
        <v>1008</v>
      </c>
      <c r="C502" s="12">
        <f t="shared" si="391"/>
        <v>1</v>
      </c>
      <c r="D502" s="41" t="str">
        <f t="shared" si="392"/>
        <v>un</v>
      </c>
      <c r="E502" s="41">
        <v>7739.45</v>
      </c>
      <c r="F502" s="41">
        <v>1865.02</v>
      </c>
      <c r="G502" s="41">
        <f t="shared" ref="G502:G506" si="411">F502+E502</f>
        <v>9604.4699999999993</v>
      </c>
      <c r="H502" s="13">
        <f t="shared" ref="H502:H506" si="412">C502*E502</f>
        <v>7739.45</v>
      </c>
      <c r="I502" s="13">
        <f t="shared" ref="I502:I506" si="413">C502*F502</f>
        <v>1865.02</v>
      </c>
      <c r="J502" s="14">
        <f t="shared" ref="J502:J506" si="414">SUM(E502:F502)*C502</f>
        <v>9604.4699999999993</v>
      </c>
      <c r="M502" s="54"/>
      <c r="N502" s="56"/>
      <c r="V502" s="74">
        <v>1</v>
      </c>
      <c r="W502" s="74" t="s">
        <v>110</v>
      </c>
      <c r="X502" s="13">
        <v>9326.91</v>
      </c>
      <c r="Y502" s="13">
        <v>1959.65</v>
      </c>
      <c r="Z502" s="13">
        <f t="shared" ref="Z502:Z506" si="415">SUM(X502:Y502)</f>
        <v>11286.56</v>
      </c>
      <c r="AB502" s="74">
        <v>1</v>
      </c>
      <c r="AC502" s="74" t="s">
        <v>110</v>
      </c>
      <c r="AD502" s="13">
        <v>12014.93</v>
      </c>
      <c r="AE502" s="13">
        <v>2524.42</v>
      </c>
      <c r="AF502" s="13">
        <f t="shared" si="405"/>
        <v>14539.35</v>
      </c>
      <c r="AH502" s="89">
        <f t="shared" si="397"/>
        <v>-0.355847266692357</v>
      </c>
      <c r="AI502" s="89">
        <f t="shared" si="398"/>
        <v>-0.2612085152232988</v>
      </c>
      <c r="AJ502" s="89">
        <f t="shared" si="399"/>
        <v>-0.33941544842100924</v>
      </c>
    </row>
    <row r="503" spans="1:36" x14ac:dyDescent="0.3">
      <c r="A503" s="21" t="s">
        <v>1009</v>
      </c>
      <c r="B503" s="11" t="s">
        <v>1010</v>
      </c>
      <c r="C503" s="12">
        <f t="shared" si="391"/>
        <v>1</v>
      </c>
      <c r="D503" s="41" t="str">
        <f t="shared" si="392"/>
        <v>un</v>
      </c>
      <c r="E503" s="41">
        <v>5245.12</v>
      </c>
      <c r="F503" s="41">
        <v>1403.26</v>
      </c>
      <c r="G503" s="41">
        <f t="shared" si="411"/>
        <v>6648.38</v>
      </c>
      <c r="H503" s="13">
        <f t="shared" si="412"/>
        <v>5245.12</v>
      </c>
      <c r="I503" s="13">
        <f t="shared" si="413"/>
        <v>1403.26</v>
      </c>
      <c r="J503" s="14">
        <f t="shared" si="414"/>
        <v>6648.38</v>
      </c>
      <c r="M503" s="54"/>
      <c r="N503" s="56"/>
      <c r="V503" s="74">
        <v>1</v>
      </c>
      <c r="W503" s="74" t="s">
        <v>110</v>
      </c>
      <c r="X503" s="13">
        <v>5902.12</v>
      </c>
      <c r="Y503" s="13">
        <v>1474.63</v>
      </c>
      <c r="Z503" s="13">
        <f t="shared" si="415"/>
        <v>7376.75</v>
      </c>
      <c r="AB503" s="74">
        <v>1</v>
      </c>
      <c r="AC503" s="74" t="s">
        <v>110</v>
      </c>
      <c r="AD503" s="13">
        <v>7603.11</v>
      </c>
      <c r="AE503" s="13">
        <v>1899.62</v>
      </c>
      <c r="AF503" s="13">
        <f t="shared" si="405"/>
        <v>9502.73</v>
      </c>
      <c r="AH503" s="89">
        <f t="shared" si="397"/>
        <v>-0.31013493162666328</v>
      </c>
      <c r="AI503" s="89">
        <f t="shared" si="398"/>
        <v>-0.26129436413598506</v>
      </c>
      <c r="AJ503" s="89">
        <f t="shared" si="399"/>
        <v>-0.3003715774309067</v>
      </c>
    </row>
    <row r="504" spans="1:36" x14ac:dyDescent="0.3">
      <c r="A504" s="21" t="s">
        <v>1011</v>
      </c>
      <c r="B504" s="11" t="s">
        <v>1012</v>
      </c>
      <c r="C504" s="12">
        <f t="shared" si="391"/>
        <v>1</v>
      </c>
      <c r="D504" s="41" t="str">
        <f t="shared" si="392"/>
        <v>un</v>
      </c>
      <c r="E504" s="41">
        <v>9224.73</v>
      </c>
      <c r="F504" s="41">
        <v>2567.2800000000002</v>
      </c>
      <c r="G504" s="41">
        <f t="shared" ref="G504:G505" si="416">F504+E504</f>
        <v>11792.01</v>
      </c>
      <c r="H504" s="13">
        <f t="shared" ref="H504:H505" si="417">C504*E504</f>
        <v>9224.73</v>
      </c>
      <c r="I504" s="13">
        <f t="shared" ref="I504:I505" si="418">C504*F504</f>
        <v>2567.2800000000002</v>
      </c>
      <c r="J504" s="14">
        <f t="shared" ref="J504:J505" si="419">SUM(E504:F504)*C504</f>
        <v>11792.01</v>
      </c>
      <c r="M504" s="54"/>
      <c r="N504" s="56"/>
      <c r="V504" s="74">
        <v>1</v>
      </c>
      <c r="W504" s="74" t="s">
        <v>110</v>
      </c>
      <c r="X504" s="13">
        <v>10369.85</v>
      </c>
      <c r="Y504" s="13">
        <v>2697.84</v>
      </c>
      <c r="Z504" s="13">
        <f t="shared" ref="Z504" si="420">SUM(X504:Y504)</f>
        <v>13067.69</v>
      </c>
      <c r="AB504" s="74">
        <v>1</v>
      </c>
      <c r="AC504" s="74" t="s">
        <v>110</v>
      </c>
      <c r="AD504" s="13">
        <v>13358.44</v>
      </c>
      <c r="AE504" s="13">
        <v>3475.36</v>
      </c>
      <c r="AF504" s="13">
        <f t="shared" si="405"/>
        <v>16833.8</v>
      </c>
      <c r="AH504" s="89">
        <f t="shared" si="397"/>
        <v>-0.3094455640029824</v>
      </c>
      <c r="AI504" s="89">
        <f t="shared" si="398"/>
        <v>-0.2612909166244648</v>
      </c>
      <c r="AJ504" s="89">
        <f t="shared" si="399"/>
        <v>-0.29950397414725127</v>
      </c>
    </row>
    <row r="505" spans="1:36" x14ac:dyDescent="0.3">
      <c r="A505" s="21" t="s">
        <v>1013</v>
      </c>
      <c r="B505" s="11" t="s">
        <v>1014</v>
      </c>
      <c r="C505" s="12">
        <f t="shared" si="391"/>
        <v>1</v>
      </c>
      <c r="D505" s="41" t="str">
        <f t="shared" si="392"/>
        <v>un</v>
      </c>
      <c r="E505" s="41">
        <v>25527.21</v>
      </c>
      <c r="F505" s="41">
        <v>3042.72</v>
      </c>
      <c r="G505" s="41">
        <f t="shared" si="416"/>
        <v>28569.93</v>
      </c>
      <c r="H505" s="13">
        <f t="shared" si="417"/>
        <v>25527.21</v>
      </c>
      <c r="I505" s="13">
        <f t="shared" si="418"/>
        <v>3042.72</v>
      </c>
      <c r="J505" s="14">
        <f t="shared" si="419"/>
        <v>28569.93</v>
      </c>
      <c r="M505" s="54"/>
      <c r="N505" s="56"/>
      <c r="V505" s="74">
        <v>1</v>
      </c>
      <c r="W505" s="74" t="s">
        <v>110</v>
      </c>
      <c r="X505" s="13">
        <v>28583.56</v>
      </c>
      <c r="Y505" s="13">
        <v>3198.14</v>
      </c>
      <c r="Z505" s="13">
        <f t="shared" ref="Z505" si="421">SUM(X505:Y505)</f>
        <v>31781.7</v>
      </c>
      <c r="AB505" s="74">
        <v>1</v>
      </c>
      <c r="AC505" s="74" t="s">
        <v>110</v>
      </c>
      <c r="AD505" s="13">
        <v>36821.339999999997</v>
      </c>
      <c r="AE505" s="13">
        <v>4119.84</v>
      </c>
      <c r="AF505" s="13">
        <f t="shared" ref="AF505" si="422">SUM(AD505:AE505)</f>
        <v>40941.179999999993</v>
      </c>
      <c r="AH505" s="89">
        <f t="shared" si="397"/>
        <v>-0.30672783771584622</v>
      </c>
      <c r="AI505" s="89">
        <f t="shared" si="398"/>
        <v>-0.26144704648724226</v>
      </c>
      <c r="AJ505" s="89">
        <f t="shared" si="399"/>
        <v>-0.30217131015764553</v>
      </c>
    </row>
    <row r="506" spans="1:36" x14ac:dyDescent="0.3">
      <c r="A506" s="21" t="s">
        <v>1015</v>
      </c>
      <c r="B506" s="11" t="s">
        <v>1016</v>
      </c>
      <c r="C506" s="12">
        <f t="shared" si="391"/>
        <v>1</v>
      </c>
      <c r="D506" s="41" t="str">
        <f t="shared" si="392"/>
        <v>un</v>
      </c>
      <c r="E506" s="41">
        <v>5.55</v>
      </c>
      <c r="F506" s="41">
        <v>10.86</v>
      </c>
      <c r="G506" s="41">
        <f t="shared" si="411"/>
        <v>16.41</v>
      </c>
      <c r="H506" s="13">
        <f t="shared" si="412"/>
        <v>5.55</v>
      </c>
      <c r="I506" s="13">
        <f t="shared" si="413"/>
        <v>10.86</v>
      </c>
      <c r="J506" s="14">
        <f t="shared" si="414"/>
        <v>16.41</v>
      </c>
      <c r="M506" s="54"/>
      <c r="N506" s="56"/>
      <c r="V506" s="74">
        <v>1</v>
      </c>
      <c r="W506" s="74" t="s">
        <v>110</v>
      </c>
      <c r="X506" s="13">
        <v>7.61</v>
      </c>
      <c r="Y506" s="13">
        <v>11.5</v>
      </c>
      <c r="Z506" s="13">
        <f t="shared" si="415"/>
        <v>19.11</v>
      </c>
      <c r="AB506" s="74">
        <v>1</v>
      </c>
      <c r="AC506" s="74" t="s">
        <v>110</v>
      </c>
      <c r="AD506" s="13">
        <v>9.8000000000000007</v>
      </c>
      <c r="AE506" s="13">
        <v>14.81</v>
      </c>
      <c r="AF506" s="13">
        <f t="shared" ref="AF506" si="423">SUM(AD506:AE506)</f>
        <v>24.61</v>
      </c>
      <c r="AH506" s="89">
        <f t="shared" si="397"/>
        <v>-0.43367346938775519</v>
      </c>
      <c r="AI506" s="89">
        <f t="shared" si="398"/>
        <v>-0.26671168129642142</v>
      </c>
      <c r="AJ506" s="89">
        <f t="shared" si="399"/>
        <v>-0.33319788703778952</v>
      </c>
    </row>
    <row r="507" spans="1:36" x14ac:dyDescent="0.3">
      <c r="A507" s="21" t="s">
        <v>1017</v>
      </c>
      <c r="B507" s="11" t="s">
        <v>1018</v>
      </c>
      <c r="C507" s="12">
        <f t="shared" si="391"/>
        <v>1</v>
      </c>
      <c r="D507" s="41" t="str">
        <f t="shared" si="392"/>
        <v>m</v>
      </c>
      <c r="E507" s="41">
        <v>118.71</v>
      </c>
      <c r="F507" s="41">
        <v>27.07</v>
      </c>
      <c r="G507" s="41">
        <f t="shared" si="383"/>
        <v>145.78</v>
      </c>
      <c r="H507" s="13">
        <f t="shared" si="393"/>
        <v>118.71</v>
      </c>
      <c r="I507" s="13">
        <f t="shared" si="394"/>
        <v>27.07</v>
      </c>
      <c r="J507" s="14">
        <f t="shared" si="380"/>
        <v>145.78</v>
      </c>
      <c r="M507" s="54"/>
      <c r="N507" s="56"/>
      <c r="V507" s="74">
        <v>1</v>
      </c>
      <c r="W507" s="74" t="s">
        <v>76</v>
      </c>
      <c r="X507" s="13">
        <v>161.72</v>
      </c>
      <c r="Y507" s="13">
        <v>28.46</v>
      </c>
      <c r="Z507" s="13">
        <f t="shared" si="395"/>
        <v>190.18</v>
      </c>
      <c r="AB507" s="74">
        <v>1</v>
      </c>
      <c r="AC507" s="74" t="s">
        <v>76</v>
      </c>
      <c r="AD507" s="13">
        <v>208.33</v>
      </c>
      <c r="AE507" s="13">
        <v>36.659999999999997</v>
      </c>
      <c r="AF507" s="13">
        <f t="shared" ref="AF507" si="424">SUM(AD507:AE507)</f>
        <v>244.99</v>
      </c>
      <c r="AH507" s="89">
        <f t="shared" si="397"/>
        <v>-0.43018288292612683</v>
      </c>
      <c r="AI507" s="89">
        <f t="shared" si="398"/>
        <v>-0.26159301691216574</v>
      </c>
      <c r="AJ507" s="89">
        <f t="shared" si="399"/>
        <v>-0.40495530429813464</v>
      </c>
    </row>
    <row r="508" spans="1:36" x14ac:dyDescent="0.3">
      <c r="A508" s="21" t="s">
        <v>1019</v>
      </c>
      <c r="B508" s="11" t="s">
        <v>1020</v>
      </c>
      <c r="C508" s="12">
        <f t="shared" ref="C508:D513" si="425">V508</f>
        <v>1</v>
      </c>
      <c r="D508" s="41" t="str">
        <f t="shared" si="425"/>
        <v>m</v>
      </c>
      <c r="E508" s="41">
        <v>22.93</v>
      </c>
      <c r="F508" s="41">
        <v>27.07</v>
      </c>
      <c r="G508" s="41">
        <f t="shared" ref="G508" si="426">F508+E508</f>
        <v>50</v>
      </c>
      <c r="H508" s="13">
        <f t="shared" ref="H508" si="427">C508*E508</f>
        <v>22.93</v>
      </c>
      <c r="I508" s="13">
        <f t="shared" ref="I508" si="428">C508*F508</f>
        <v>27.07</v>
      </c>
      <c r="J508" s="14">
        <f t="shared" ref="J508" si="429">SUM(E508:F508)*C508</f>
        <v>50</v>
      </c>
      <c r="M508" s="54"/>
      <c r="N508" s="56"/>
      <c r="V508" s="74">
        <v>1</v>
      </c>
      <c r="W508" s="74" t="s">
        <v>76</v>
      </c>
      <c r="X508" s="13">
        <v>24.67</v>
      </c>
      <c r="Y508" s="13">
        <v>28.46</v>
      </c>
      <c r="Z508" s="13">
        <f t="shared" ref="Z508" si="430">SUM(X508:Y508)</f>
        <v>53.13</v>
      </c>
      <c r="AB508" s="74">
        <v>1</v>
      </c>
      <c r="AC508" s="74" t="s">
        <v>76</v>
      </c>
      <c r="AD508" s="13">
        <v>31.78</v>
      </c>
      <c r="AE508" s="13">
        <v>36.659999999999997</v>
      </c>
      <c r="AF508" s="13">
        <f t="shared" ref="AF508" si="431">SUM(AD508:AE508)</f>
        <v>68.44</v>
      </c>
      <c r="AH508" s="89">
        <f t="shared" si="397"/>
        <v>-0.27847702957835119</v>
      </c>
      <c r="AI508" s="89">
        <f t="shared" si="398"/>
        <v>-0.26159301691216574</v>
      </c>
      <c r="AJ508" s="89">
        <f t="shared" si="399"/>
        <v>-0.26943308007013445</v>
      </c>
    </row>
    <row r="509" spans="1:36" x14ac:dyDescent="0.3">
      <c r="A509" s="21" t="s">
        <v>1021</v>
      </c>
      <c r="B509" s="11" t="s">
        <v>1022</v>
      </c>
      <c r="C509" s="12">
        <f t="shared" si="425"/>
        <v>1</v>
      </c>
      <c r="D509" s="41" t="str">
        <f t="shared" si="425"/>
        <v>UN</v>
      </c>
      <c r="E509" s="41">
        <v>117.29</v>
      </c>
      <c r="F509" s="41">
        <v>11.6</v>
      </c>
      <c r="G509" s="41">
        <f t="shared" si="383"/>
        <v>128.89000000000001</v>
      </c>
      <c r="H509" s="13">
        <f t="shared" si="393"/>
        <v>117.29</v>
      </c>
      <c r="I509" s="13">
        <f t="shared" si="394"/>
        <v>11.6</v>
      </c>
      <c r="J509" s="14">
        <f t="shared" si="380"/>
        <v>128.89000000000001</v>
      </c>
      <c r="M509" s="54"/>
      <c r="N509" s="56"/>
      <c r="V509" s="74">
        <v>1</v>
      </c>
      <c r="W509" s="74" t="s">
        <v>47</v>
      </c>
      <c r="X509" s="13">
        <v>144.38</v>
      </c>
      <c r="Y509" s="13">
        <v>12.22</v>
      </c>
      <c r="Z509" s="13">
        <f t="shared" si="395"/>
        <v>156.6</v>
      </c>
      <c r="AB509" s="74">
        <v>1</v>
      </c>
      <c r="AC509" s="74" t="s">
        <v>47</v>
      </c>
      <c r="AD509" s="13">
        <v>185.99</v>
      </c>
      <c r="AE509" s="13">
        <v>15.74</v>
      </c>
      <c r="AF509" s="13">
        <f t="shared" ref="AF509" si="432">SUM(AD509:AE509)</f>
        <v>201.73000000000002</v>
      </c>
      <c r="AH509" s="89">
        <f t="shared" si="397"/>
        <v>-0.36937469756438512</v>
      </c>
      <c r="AI509" s="89">
        <f t="shared" si="398"/>
        <v>-0.26302414231257942</v>
      </c>
      <c r="AJ509" s="89">
        <f t="shared" si="399"/>
        <v>-0.36107668666038761</v>
      </c>
    </row>
    <row r="510" spans="1:36" x14ac:dyDescent="0.3">
      <c r="A510" s="21" t="s">
        <v>1023</v>
      </c>
      <c r="B510" s="11" t="s">
        <v>1024</v>
      </c>
      <c r="C510" s="12">
        <f t="shared" si="425"/>
        <v>1</v>
      </c>
      <c r="D510" s="41" t="str">
        <f t="shared" si="425"/>
        <v>UN</v>
      </c>
      <c r="E510" s="41">
        <v>314.77</v>
      </c>
      <c r="F510" s="41">
        <v>11.6</v>
      </c>
      <c r="G510" s="41">
        <f t="shared" ref="G510:G514" si="433">F510+E510</f>
        <v>326.37</v>
      </c>
      <c r="H510" s="13">
        <f t="shared" ref="H510:H514" si="434">C510*E510</f>
        <v>314.77</v>
      </c>
      <c r="I510" s="13">
        <f t="shared" ref="I510:I514" si="435">C510*F510</f>
        <v>11.6</v>
      </c>
      <c r="J510" s="14">
        <f t="shared" ref="J510:J514" si="436">SUM(E510:F510)*C510</f>
        <v>326.37</v>
      </c>
      <c r="M510" s="54"/>
      <c r="N510" s="56"/>
      <c r="V510" s="74">
        <v>1</v>
      </c>
      <c r="W510" s="74" t="s">
        <v>47</v>
      </c>
      <c r="X510" s="13">
        <v>387.36</v>
      </c>
      <c r="Y510" s="13">
        <v>12.22</v>
      </c>
      <c r="Z510" s="13">
        <f t="shared" ref="Z510:Z511" si="437">SUM(X510:Y510)</f>
        <v>399.58000000000004</v>
      </c>
      <c r="AB510" s="74">
        <v>1</v>
      </c>
      <c r="AC510" s="74" t="s">
        <v>47</v>
      </c>
      <c r="AD510" s="13">
        <v>499</v>
      </c>
      <c r="AE510" s="13">
        <v>15.74</v>
      </c>
      <c r="AF510" s="13">
        <f t="shared" ref="AF510:AF511" si="438">SUM(AD510:AE510)</f>
        <v>514.74</v>
      </c>
      <c r="AH510" s="89">
        <f t="shared" si="397"/>
        <v>-0.36919839679358724</v>
      </c>
      <c r="AI510" s="89">
        <f t="shared" si="398"/>
        <v>-0.26302414231257942</v>
      </c>
      <c r="AJ510" s="89">
        <f t="shared" si="399"/>
        <v>-0.36595174262734587</v>
      </c>
    </row>
    <row r="511" spans="1:36" x14ac:dyDescent="0.3">
      <c r="A511" s="21" t="s">
        <v>1025</v>
      </c>
      <c r="B511" s="11" t="s">
        <v>1026</v>
      </c>
      <c r="C511" s="12">
        <f t="shared" ref="C511:C512" si="439">V511</f>
        <v>1</v>
      </c>
      <c r="D511" s="41" t="str">
        <f t="shared" ref="D511:D512" si="440">W511</f>
        <v>UN</v>
      </c>
      <c r="E511" s="41">
        <v>326.38</v>
      </c>
      <c r="F511" s="41">
        <v>11.6</v>
      </c>
      <c r="G511" s="41">
        <f t="shared" si="433"/>
        <v>337.98</v>
      </c>
      <c r="H511" s="13">
        <f t="shared" si="434"/>
        <v>326.38</v>
      </c>
      <c r="I511" s="13">
        <f t="shared" si="435"/>
        <v>11.6</v>
      </c>
      <c r="J511" s="14">
        <f t="shared" si="436"/>
        <v>337.98</v>
      </c>
      <c r="M511" s="54"/>
      <c r="N511" s="56"/>
      <c r="V511" s="74">
        <v>1</v>
      </c>
      <c r="W511" s="74" t="s">
        <v>47</v>
      </c>
      <c r="X511" s="13">
        <v>401.66</v>
      </c>
      <c r="Y511" s="13">
        <v>12.22</v>
      </c>
      <c r="Z511" s="13">
        <f t="shared" si="437"/>
        <v>413.88000000000005</v>
      </c>
      <c r="AB511" s="74">
        <v>1</v>
      </c>
      <c r="AC511" s="74" t="s">
        <v>47</v>
      </c>
      <c r="AD511" s="13">
        <v>517.41999999999996</v>
      </c>
      <c r="AE511" s="13">
        <v>15.74</v>
      </c>
      <c r="AF511" s="13">
        <f t="shared" si="438"/>
        <v>533.16</v>
      </c>
      <c r="AH511" s="89">
        <f t="shared" si="397"/>
        <v>-0.36921649723628769</v>
      </c>
      <c r="AI511" s="89">
        <f t="shared" si="398"/>
        <v>-0.26302414231257942</v>
      </c>
      <c r="AJ511" s="89">
        <f t="shared" si="399"/>
        <v>-0.36608147647985589</v>
      </c>
    </row>
    <row r="512" spans="1:36" x14ac:dyDescent="0.3">
      <c r="A512" s="21" t="s">
        <v>1027</v>
      </c>
      <c r="B512" s="11" t="s">
        <v>1028</v>
      </c>
      <c r="C512" s="12">
        <f t="shared" si="439"/>
        <v>1</v>
      </c>
      <c r="D512" s="41" t="str">
        <f t="shared" si="440"/>
        <v>UN</v>
      </c>
      <c r="E512" s="41">
        <v>26.31</v>
      </c>
      <c r="F512" s="41">
        <v>20.2</v>
      </c>
      <c r="G512" s="41">
        <f t="shared" ref="G512" si="441">F512+E512</f>
        <v>46.51</v>
      </c>
      <c r="H512" s="13">
        <f t="shared" ref="H512" si="442">C512*E512</f>
        <v>26.31</v>
      </c>
      <c r="I512" s="13">
        <f t="shared" ref="I512" si="443">C512*F512</f>
        <v>20.2</v>
      </c>
      <c r="J512" s="14">
        <f t="shared" ref="J512" si="444">SUM(E512:F512)*C512</f>
        <v>46.51</v>
      </c>
      <c r="M512" s="54"/>
      <c r="N512" s="56"/>
      <c r="V512" s="74">
        <v>1</v>
      </c>
      <c r="W512" s="74" t="s">
        <v>47</v>
      </c>
      <c r="X512" s="13">
        <v>34.020000000000003</v>
      </c>
      <c r="Y512" s="13">
        <v>21.24</v>
      </c>
      <c r="Z512" s="13">
        <f t="shared" ref="Z512" si="445">SUM(X512:Y512)</f>
        <v>55.260000000000005</v>
      </c>
      <c r="AB512" s="74">
        <v>1</v>
      </c>
      <c r="AC512" s="74" t="s">
        <v>47</v>
      </c>
      <c r="AD512" s="13">
        <v>43.82</v>
      </c>
      <c r="AE512" s="13">
        <v>27.36</v>
      </c>
      <c r="AF512" s="13">
        <f t="shared" ref="AF512" si="446">SUM(AD512:AE512)</f>
        <v>71.180000000000007</v>
      </c>
      <c r="AH512" s="89">
        <f t="shared" ref="AH512" si="447">IF(E512=0,0,(E512/AD512)-1)</f>
        <v>-0.39958922866271107</v>
      </c>
      <c r="AI512" s="89">
        <f t="shared" ref="AI512" si="448">IF(F512=0,0,(F512/AE512)-1)</f>
        <v>-0.26169590643274854</v>
      </c>
      <c r="AJ512" s="89">
        <f t="shared" ref="AJ512" si="449">IF(G512=0,0,(G512/AF512)-1)</f>
        <v>-0.34658611969654407</v>
      </c>
    </row>
    <row r="513" spans="1:36" x14ac:dyDescent="0.3">
      <c r="A513" s="21" t="s">
        <v>1029</v>
      </c>
      <c r="B513" s="11" t="s">
        <v>1030</v>
      </c>
      <c r="C513" s="12">
        <f t="shared" si="425"/>
        <v>1</v>
      </c>
      <c r="D513" s="41" t="str">
        <f t="shared" si="425"/>
        <v>h</v>
      </c>
      <c r="E513" s="41">
        <v>219.08</v>
      </c>
      <c r="F513" s="41">
        <v>19.850000000000001</v>
      </c>
      <c r="G513" s="41">
        <f t="shared" ref="G513" si="450">F513+E513</f>
        <v>238.93</v>
      </c>
      <c r="H513" s="13">
        <f t="shared" ref="H513" si="451">C513*E513</f>
        <v>219.08</v>
      </c>
      <c r="I513" s="13">
        <f t="shared" ref="I513" si="452">C513*F513</f>
        <v>19.850000000000001</v>
      </c>
      <c r="J513" s="14">
        <f t="shared" ref="J513" si="453">SUM(E513:F513)*C513</f>
        <v>238.93</v>
      </c>
      <c r="M513" s="54"/>
      <c r="N513" s="56"/>
      <c r="V513" s="74">
        <v>1</v>
      </c>
      <c r="W513" s="74" t="s">
        <v>1031</v>
      </c>
      <c r="X513" s="13">
        <v>263.26</v>
      </c>
      <c r="Y513" s="13">
        <v>20.98</v>
      </c>
      <c r="Z513" s="13">
        <f t="shared" ref="Z513" si="454">SUM(X513:Y513)</f>
        <v>284.24</v>
      </c>
      <c r="AB513" s="74">
        <v>1</v>
      </c>
      <c r="AC513" s="74" t="s">
        <v>1031</v>
      </c>
      <c r="AD513" s="13">
        <v>339.13</v>
      </c>
      <c r="AE513" s="13">
        <v>27.03</v>
      </c>
      <c r="AF513" s="13">
        <f t="shared" ref="AF513" si="455">SUM(AD513:AE513)</f>
        <v>366.15999999999997</v>
      </c>
      <c r="AH513" s="89">
        <f t="shared" ref="AH513" si="456">IF(E513=0,0,(E513/AD513)-1)</f>
        <v>-0.35399404358210707</v>
      </c>
      <c r="AI513" s="89">
        <f t="shared" ref="AI513" si="457">IF(F513=0,0,(F513/AE513)-1)</f>
        <v>-0.26563078061413248</v>
      </c>
      <c r="AJ513" s="89">
        <f t="shared" ref="AJ513" si="458">IF(G513=0,0,(G513/AF513)-1)</f>
        <v>-0.34747105090670738</v>
      </c>
    </row>
    <row r="514" spans="1:36" x14ac:dyDescent="0.3">
      <c r="A514" s="21" t="s">
        <v>1032</v>
      </c>
      <c r="B514" s="11" t="s">
        <v>1033</v>
      </c>
      <c r="C514" s="12">
        <f t="shared" ref="C514" si="459">V514</f>
        <v>1</v>
      </c>
      <c r="D514" s="41" t="str">
        <f t="shared" ref="D514" si="460">W514</f>
        <v>UN</v>
      </c>
      <c r="E514" s="41">
        <v>28.93</v>
      </c>
      <c r="F514" s="41">
        <v>748.1</v>
      </c>
      <c r="G514" s="41">
        <f t="shared" si="433"/>
        <v>777.03</v>
      </c>
      <c r="H514" s="13">
        <f t="shared" si="434"/>
        <v>28.93</v>
      </c>
      <c r="I514" s="13">
        <f t="shared" si="435"/>
        <v>748.1</v>
      </c>
      <c r="J514" s="14">
        <f t="shared" si="436"/>
        <v>777.03</v>
      </c>
      <c r="M514" s="54"/>
      <c r="N514" s="56"/>
      <c r="V514" s="74">
        <v>1</v>
      </c>
      <c r="W514" s="74" t="s">
        <v>47</v>
      </c>
      <c r="X514" s="13">
        <v>36.700000000000003</v>
      </c>
      <c r="Y514" s="13">
        <v>774.8</v>
      </c>
      <c r="Z514" s="13">
        <f t="shared" ref="Z514" si="461">SUM(X514:Y514)</f>
        <v>811.5</v>
      </c>
      <c r="AB514" s="74">
        <v>1</v>
      </c>
      <c r="AC514" s="74" t="s">
        <v>47</v>
      </c>
      <c r="AD514" s="13">
        <v>47.28</v>
      </c>
      <c r="AE514" s="13">
        <v>998.1</v>
      </c>
      <c r="AF514" s="13">
        <f t="shared" ref="AF514" si="462">SUM(AD514:AE514)</f>
        <v>1045.3800000000001</v>
      </c>
      <c r="AH514" s="89">
        <f t="shared" si="397"/>
        <v>-0.38811336717428091</v>
      </c>
      <c r="AI514" s="89">
        <f t="shared" si="398"/>
        <v>-0.25047590421801424</v>
      </c>
      <c r="AJ514" s="89">
        <f t="shared" si="399"/>
        <v>-0.2567009125868106</v>
      </c>
    </row>
    <row r="515" spans="1:36" x14ac:dyDescent="0.3">
      <c r="A515" s="19">
        <v>30</v>
      </c>
      <c r="B515" s="20" t="s">
        <v>1034</v>
      </c>
      <c r="C515" s="8"/>
      <c r="D515" s="9"/>
      <c r="E515" s="9"/>
      <c r="F515" s="9"/>
      <c r="G515" s="9"/>
      <c r="H515" s="23">
        <v>0</v>
      </c>
      <c r="I515" s="23">
        <v>0</v>
      </c>
      <c r="J515" s="24">
        <v>0</v>
      </c>
      <c r="M515" s="54"/>
      <c r="N515" s="56"/>
      <c r="V515" s="75"/>
      <c r="W515" s="75"/>
      <c r="X515" s="23"/>
      <c r="Y515" s="23"/>
      <c r="Z515" s="23"/>
      <c r="AB515" s="75"/>
      <c r="AC515" s="75"/>
      <c r="AD515" s="23"/>
      <c r="AE515" s="23"/>
      <c r="AF515" s="23"/>
    </row>
    <row r="516" spans="1:36" ht="15.6" x14ac:dyDescent="0.3">
      <c r="A516" s="25"/>
      <c r="B516" s="26" t="s">
        <v>1035</v>
      </c>
      <c r="C516" s="27"/>
      <c r="D516" s="28"/>
      <c r="E516" s="28"/>
      <c r="F516" s="28"/>
      <c r="G516" s="28"/>
      <c r="H516" s="30">
        <f>SUM(H8:H515)/2</f>
        <v>6017031.859999992</v>
      </c>
      <c r="I516" s="30">
        <f>SUM(I8:I515)/2</f>
        <v>2659960.8900000006</v>
      </c>
      <c r="J516" s="30">
        <f>SUM(J8:J515)/2</f>
        <v>8676992.75</v>
      </c>
      <c r="M516" s="54"/>
      <c r="N516" s="56"/>
      <c r="AB516" s="74"/>
      <c r="AC516" s="74"/>
      <c r="AD516" s="29">
        <v>8989114.9699999988</v>
      </c>
      <c r="AE516" s="29">
        <v>3587392.9799999995</v>
      </c>
      <c r="AF516" s="29">
        <v>12576507.950000001</v>
      </c>
    </row>
    <row r="517" spans="1:36" x14ac:dyDescent="0.3">
      <c r="M517" s="54"/>
      <c r="N517" s="56"/>
      <c r="AH517" s="94">
        <f>COUNTIF(AH9:AH514,"&lt;&gt;0")</f>
        <v>449</v>
      </c>
      <c r="AI517" s="94">
        <f>COUNTIF(AI9:AI514,"&lt;&gt;0")</f>
        <v>476</v>
      </c>
      <c r="AJ517" s="94">
        <f>COUNTIF(AJ9:AJ514,"&lt;&gt;0")</f>
        <v>478</v>
      </c>
    </row>
    <row r="518" spans="1:36" x14ac:dyDescent="0.3">
      <c r="M518" s="54"/>
      <c r="N518" s="56"/>
      <c r="AH518" s="88">
        <f>SUMIF(AH9:AH514,"&lt;&gt;0",AH9:AH514)</f>
        <v>-156.79135475798066</v>
      </c>
      <c r="AI518" s="88">
        <f>SUMIF(AI9:AI514,"&lt;&gt;0",AI9:AI514)</f>
        <v>-125.20509719715658</v>
      </c>
      <c r="AJ518" s="88">
        <f>SUMIF(AJ9:AJ514,"&lt;&gt;0",AJ9:AJ514)</f>
        <v>-152.82582610848291</v>
      </c>
    </row>
    <row r="519" spans="1:36" x14ac:dyDescent="0.3">
      <c r="M519" s="54"/>
      <c r="N519" s="56"/>
      <c r="AH519" s="89">
        <f>AH518/AH517</f>
        <v>-0.34920123554115962</v>
      </c>
      <c r="AI519" s="89">
        <f>AI518/AI517</f>
        <v>-0.26303591848142138</v>
      </c>
      <c r="AJ519" s="89">
        <f>AJ518/AJ517</f>
        <v>-0.31971930148218181</v>
      </c>
    </row>
    <row r="520" spans="1:36" x14ac:dyDescent="0.3">
      <c r="M520" s="54"/>
      <c r="N520" s="56"/>
    </row>
    <row r="521" spans="1:36" x14ac:dyDescent="0.3">
      <c r="M521" s="56"/>
      <c r="N521" s="56"/>
    </row>
    <row r="522" spans="1:36" x14ac:dyDescent="0.3">
      <c r="M522" s="56"/>
      <c r="N522" s="56"/>
      <c r="AH522" s="92"/>
      <c r="AI522" s="92"/>
      <c r="AJ522" s="92"/>
    </row>
    <row r="523" spans="1:36" x14ac:dyDescent="0.3">
      <c r="M523" s="56"/>
      <c r="N523" s="56"/>
    </row>
    <row r="524" spans="1:36" x14ac:dyDescent="0.3">
      <c r="M524" s="55"/>
      <c r="N524" s="55"/>
    </row>
    <row r="525" spans="1:36" ht="15.6" x14ac:dyDescent="0.3">
      <c r="M525" s="57"/>
      <c r="N525" s="57"/>
    </row>
  </sheetData>
  <autoFilter ref="A7:J516" xr:uid="{00000000-0009-0000-0000-000000000000}"/>
  <mergeCells count="7">
    <mergeCell ref="M18:N20"/>
    <mergeCell ref="M8:N9"/>
    <mergeCell ref="M24:N37"/>
    <mergeCell ref="M3:N3"/>
    <mergeCell ref="C3:J3"/>
    <mergeCell ref="D5:G5"/>
    <mergeCell ref="M16:N16"/>
  </mergeCells>
  <phoneticPr fontId="15" type="noConversion"/>
  <conditionalFormatting sqref="E13">
    <cfRule type="cellIs" dxfId="2" priority="2" operator="equal">
      <formula>"Verificar"</formula>
    </cfRule>
  </conditionalFormatting>
  <conditionalFormatting sqref="F47">
    <cfRule type="cellIs" dxfId="1" priority="1" operator="equal">
      <formula>"Verificar"</formula>
    </cfRule>
  </conditionalFormatting>
  <conditionalFormatting sqref="G8:G516">
    <cfRule type="cellIs" dxfId="0" priority="3" operator="equal">
      <formula>"Verificar"</formula>
    </cfRule>
  </conditionalFormatting>
  <pageMargins left="0.511811024" right="0.511811024" top="0.78740157499999996" bottom="0.78740157499999996" header="0.31496062000000002" footer="0.31496062000000002"/>
  <pageSetup paperSize="9" scale="40" fitToHeight="0" orientation="portrait" r:id="rId1"/>
  <headerFooter>
    <oddHeader>&amp;R&amp;"Calibri"&amp;10&amp;K000000#interna&amp;1#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B4C9-3889-4C9C-95C4-9AFC15EFAF9B}">
  <sheetPr codeName="Planilha3"/>
  <dimension ref="A1:D71"/>
  <sheetViews>
    <sheetView workbookViewId="0">
      <selection activeCell="A4" sqref="A4"/>
    </sheetView>
  </sheetViews>
  <sheetFormatPr defaultColWidth="8.88671875" defaultRowHeight="14.4" x14ac:dyDescent="0.3"/>
  <cols>
    <col min="1" max="1" width="12.44140625" customWidth="1"/>
    <col min="2" max="2" width="47.44140625" customWidth="1"/>
    <col min="3" max="3" width="55.44140625" customWidth="1"/>
    <col min="4" max="4" width="70.109375" customWidth="1"/>
  </cols>
  <sheetData>
    <row r="1" spans="1:4" ht="15" customHeight="1" x14ac:dyDescent="0.3">
      <c r="A1" s="310" t="s">
        <v>1213</v>
      </c>
      <c r="B1" s="310"/>
      <c r="C1" s="310"/>
      <c r="D1" s="311"/>
    </row>
    <row r="2" spans="1:4" ht="15" customHeight="1" x14ac:dyDescent="0.3">
      <c r="A2" s="312"/>
      <c r="B2" s="312"/>
      <c r="C2" s="312"/>
      <c r="D2" s="313"/>
    </row>
    <row r="3" spans="1:4" ht="15.75" customHeight="1" x14ac:dyDescent="0.3">
      <c r="A3" s="312"/>
      <c r="B3" s="312"/>
      <c r="C3" s="312"/>
      <c r="D3" s="313"/>
    </row>
    <row r="4" spans="1:4" ht="41.25" customHeight="1" x14ac:dyDescent="0.3">
      <c r="A4" s="107" t="s">
        <v>1059</v>
      </c>
      <c r="B4" s="108" t="s">
        <v>1060</v>
      </c>
      <c r="C4" s="108" t="s">
        <v>1061</v>
      </c>
      <c r="D4" s="109" t="s">
        <v>1062</v>
      </c>
    </row>
    <row r="5" spans="1:4" ht="17.25" customHeight="1" x14ac:dyDescent="0.3">
      <c r="A5" s="104">
        <v>8672</v>
      </c>
      <c r="B5" s="95" t="s">
        <v>1063</v>
      </c>
      <c r="C5" s="96">
        <v>252</v>
      </c>
      <c r="D5" s="106" t="s">
        <v>1064</v>
      </c>
    </row>
    <row r="6" spans="1:4" ht="17.25" customHeight="1" x14ac:dyDescent="0.3">
      <c r="A6" s="104">
        <v>8675</v>
      </c>
      <c r="B6" s="95" t="s">
        <v>1065</v>
      </c>
      <c r="C6" s="96">
        <v>308</v>
      </c>
      <c r="D6" s="106" t="s">
        <v>1066</v>
      </c>
    </row>
    <row r="7" spans="1:4" ht="17.25" customHeight="1" x14ac:dyDescent="0.3">
      <c r="A7" s="105">
        <v>12</v>
      </c>
      <c r="B7" s="95" t="s">
        <v>1067</v>
      </c>
      <c r="C7" s="96">
        <v>69</v>
      </c>
      <c r="D7" s="106" t="s">
        <v>1067</v>
      </c>
    </row>
    <row r="8" spans="1:4" ht="17.25" customHeight="1" x14ac:dyDescent="0.3">
      <c r="A8" s="105">
        <v>32</v>
      </c>
      <c r="B8" s="95" t="s">
        <v>1068</v>
      </c>
      <c r="C8" s="96">
        <v>10</v>
      </c>
      <c r="D8" s="106" t="s">
        <v>1068</v>
      </c>
    </row>
    <row r="9" spans="1:4" ht="17.25" customHeight="1" x14ac:dyDescent="0.3">
      <c r="A9" s="105">
        <v>64</v>
      </c>
      <c r="B9" s="95" t="s">
        <v>1069</v>
      </c>
      <c r="C9" s="96">
        <v>328</v>
      </c>
      <c r="D9" s="106" t="s">
        <v>1069</v>
      </c>
    </row>
    <row r="10" spans="1:4" ht="17.25" customHeight="1" x14ac:dyDescent="0.3">
      <c r="A10" s="105">
        <v>168</v>
      </c>
      <c r="B10" s="95" t="s">
        <v>1070</v>
      </c>
      <c r="C10" s="96">
        <v>139</v>
      </c>
      <c r="D10" s="106" t="s">
        <v>1070</v>
      </c>
    </row>
    <row r="11" spans="1:4" ht="17.25" customHeight="1" x14ac:dyDescent="0.3">
      <c r="A11" s="105">
        <v>168</v>
      </c>
      <c r="B11" s="95" t="s">
        <v>1071</v>
      </c>
      <c r="C11" s="96">
        <v>139</v>
      </c>
      <c r="D11" s="106" t="s">
        <v>1070</v>
      </c>
    </row>
    <row r="12" spans="1:4" ht="17.25" customHeight="1" x14ac:dyDescent="0.3">
      <c r="A12" s="105">
        <v>205</v>
      </c>
      <c r="B12" s="95" t="s">
        <v>1072</v>
      </c>
      <c r="C12" s="96">
        <v>358</v>
      </c>
      <c r="D12" s="106" t="s">
        <v>1072</v>
      </c>
    </row>
    <row r="13" spans="1:4" ht="17.25" customHeight="1" x14ac:dyDescent="0.3">
      <c r="A13" s="105">
        <v>308</v>
      </c>
      <c r="B13" s="95" t="s">
        <v>1073</v>
      </c>
      <c r="C13" s="96">
        <v>366</v>
      </c>
      <c r="D13" s="106" t="s">
        <v>1074</v>
      </c>
    </row>
    <row r="14" spans="1:4" ht="17.25" customHeight="1" x14ac:dyDescent="0.3">
      <c r="A14" s="105">
        <v>308</v>
      </c>
      <c r="B14" s="95" t="s">
        <v>1075</v>
      </c>
      <c r="C14" s="96">
        <v>366</v>
      </c>
      <c r="D14" s="106" t="s">
        <v>1074</v>
      </c>
    </row>
    <row r="15" spans="1:4" ht="17.25" customHeight="1" x14ac:dyDescent="0.3">
      <c r="A15" s="105">
        <v>308</v>
      </c>
      <c r="B15" s="95" t="s">
        <v>1074</v>
      </c>
      <c r="C15" s="96">
        <v>366</v>
      </c>
      <c r="D15" s="106" t="s">
        <v>1074</v>
      </c>
    </row>
    <row r="16" spans="1:4" ht="17.25" customHeight="1" x14ac:dyDescent="0.3">
      <c r="A16" s="105">
        <v>309</v>
      </c>
      <c r="B16" s="95" t="s">
        <v>1076</v>
      </c>
      <c r="C16" s="96">
        <v>308</v>
      </c>
      <c r="D16" s="106" t="s">
        <v>1066</v>
      </c>
    </row>
    <row r="17" spans="1:4" ht="17.25" customHeight="1" x14ac:dyDescent="0.3">
      <c r="A17" s="105">
        <v>309</v>
      </c>
      <c r="B17" s="95" t="s">
        <v>1066</v>
      </c>
      <c r="C17" s="96">
        <v>308</v>
      </c>
      <c r="D17" s="106" t="s">
        <v>1066</v>
      </c>
    </row>
    <row r="18" spans="1:4" ht="17.25" customHeight="1" x14ac:dyDescent="0.3">
      <c r="A18" s="105">
        <v>368</v>
      </c>
      <c r="B18" s="95" t="s">
        <v>1064</v>
      </c>
      <c r="C18" s="96">
        <v>252</v>
      </c>
      <c r="D18" s="106" t="s">
        <v>1064</v>
      </c>
    </row>
    <row r="19" spans="1:4" ht="17.25" customHeight="1" x14ac:dyDescent="0.3">
      <c r="A19" s="105">
        <v>399</v>
      </c>
      <c r="B19" s="95" t="s">
        <v>1077</v>
      </c>
      <c r="C19" s="96">
        <v>142</v>
      </c>
      <c r="D19" s="106" t="s">
        <v>1077</v>
      </c>
    </row>
    <row r="20" spans="1:4" ht="17.25" customHeight="1" x14ac:dyDescent="0.3">
      <c r="A20" s="105">
        <v>421</v>
      </c>
      <c r="B20" s="95" t="s">
        <v>1078</v>
      </c>
      <c r="C20" s="96">
        <v>56</v>
      </c>
      <c r="D20" s="106" t="s">
        <v>1078</v>
      </c>
    </row>
    <row r="21" spans="1:4" ht="17.25" customHeight="1" x14ac:dyDescent="0.3">
      <c r="A21" s="105">
        <v>649</v>
      </c>
      <c r="B21" s="95" t="s">
        <v>1079</v>
      </c>
      <c r="C21" s="96">
        <v>320</v>
      </c>
      <c r="D21" s="106" t="s">
        <v>1079</v>
      </c>
    </row>
    <row r="22" spans="1:4" ht="17.25" customHeight="1" x14ac:dyDescent="0.3">
      <c r="A22" s="105">
        <v>654</v>
      </c>
      <c r="B22" s="95" t="s">
        <v>1080</v>
      </c>
      <c r="C22" s="96">
        <v>282</v>
      </c>
      <c r="D22" s="106" t="s">
        <v>1080</v>
      </c>
    </row>
    <row r="23" spans="1:4" ht="17.25" customHeight="1" x14ac:dyDescent="0.3">
      <c r="A23" s="105">
        <v>781</v>
      </c>
      <c r="B23" s="95" t="s">
        <v>1081</v>
      </c>
      <c r="C23" s="96">
        <v>382</v>
      </c>
      <c r="D23" s="106" t="s">
        <v>1081</v>
      </c>
    </row>
    <row r="24" spans="1:4" ht="17.25" customHeight="1" x14ac:dyDescent="0.3">
      <c r="A24" s="105">
        <v>872</v>
      </c>
      <c r="B24" s="95" t="s">
        <v>1082</v>
      </c>
      <c r="C24" s="96">
        <v>280</v>
      </c>
      <c r="D24" s="106" t="s">
        <v>1083</v>
      </c>
    </row>
    <row r="25" spans="1:4" ht="17.25" customHeight="1" x14ac:dyDescent="0.3">
      <c r="A25" s="105">
        <v>872</v>
      </c>
      <c r="B25" s="95" t="s">
        <v>1084</v>
      </c>
      <c r="C25" s="96">
        <v>280</v>
      </c>
      <c r="D25" s="106" t="s">
        <v>1083</v>
      </c>
    </row>
    <row r="26" spans="1:4" ht="17.25" customHeight="1" x14ac:dyDescent="0.3">
      <c r="A26" s="105">
        <v>980</v>
      </c>
      <c r="B26" s="95" t="s">
        <v>1085</v>
      </c>
      <c r="C26" s="96">
        <v>135</v>
      </c>
      <c r="D26" s="106" t="s">
        <v>1086</v>
      </c>
    </row>
    <row r="27" spans="1:4" ht="17.25" customHeight="1" x14ac:dyDescent="0.3">
      <c r="A27" s="105">
        <v>983</v>
      </c>
      <c r="B27" s="95" t="s">
        <v>1087</v>
      </c>
      <c r="C27" s="96">
        <v>254</v>
      </c>
      <c r="D27" s="106" t="s">
        <v>1087</v>
      </c>
    </row>
    <row r="28" spans="1:4" ht="17.25" customHeight="1" x14ac:dyDescent="0.3">
      <c r="A28" s="104">
        <v>1468</v>
      </c>
      <c r="B28" s="95" t="s">
        <v>1088</v>
      </c>
      <c r="C28" s="96">
        <v>196</v>
      </c>
      <c r="D28" s="106" t="s">
        <v>1088</v>
      </c>
    </row>
    <row r="29" spans="1:4" ht="17.25" customHeight="1" x14ac:dyDescent="0.3">
      <c r="A29" s="104">
        <v>1657</v>
      </c>
      <c r="B29" s="95" t="s">
        <v>1089</v>
      </c>
      <c r="C29" s="96">
        <v>304</v>
      </c>
      <c r="D29" s="106" t="s">
        <v>1089</v>
      </c>
    </row>
    <row r="30" spans="1:4" ht="17.25" customHeight="1" x14ac:dyDescent="0.3">
      <c r="A30" s="104">
        <v>1659</v>
      </c>
      <c r="B30" s="95" t="s">
        <v>1090</v>
      </c>
      <c r="C30" s="96">
        <v>274</v>
      </c>
      <c r="D30" s="106" t="s">
        <v>1090</v>
      </c>
    </row>
    <row r="31" spans="1:4" ht="17.25" customHeight="1" x14ac:dyDescent="0.3">
      <c r="A31" s="104">
        <v>1670</v>
      </c>
      <c r="B31" s="95" t="s">
        <v>1091</v>
      </c>
      <c r="C31" s="96">
        <v>386</v>
      </c>
      <c r="D31" s="106" t="s">
        <v>1091</v>
      </c>
    </row>
    <row r="32" spans="1:4" ht="17.25" customHeight="1" x14ac:dyDescent="0.3">
      <c r="A32" s="104">
        <v>1682</v>
      </c>
      <c r="B32" s="95" t="s">
        <v>1092</v>
      </c>
      <c r="C32" s="96">
        <v>304</v>
      </c>
      <c r="D32" s="106" t="s">
        <v>1092</v>
      </c>
    </row>
    <row r="33" spans="1:4" ht="17.25" customHeight="1" x14ac:dyDescent="0.3">
      <c r="A33" s="104">
        <v>1687</v>
      </c>
      <c r="B33" s="95" t="s">
        <v>1093</v>
      </c>
      <c r="C33" s="96">
        <v>288</v>
      </c>
      <c r="D33" s="106" t="s">
        <v>1093</v>
      </c>
    </row>
    <row r="34" spans="1:4" ht="17.25" customHeight="1" x14ac:dyDescent="0.3">
      <c r="A34" s="104">
        <v>1704</v>
      </c>
      <c r="B34" s="95" t="s">
        <v>1094</v>
      </c>
      <c r="C34" s="96">
        <v>330</v>
      </c>
      <c r="D34" s="106" t="s">
        <v>1094</v>
      </c>
    </row>
    <row r="35" spans="1:4" ht="17.25" customHeight="1" x14ac:dyDescent="0.3">
      <c r="A35" s="104">
        <v>1706</v>
      </c>
      <c r="B35" s="95" t="s">
        <v>1095</v>
      </c>
      <c r="C35" s="96">
        <v>370</v>
      </c>
      <c r="D35" s="106" t="s">
        <v>1095</v>
      </c>
    </row>
    <row r="36" spans="1:4" ht="17.25" customHeight="1" x14ac:dyDescent="0.3">
      <c r="A36" s="104">
        <v>1709</v>
      </c>
      <c r="B36" s="95" t="s">
        <v>1096</v>
      </c>
      <c r="C36" s="96">
        <v>332</v>
      </c>
      <c r="D36" s="106" t="s">
        <v>1096</v>
      </c>
    </row>
    <row r="37" spans="1:4" ht="17.25" customHeight="1" x14ac:dyDescent="0.3">
      <c r="A37" s="104">
        <v>1711</v>
      </c>
      <c r="B37" s="95" t="s">
        <v>1097</v>
      </c>
      <c r="C37" s="96">
        <v>100</v>
      </c>
      <c r="D37" s="106" t="s">
        <v>1097</v>
      </c>
    </row>
    <row r="38" spans="1:4" ht="17.25" customHeight="1" x14ac:dyDescent="0.3">
      <c r="A38" s="104">
        <v>1712</v>
      </c>
      <c r="B38" s="95" t="s">
        <v>1098</v>
      </c>
      <c r="C38" s="96">
        <v>234</v>
      </c>
      <c r="D38" s="106" t="s">
        <v>1098</v>
      </c>
    </row>
    <row r="39" spans="1:4" ht="17.25" customHeight="1" x14ac:dyDescent="0.3">
      <c r="A39" s="104">
        <v>1789</v>
      </c>
      <c r="B39" s="95" t="s">
        <v>1099</v>
      </c>
      <c r="C39" s="96">
        <v>190</v>
      </c>
      <c r="D39" s="106" t="s">
        <v>1100</v>
      </c>
    </row>
    <row r="40" spans="1:4" ht="17.25" customHeight="1" x14ac:dyDescent="0.3">
      <c r="A40" s="104">
        <v>1972</v>
      </c>
      <c r="B40" s="95" t="s">
        <v>1101</v>
      </c>
      <c r="C40" s="96">
        <v>240</v>
      </c>
      <c r="D40" s="106" t="s">
        <v>1101</v>
      </c>
    </row>
    <row r="41" spans="1:4" ht="17.25" customHeight="1" x14ac:dyDescent="0.3">
      <c r="A41" s="104">
        <v>2017</v>
      </c>
      <c r="B41" s="95" t="s">
        <v>1102</v>
      </c>
      <c r="C41" s="96">
        <v>298</v>
      </c>
      <c r="D41" s="106" t="s">
        <v>1102</v>
      </c>
    </row>
    <row r="42" spans="1:4" ht="17.25" customHeight="1" x14ac:dyDescent="0.3">
      <c r="A42" s="104">
        <v>2037</v>
      </c>
      <c r="B42" s="95" t="s">
        <v>1103</v>
      </c>
      <c r="C42" s="96">
        <v>40</v>
      </c>
      <c r="D42" s="106" t="s">
        <v>1103</v>
      </c>
    </row>
    <row r="43" spans="1:4" ht="17.25" customHeight="1" x14ac:dyDescent="0.3">
      <c r="A43" s="104">
        <v>2049</v>
      </c>
      <c r="B43" s="95" t="s">
        <v>1104</v>
      </c>
      <c r="C43" s="96">
        <v>298</v>
      </c>
      <c r="D43" s="106" t="s">
        <v>1104</v>
      </c>
    </row>
    <row r="44" spans="1:4" ht="17.25" customHeight="1" x14ac:dyDescent="0.3">
      <c r="A44" s="104">
        <v>2051</v>
      </c>
      <c r="B44" s="95" t="s">
        <v>1105</v>
      </c>
      <c r="C44" s="96">
        <v>432</v>
      </c>
      <c r="D44" s="106" t="s">
        <v>1105</v>
      </c>
    </row>
    <row r="45" spans="1:4" ht="17.25" customHeight="1" x14ac:dyDescent="0.3">
      <c r="A45" s="104">
        <v>2194</v>
      </c>
      <c r="B45" s="95" t="s">
        <v>1106</v>
      </c>
      <c r="C45" s="96">
        <v>416</v>
      </c>
      <c r="D45" s="106" t="s">
        <v>1107</v>
      </c>
    </row>
    <row r="46" spans="1:4" ht="17.25" customHeight="1" x14ac:dyDescent="0.3">
      <c r="A46" s="104">
        <v>2245</v>
      </c>
      <c r="B46" s="95" t="s">
        <v>1108</v>
      </c>
      <c r="C46" s="96">
        <v>172</v>
      </c>
      <c r="D46" s="106" t="s">
        <v>1108</v>
      </c>
    </row>
    <row r="47" spans="1:4" ht="17.25" customHeight="1" x14ac:dyDescent="0.3">
      <c r="A47" s="104">
        <v>2276</v>
      </c>
      <c r="B47" s="106" t="s">
        <v>1109</v>
      </c>
      <c r="C47" s="96">
        <v>334</v>
      </c>
      <c r="D47" s="106" t="s">
        <v>1109</v>
      </c>
    </row>
    <row r="48" spans="1:4" ht="17.25" customHeight="1" x14ac:dyDescent="0.3">
      <c r="A48" s="104">
        <v>2322</v>
      </c>
      <c r="B48" s="106" t="s">
        <v>1110</v>
      </c>
      <c r="C48" s="96">
        <v>242</v>
      </c>
      <c r="D48" s="106" t="s">
        <v>1110</v>
      </c>
    </row>
    <row r="49" spans="1:4" ht="17.25" customHeight="1" x14ac:dyDescent="0.3">
      <c r="A49" s="104">
        <v>2353</v>
      </c>
      <c r="B49" s="106" t="s">
        <v>1111</v>
      </c>
      <c r="C49" s="96">
        <v>350</v>
      </c>
      <c r="D49" s="106" t="s">
        <v>1111</v>
      </c>
    </row>
    <row r="50" spans="1:4" ht="17.25" customHeight="1" x14ac:dyDescent="0.3">
      <c r="A50" s="104">
        <v>2397</v>
      </c>
      <c r="B50" s="106" t="s">
        <v>1112</v>
      </c>
      <c r="C50" s="96">
        <v>340</v>
      </c>
      <c r="D50" s="106" t="s">
        <v>1112</v>
      </c>
    </row>
    <row r="51" spans="1:4" ht="17.25" customHeight="1" x14ac:dyDescent="0.3">
      <c r="A51" s="104">
        <v>2410</v>
      </c>
      <c r="B51" s="106" t="s">
        <v>1113</v>
      </c>
      <c r="C51" s="96">
        <v>348</v>
      </c>
      <c r="D51" s="106" t="s">
        <v>1113</v>
      </c>
    </row>
    <row r="52" spans="1:4" ht="17.25" customHeight="1" x14ac:dyDescent="0.3">
      <c r="A52" s="104">
        <v>2424</v>
      </c>
      <c r="B52" s="106" t="s">
        <v>1114</v>
      </c>
      <c r="C52" s="96">
        <v>290</v>
      </c>
      <c r="D52" s="106" t="s">
        <v>1114</v>
      </c>
    </row>
    <row r="53" spans="1:4" ht="17.25" customHeight="1" x14ac:dyDescent="0.3">
      <c r="A53" s="104">
        <v>2470</v>
      </c>
      <c r="B53" s="106" t="s">
        <v>1115</v>
      </c>
      <c r="C53" s="96">
        <v>164</v>
      </c>
      <c r="D53" s="106" t="s">
        <v>1115</v>
      </c>
    </row>
    <row r="54" spans="1:4" ht="17.25" customHeight="1" x14ac:dyDescent="0.3">
      <c r="A54" s="104">
        <v>2588</v>
      </c>
      <c r="B54" s="106" t="s">
        <v>1116</v>
      </c>
      <c r="C54" s="96">
        <v>358</v>
      </c>
      <c r="D54" s="106" t="s">
        <v>1116</v>
      </c>
    </row>
    <row r="55" spans="1:4" ht="17.25" customHeight="1" x14ac:dyDescent="0.3">
      <c r="A55" s="104">
        <v>2791</v>
      </c>
      <c r="B55" s="106" t="s">
        <v>1117</v>
      </c>
      <c r="C55" s="96">
        <v>426</v>
      </c>
      <c r="D55" s="106" t="s">
        <v>1117</v>
      </c>
    </row>
    <row r="56" spans="1:4" ht="17.25" customHeight="1" x14ac:dyDescent="0.3">
      <c r="A56" s="104">
        <v>3162</v>
      </c>
      <c r="B56" s="106" t="s">
        <v>1118</v>
      </c>
      <c r="C56" s="96">
        <v>324</v>
      </c>
      <c r="D56" s="106" t="s">
        <v>1118</v>
      </c>
    </row>
    <row r="57" spans="1:4" ht="17.25" customHeight="1" x14ac:dyDescent="0.3">
      <c r="A57" s="104">
        <v>3217</v>
      </c>
      <c r="B57" s="106" t="s">
        <v>1119</v>
      </c>
      <c r="C57" s="96">
        <v>112</v>
      </c>
      <c r="D57" s="106" t="s">
        <v>1119</v>
      </c>
    </row>
    <row r="58" spans="1:4" ht="17.25" customHeight="1" x14ac:dyDescent="0.3">
      <c r="A58" s="104">
        <v>3803</v>
      </c>
      <c r="B58" s="106" t="s">
        <v>1120</v>
      </c>
      <c r="C58" s="96">
        <v>208</v>
      </c>
      <c r="D58" s="106" t="s">
        <v>1120</v>
      </c>
    </row>
    <row r="59" spans="1:4" ht="17.25" customHeight="1" x14ac:dyDescent="0.3">
      <c r="A59" s="104">
        <v>3804</v>
      </c>
      <c r="B59" s="106" t="s">
        <v>1121</v>
      </c>
      <c r="C59" s="96">
        <v>206</v>
      </c>
      <c r="D59" s="106" t="s">
        <v>1121</v>
      </c>
    </row>
    <row r="60" spans="1:4" ht="17.25" customHeight="1" x14ac:dyDescent="0.3">
      <c r="A60" s="104">
        <v>3806</v>
      </c>
      <c r="B60" s="106" t="s">
        <v>1122</v>
      </c>
      <c r="C60" s="96">
        <v>320</v>
      </c>
      <c r="D60" s="106" t="s">
        <v>1122</v>
      </c>
    </row>
    <row r="61" spans="1:4" ht="17.25" customHeight="1" x14ac:dyDescent="0.3">
      <c r="A61" s="104">
        <v>3856</v>
      </c>
      <c r="B61" s="106" t="s">
        <v>1068</v>
      </c>
      <c r="C61" s="96">
        <v>10</v>
      </c>
      <c r="D61" s="106" t="s">
        <v>1068</v>
      </c>
    </row>
    <row r="62" spans="1:4" ht="17.25" customHeight="1" x14ac:dyDescent="0.3">
      <c r="A62" s="104">
        <v>3898</v>
      </c>
      <c r="B62" s="106" t="s">
        <v>1123</v>
      </c>
      <c r="C62" s="96">
        <v>376</v>
      </c>
      <c r="D62" s="106" t="s">
        <v>1123</v>
      </c>
    </row>
    <row r="63" spans="1:4" ht="17.25" customHeight="1" x14ac:dyDescent="0.3">
      <c r="A63" s="104">
        <v>3948</v>
      </c>
      <c r="B63" s="106" t="s">
        <v>1124</v>
      </c>
      <c r="C63" s="96">
        <v>199</v>
      </c>
      <c r="D63" s="106" t="s">
        <v>1124</v>
      </c>
    </row>
    <row r="64" spans="1:4" ht="17.25" customHeight="1" x14ac:dyDescent="0.3">
      <c r="A64" s="104">
        <v>3986</v>
      </c>
      <c r="B64" s="106" t="s">
        <v>1125</v>
      </c>
      <c r="C64" s="96">
        <v>328</v>
      </c>
      <c r="D64" s="106" t="s">
        <v>1125</v>
      </c>
    </row>
    <row r="65" spans="1:4" ht="17.25" customHeight="1" x14ac:dyDescent="0.3">
      <c r="A65" s="104">
        <v>4062</v>
      </c>
      <c r="B65" s="106" t="s">
        <v>1126</v>
      </c>
      <c r="C65" s="96">
        <v>384</v>
      </c>
      <c r="D65" s="106" t="s">
        <v>1126</v>
      </c>
    </row>
    <row r="66" spans="1:4" ht="17.25" customHeight="1" x14ac:dyDescent="0.3">
      <c r="A66" s="104">
        <v>4063</v>
      </c>
      <c r="B66" s="106" t="s">
        <v>1127</v>
      </c>
      <c r="C66" s="96">
        <v>224</v>
      </c>
      <c r="D66" s="106" t="s">
        <v>1127</v>
      </c>
    </row>
    <row r="67" spans="1:4" ht="17.25" customHeight="1" x14ac:dyDescent="0.3">
      <c r="A67" s="104">
        <v>4271</v>
      </c>
      <c r="B67" s="106" t="s">
        <v>1212</v>
      </c>
      <c r="C67" s="96">
        <v>308</v>
      </c>
      <c r="D67" s="106" t="s">
        <v>1066</v>
      </c>
    </row>
    <row r="68" spans="1:4" ht="17.25" customHeight="1" x14ac:dyDescent="0.3">
      <c r="A68" s="104">
        <v>4865</v>
      </c>
      <c r="B68" s="106" t="s">
        <v>1128</v>
      </c>
      <c r="C68" s="96">
        <v>344</v>
      </c>
      <c r="D68" s="106" t="s">
        <v>1128</v>
      </c>
    </row>
    <row r="69" spans="1:4" ht="17.25" customHeight="1" x14ac:dyDescent="0.3">
      <c r="A69" s="104">
        <v>8060</v>
      </c>
      <c r="B69" s="106" t="s">
        <v>1211</v>
      </c>
      <c r="C69" s="96">
        <v>252</v>
      </c>
      <c r="D69" s="106" t="s">
        <v>1064</v>
      </c>
    </row>
    <row r="70" spans="1:4" ht="17.25" customHeight="1" x14ac:dyDescent="0.3">
      <c r="A70" s="104">
        <v>8215</v>
      </c>
      <c r="B70" s="106" t="s">
        <v>1129</v>
      </c>
      <c r="C70" s="96">
        <v>122</v>
      </c>
      <c r="D70" s="106" t="s">
        <v>1129</v>
      </c>
    </row>
    <row r="71" spans="1:4" ht="17.25" customHeight="1" x14ac:dyDescent="0.3">
      <c r="A71" s="104">
        <v>8220</v>
      </c>
      <c r="B71" s="106" t="s">
        <v>1130</v>
      </c>
      <c r="C71" s="96">
        <v>348</v>
      </c>
      <c r="D71" s="106" t="s">
        <v>1130</v>
      </c>
    </row>
  </sheetData>
  <mergeCells count="1">
    <mergeCell ref="A1:D3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4">
    <tabColor theme="9" tint="-0.249977111117893"/>
  </sheetPr>
  <dimension ref="B1:E29"/>
  <sheetViews>
    <sheetView topLeftCell="A2" zoomScale="85" zoomScaleNormal="85" workbookViewId="0">
      <selection activeCell="B16" sqref="B16:C16"/>
    </sheetView>
  </sheetViews>
  <sheetFormatPr defaultColWidth="9.109375" defaultRowHeight="14.4" x14ac:dyDescent="0.3"/>
  <cols>
    <col min="2" max="2" width="60.44140625" customWidth="1"/>
    <col min="3" max="3" width="20.44140625" customWidth="1"/>
    <col min="5" max="5" width="50.109375" customWidth="1"/>
  </cols>
  <sheetData>
    <row r="1" spans="2:5" ht="50.25" customHeight="1" x14ac:dyDescent="0.3">
      <c r="B1" s="326" t="s">
        <v>1036</v>
      </c>
      <c r="C1" s="326"/>
      <c r="E1" s="80" t="s">
        <v>1037</v>
      </c>
    </row>
    <row r="2" spans="2:5" ht="15" thickBot="1" x14ac:dyDescent="0.35"/>
    <row r="3" spans="2:5" ht="15" customHeight="1" x14ac:dyDescent="0.3">
      <c r="B3" s="327" t="s">
        <v>1038</v>
      </c>
      <c r="C3" s="328"/>
    </row>
    <row r="4" spans="2:5" ht="15.75" customHeight="1" thickBot="1" x14ac:dyDescent="0.35">
      <c r="B4" s="329"/>
      <c r="C4" s="330"/>
    </row>
    <row r="5" spans="2:5" ht="15" thickBot="1" x14ac:dyDescent="0.35">
      <c r="B5" s="62"/>
      <c r="C5" s="63"/>
    </row>
    <row r="6" spans="2:5" ht="15.75" customHeight="1" x14ac:dyDescent="0.3">
      <c r="B6" s="331" t="s">
        <v>1039</v>
      </c>
      <c r="C6" s="332"/>
    </row>
    <row r="7" spans="2:5" x14ac:dyDescent="0.3">
      <c r="B7" s="333"/>
      <c r="C7" s="334"/>
    </row>
    <row r="8" spans="2:5" ht="15" thickBot="1" x14ac:dyDescent="0.35">
      <c r="B8" s="335"/>
      <c r="C8" s="336"/>
    </row>
    <row r="9" spans="2:5" ht="15" thickBot="1" x14ac:dyDescent="0.35">
      <c r="B9" s="337" t="s">
        <v>1040</v>
      </c>
      <c r="C9" s="338"/>
    </row>
    <row r="10" spans="2:5" x14ac:dyDescent="0.3">
      <c r="B10" s="64" t="s">
        <v>1041</v>
      </c>
      <c r="C10" s="65">
        <v>0.03</v>
      </c>
    </row>
    <row r="11" spans="2:5" x14ac:dyDescent="0.3">
      <c r="B11" s="66" t="s">
        <v>1042</v>
      </c>
      <c r="C11" s="67">
        <v>8.0000000000000002E-3</v>
      </c>
    </row>
    <row r="12" spans="2:5" x14ac:dyDescent="0.3">
      <c r="B12" s="66" t="s">
        <v>1043</v>
      </c>
      <c r="C12" s="67">
        <v>9.7000000000000003E-3</v>
      </c>
    </row>
    <row r="13" spans="2:5" ht="15" thickBot="1" x14ac:dyDescent="0.35">
      <c r="B13" s="66" t="s">
        <v>1044</v>
      </c>
      <c r="C13" s="67">
        <v>5.8999999999999999E-3</v>
      </c>
    </row>
    <row r="14" spans="2:5" ht="15" thickBot="1" x14ac:dyDescent="0.35">
      <c r="B14" s="337" t="s">
        <v>1045</v>
      </c>
      <c r="C14" s="338"/>
    </row>
    <row r="15" spans="2:5" ht="15" customHeight="1" thickBot="1" x14ac:dyDescent="0.35">
      <c r="B15" s="66" t="s">
        <v>1046</v>
      </c>
      <c r="C15" s="67">
        <v>6.1600000000000002E-2</v>
      </c>
    </row>
    <row r="16" spans="2:5" ht="15" thickBot="1" x14ac:dyDescent="0.35">
      <c r="B16" s="337" t="s">
        <v>1047</v>
      </c>
      <c r="C16" s="338"/>
    </row>
    <row r="17" spans="2:3" x14ac:dyDescent="0.3">
      <c r="B17" s="66" t="s">
        <v>1048</v>
      </c>
      <c r="C17" s="67">
        <v>0.05</v>
      </c>
    </row>
    <row r="18" spans="2:3" x14ac:dyDescent="0.3">
      <c r="B18" s="66" t="s">
        <v>1049</v>
      </c>
      <c r="C18" s="67">
        <v>6.4999999999999997E-3</v>
      </c>
    </row>
    <row r="19" spans="2:3" x14ac:dyDescent="0.3">
      <c r="B19" s="66" t="s">
        <v>1050</v>
      </c>
      <c r="C19" s="67">
        <v>0.03</v>
      </c>
    </row>
    <row r="20" spans="2:3" ht="15" thickBot="1" x14ac:dyDescent="0.35">
      <c r="B20" s="68" t="s">
        <v>1051</v>
      </c>
      <c r="C20" s="69">
        <v>4.4999999999999998E-2</v>
      </c>
    </row>
    <row r="21" spans="2:3" ht="15" thickBot="1" x14ac:dyDescent="0.35">
      <c r="B21" s="70" t="s">
        <v>1052</v>
      </c>
      <c r="C21" s="71">
        <f>ROUND(((1+(C10+C11+C12))*(1+C13)*(1+C15))/(1-(C17+C18+C19+C20))-1,4)</f>
        <v>0.28820000000000001</v>
      </c>
    </row>
    <row r="22" spans="2:3" x14ac:dyDescent="0.3">
      <c r="B22" s="314" t="s">
        <v>1053</v>
      </c>
      <c r="C22" s="315"/>
    </row>
    <row r="23" spans="2:3" x14ac:dyDescent="0.3">
      <c r="B23" s="316"/>
      <c r="C23" s="317"/>
    </row>
    <row r="24" spans="2:3" x14ac:dyDescent="0.3">
      <c r="B24" s="316"/>
      <c r="C24" s="317"/>
    </row>
    <row r="25" spans="2:3" ht="15" thickBot="1" x14ac:dyDescent="0.35">
      <c r="B25" s="318"/>
      <c r="C25" s="319"/>
    </row>
    <row r="26" spans="2:3" ht="194.25" customHeight="1" x14ac:dyDescent="0.3">
      <c r="B26" s="320" t="s">
        <v>1054</v>
      </c>
      <c r="C26" s="321"/>
    </row>
    <row r="27" spans="2:3" ht="15.75" customHeight="1" thickBot="1" x14ac:dyDescent="0.35">
      <c r="B27" s="72"/>
      <c r="C27" s="73"/>
    </row>
    <row r="28" spans="2:3" ht="15" customHeight="1" x14ac:dyDescent="0.3">
      <c r="B28" s="322" t="s">
        <v>1055</v>
      </c>
      <c r="C28" s="323"/>
    </row>
    <row r="29" spans="2:3" ht="15" thickBot="1" x14ac:dyDescent="0.35">
      <c r="B29" s="324"/>
      <c r="C29" s="325"/>
    </row>
  </sheetData>
  <mergeCells count="9">
    <mergeCell ref="B22:C25"/>
    <mergeCell ref="B26:C26"/>
    <mergeCell ref="B28:C29"/>
    <mergeCell ref="B1:C1"/>
    <mergeCell ref="B3:C4"/>
    <mergeCell ref="B6:C8"/>
    <mergeCell ref="B9:C9"/>
    <mergeCell ref="B14:C14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73E9C5CC9E5489EA86A680F9DCBDC" ma:contentTypeVersion="15" ma:contentTypeDescription="Crie um novo documento." ma:contentTypeScope="" ma:versionID="59d9368791ef9079c1ba53d34cb64a8e">
  <xsd:schema xmlns:xsd="http://www.w3.org/2001/XMLSchema" xmlns:xs="http://www.w3.org/2001/XMLSchema" xmlns:p="http://schemas.microsoft.com/office/2006/metadata/properties" xmlns:ns1="http://schemas.microsoft.com/sharepoint/v3" xmlns:ns2="340b2871-b3a3-450f-9b79-d1cee821277c" xmlns:ns3="04e90cdd-4795-421a-9a00-97aceb5a0bd0" targetNamespace="http://schemas.microsoft.com/office/2006/metadata/properties" ma:root="true" ma:fieldsID="910edcb3d2e35905969755d39e10ce82" ns1:_="" ns2:_="" ns3:_="">
    <xsd:import namespace="http://schemas.microsoft.com/sharepoint/v3"/>
    <xsd:import namespace="340b2871-b3a3-450f-9b79-d1cee821277c"/>
    <xsd:import namespace="04e90cdd-4795-421a-9a00-97aceb5a0bd0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b2871-b3a3-450f-9b79-d1cee8212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90cdd-4795-421a-9a00-97aceb5a0b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d8e31c-ab65-4965-b316-add72ddfa931}" ma:internalName="TaxCatchAll" ma:showField="CatchAllData" ma:web="04e90cdd-4795-421a-9a00-97aceb5a0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4e90cdd-4795-421a-9a00-97aceb5a0bd0" xsi:nil="true"/>
    <lcf76f155ced4ddcb4097134ff3c332f xmlns="340b2871-b3a3-450f-9b79-d1cee821277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10FC9-3224-4559-A76A-D049B11CDB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40b2871-b3a3-450f-9b79-d1cee821277c"/>
    <ds:schemaRef ds:uri="04e90cdd-4795-421a-9a00-97aceb5a0b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9859E0-32A3-4D2B-95FF-D1A4181F886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46217e5-b968-4d2d-b7f2-a21b881485c0"/>
    <ds:schemaRef ds:uri="3aef2108-33cf-4dc3-9caa-1975892637ff"/>
    <ds:schemaRef ds:uri="04e90cdd-4795-421a-9a00-97aceb5a0bd0"/>
    <ds:schemaRef ds:uri="340b2871-b3a3-450f-9b79-d1cee821277c"/>
  </ds:schemaRefs>
</ds:datastoreItem>
</file>

<file path=customXml/itemProps3.xml><?xml version="1.0" encoding="utf-8"?>
<ds:datastoreItem xmlns:ds="http://schemas.openxmlformats.org/officeDocument/2006/customXml" ds:itemID="{0F073CF0-9D30-4096-AC19-25B8DAF82A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RAT</vt:lpstr>
      <vt:lpstr>Conformidade</vt:lpstr>
      <vt:lpstr>Valores Unitários</vt:lpstr>
      <vt:lpstr>Prefixos</vt:lpstr>
      <vt:lpstr>BDI</vt:lpstr>
      <vt:lpstr>Conformidade!Area_de_impressao</vt:lpstr>
      <vt:lpstr>RAT!Area_de_impressao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2025-10-28T15:00:53Z</cp:lastPrinted>
  <dcterms:created xsi:type="dcterms:W3CDTF">2019-04-04T14:13:54Z</dcterms:created>
  <dcterms:modified xsi:type="dcterms:W3CDTF">2026-02-23T17:22:10Z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0x010100CEA36A465A48A941A6824E0C7C100BC0</vt:lpwstr>
  </property>
  <property fmtid="{D5CDD505-2E9C-101B-9397-08002B2CF9AE}" pid="3" name="MSIP_Label_40881dc9-f7f2-41de-a334-ceff3dc15b31_Enabled">
    <vt:lpwstr>true</vt:lpwstr>
  </property>
  <property fmtid="{D5CDD505-2E9C-101B-9397-08002B2CF9AE}" pid="4" name="MSIP_Label_40881dc9-f7f2-41de-a334-ceff3dc15b31_SetDate">
    <vt:lpwstr>2023-05-05T14:10:46Z</vt:lpwstr>
  </property>
  <property fmtid="{D5CDD505-2E9C-101B-9397-08002B2CF9AE}" pid="5" name="MSIP_Label_40881dc9-f7f2-41de-a334-ceff3dc15b31_Method">
    <vt:lpwstr>Standard</vt:lpwstr>
  </property>
  <property fmtid="{D5CDD505-2E9C-101B-9397-08002B2CF9AE}" pid="6" name="MSIP_Label_40881dc9-f7f2-41de-a334-ceff3dc15b31_Name">
    <vt:lpwstr>40881dc9-f7f2-41de-a334-ceff3dc15b31</vt:lpwstr>
  </property>
  <property fmtid="{D5CDD505-2E9C-101B-9397-08002B2CF9AE}" pid="7" name="MSIP_Label_40881dc9-f7f2-41de-a334-ceff3dc15b31_SiteId">
    <vt:lpwstr>ea0c2907-38d2-4181-8750-b0b190b60443</vt:lpwstr>
  </property>
  <property fmtid="{D5CDD505-2E9C-101B-9397-08002B2CF9AE}" pid="8" name="MSIP_Label_40881dc9-f7f2-41de-a334-ceff3dc15b31_ActionId">
    <vt:lpwstr>1ffa86dc-367a-4763-987b-b536e52b313a</vt:lpwstr>
  </property>
  <property fmtid="{D5CDD505-2E9C-101B-9397-08002B2CF9AE}" pid="9" name="MSIP_Label_40881dc9-f7f2-41de-a334-ceff3dc15b31_ContentBits">
    <vt:lpwstr>1</vt:lpwstr>
  </property>
  <property fmtid="{D5CDD505-2E9C-101B-9397-08002B2CF9AE}" pid="10" name="Order">
    <vt:r8>11657200</vt:r8>
  </property>
  <property fmtid="{D5CDD505-2E9C-101B-9397-08002B2CF9AE}" pid="11" name="MediaServiceImageTags">
    <vt:lpwstr/>
  </property>
</Properties>
</file>