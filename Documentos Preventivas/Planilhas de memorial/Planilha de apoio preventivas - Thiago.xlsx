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thiag\Desktop\000 - Minha Demanda\1 - Preventivas 2026\01 - Apoio operacional\"/>
    </mc:Choice>
  </mc:AlternateContent>
  <xr:revisionPtr revIDLastSave="0" documentId="13_ncr:1_{B1C2EE18-D51D-4932-94C2-8B61388E5BC3}" xr6:coauthVersionLast="47" xr6:coauthVersionMax="47" xr10:uidLastSave="{00000000-0000-0000-0000-000000000000}"/>
  <bookViews>
    <workbookView xWindow="-108" yWindow="-108" windowWidth="23256" windowHeight="12456" tabRatio="788" activeTab="3" xr2:uid="{F1DA345B-EEE0-480B-B7A3-826CEB08C4B6}"/>
  </bookViews>
  <sheets>
    <sheet name="Esmalte em porta " sheetId="5" r:id="rId1"/>
    <sheet name="Planilha de cálculo  UNIDADE" sheetId="11" r:id="rId2"/>
    <sheet name="Planilha de cálculo MEDIDAS" sheetId="9" r:id="rId3"/>
    <sheet name="itens " sheetId="3" r:id="rId4"/>
    <sheet name="Valores individuais - Padrão" sheetId="4" r:id="rId5"/>
  </sheets>
  <externalReferences>
    <externalReference r:id="rId6"/>
  </externalReferences>
  <definedNames>
    <definedName name="_xlnm._FilterDatabase" localSheetId="4" hidden="1">'Valores individuais - Padrão'!$A$1:$D$509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9" l="1"/>
  <c r="J6" i="3"/>
  <c r="F3" i="9"/>
  <c r="F4" i="9"/>
  <c r="F5" i="9"/>
  <c r="F6" i="9"/>
  <c r="F7" i="9"/>
  <c r="F8" i="9"/>
  <c r="F9" i="9"/>
  <c r="F10" i="9"/>
  <c r="F11" i="9"/>
  <c r="F12" i="9"/>
  <c r="I2" i="3"/>
  <c r="I3" i="3"/>
  <c r="I4" i="3"/>
  <c r="I5" i="3"/>
  <c r="I6" i="3"/>
  <c r="I7" i="3"/>
  <c r="I8" i="3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E32" i="9"/>
  <c r="C49" i="9" l="1"/>
  <c r="K2" i="3"/>
  <c r="K3" i="3"/>
  <c r="K11" i="3"/>
  <c r="I11" i="3"/>
  <c r="K10" i="3"/>
  <c r="I10" i="3"/>
  <c r="K9" i="3"/>
  <c r="I9" i="3"/>
  <c r="K8" i="3"/>
  <c r="K7" i="3"/>
  <c r="K6" i="3"/>
  <c r="K5" i="3"/>
  <c r="K4" i="3"/>
  <c r="E22" i="5"/>
  <c r="E21" i="5"/>
  <c r="E20" i="5"/>
  <c r="E19" i="5"/>
  <c r="E18" i="5"/>
  <c r="E17" i="5"/>
  <c r="F73" i="11"/>
  <c r="F35" i="11"/>
  <c r="D11" i="3"/>
  <c r="B11" i="3"/>
  <c r="D10" i="3"/>
  <c r="B10" i="3"/>
  <c r="D9" i="3"/>
  <c r="B9" i="3"/>
  <c r="D8" i="3"/>
  <c r="B8" i="3"/>
  <c r="D7" i="3"/>
  <c r="B7" i="3"/>
  <c r="D6" i="3"/>
  <c r="B6" i="3"/>
  <c r="D5" i="3"/>
  <c r="B5" i="3"/>
  <c r="D4" i="3"/>
  <c r="B4" i="3"/>
  <c r="D3" i="3"/>
  <c r="B3" i="3"/>
  <c r="D2" i="3"/>
  <c r="B2" i="3"/>
  <c r="E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E45" i="9"/>
  <c r="F44" i="9"/>
  <c r="F43" i="9"/>
  <c r="F42" i="9"/>
  <c r="F41" i="9"/>
  <c r="F40" i="9"/>
  <c r="F39" i="9"/>
  <c r="F38" i="9"/>
  <c r="F37" i="9"/>
  <c r="F17" i="9"/>
  <c r="F16" i="9"/>
  <c r="F15" i="9"/>
  <c r="F14" i="9"/>
  <c r="F13" i="9"/>
  <c r="F31" i="9"/>
  <c r="E23" i="5" l="1"/>
  <c r="F79" i="9"/>
  <c r="F80" i="9" s="1"/>
  <c r="F45" i="9"/>
  <c r="F46" i="9" s="1"/>
  <c r="F32" i="9"/>
  <c r="F33" i="9" s="1"/>
  <c r="E3" i="5" l="1"/>
  <c r="E8" i="5" l="1"/>
  <c r="E7" i="5"/>
  <c r="E6" i="5"/>
  <c r="E5" i="5"/>
  <c r="E4" i="5"/>
  <c r="E9" i="5" l="1"/>
</calcChain>
</file>

<file path=xl/sharedStrings.xml><?xml version="1.0" encoding="utf-8"?>
<sst xmlns="http://schemas.openxmlformats.org/spreadsheetml/2006/main" count="1549" uniqueCount="1009">
  <si>
    <t>ITEM</t>
  </si>
  <si>
    <t>QTDE</t>
  </si>
  <si>
    <t>UN.</t>
  </si>
  <si>
    <t>PRELIMINARES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</si>
  <si>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</si>
  <si>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</si>
  <si>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</si>
  <si>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</si>
  <si>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</si>
  <si>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</si>
  <si>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</si>
  <si>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</si>
  <si>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</si>
  <si>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</si>
  <si>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</si>
  <si>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1.6</t>
  </si>
  <si>
    <t>UN</t>
  </si>
  <si>
    <t>IMPLANTAÇÃO / ADMINISTRAÇÃO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</si>
  <si>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</si>
  <si>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</si>
  <si>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</si>
  <si>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</si>
  <si>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</si>
  <si>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</si>
  <si>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</si>
  <si>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</si>
  <si>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</si>
  <si>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</si>
  <si>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</si>
  <si>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</si>
  <si>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</si>
  <si>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</si>
  <si>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</si>
  <si>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</si>
  <si>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</si>
  <si>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</si>
  <si>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</si>
  <si>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</si>
  <si>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</si>
  <si>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</si>
  <si>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</si>
  <si>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</si>
  <si>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</si>
  <si>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</si>
  <si>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</si>
  <si>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</si>
  <si>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</si>
  <si>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</si>
  <si>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</si>
  <si>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</si>
  <si>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</si>
  <si>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</si>
  <si>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</si>
  <si>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</si>
  <si>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</si>
  <si>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</si>
  <si>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</si>
  <si>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</si>
  <si>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</si>
  <si>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</si>
  <si>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</si>
  <si>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</si>
  <si>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</si>
  <si>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</si>
  <si>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</si>
  <si>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</si>
  <si>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</si>
  <si>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</si>
  <si>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</si>
  <si>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</si>
  <si>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</si>
  <si>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</si>
  <si>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</si>
  <si>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</si>
  <si>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</si>
  <si>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</si>
  <si>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</si>
  <si>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</si>
  <si>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</si>
  <si>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</si>
  <si>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</si>
  <si>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</si>
  <si>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</si>
  <si>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</si>
  <si>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</si>
  <si>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</si>
  <si>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</si>
  <si>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</si>
  <si>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</si>
  <si>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</si>
  <si>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</si>
  <si>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</si>
  <si>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</si>
  <si>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</si>
  <si>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</si>
  <si>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</si>
  <si>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</si>
  <si>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</si>
  <si>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</si>
  <si>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</si>
  <si>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</si>
  <si>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</si>
  <si>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</si>
  <si>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</si>
  <si>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</si>
  <si>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</si>
  <si>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</si>
  <si>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</si>
  <si>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</si>
  <si>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</si>
  <si>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</si>
  <si>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</si>
  <si>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</si>
  <si>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</si>
  <si>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</si>
  <si>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</si>
  <si>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</si>
  <si>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</si>
  <si>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</si>
  <si>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</si>
  <si>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</si>
  <si>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</si>
  <si>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</si>
  <si>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</si>
  <si>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</si>
  <si>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</si>
  <si>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</si>
  <si>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</si>
  <si>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</si>
  <si>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</si>
  <si>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</si>
  <si>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</si>
  <si>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</si>
  <si>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</si>
  <si>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</si>
  <si>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</si>
  <si>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</si>
  <si>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</si>
  <si>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</si>
  <si>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</si>
  <si>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Fixação de telha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</si>
  <si>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</si>
  <si>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</si>
  <si>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</si>
  <si>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</si>
  <si>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</si>
  <si>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</si>
  <si>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</si>
  <si>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</si>
  <si>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</si>
  <si>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</si>
  <si>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</si>
  <si>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</si>
  <si>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</si>
  <si>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</si>
  <si>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</si>
  <si>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</si>
  <si>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</si>
  <si>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</si>
  <si>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</si>
  <si>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</si>
  <si>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</si>
  <si>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</si>
  <si>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</si>
  <si>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</si>
  <si>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</si>
  <si>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</si>
  <si>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</si>
  <si>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</si>
  <si>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</si>
  <si>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</si>
  <si>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</si>
  <si>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</si>
  <si>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</si>
  <si>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</si>
  <si>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</si>
  <si>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</si>
  <si>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</si>
  <si>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</si>
  <si>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</si>
  <si>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</si>
  <si>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</si>
  <si>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</si>
  <si>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</si>
  <si>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</si>
  <si>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</si>
  <si>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</si>
  <si>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</si>
  <si>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</si>
  <si>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</si>
  <si>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</si>
  <si>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</si>
  <si>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</si>
  <si>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</si>
  <si>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</si>
  <si>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</si>
  <si>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</si>
  <si>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</si>
  <si>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</si>
  <si>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</si>
  <si>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</si>
  <si>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</si>
  <si>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</si>
  <si>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</si>
  <si>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</si>
  <si>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</si>
  <si>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</si>
  <si>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</si>
  <si>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</si>
  <si>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</si>
  <si>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</si>
  <si>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</si>
  <si>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</si>
  <si>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</si>
  <si>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</si>
  <si>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</si>
  <si>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</si>
  <si>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</si>
  <si>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</si>
  <si>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</si>
  <si>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</si>
  <si>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</si>
  <si>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</si>
  <si>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</si>
  <si>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</si>
  <si>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</si>
  <si>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</si>
  <si>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</si>
  <si>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</si>
  <si>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</si>
  <si>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</si>
  <si>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</si>
  <si>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</si>
  <si>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</si>
  <si>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</si>
  <si>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</si>
  <si>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</si>
  <si>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</si>
  <si>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</si>
  <si>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</si>
  <si>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</si>
  <si>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</si>
  <si>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</si>
  <si>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</si>
  <si>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</si>
  <si>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</si>
  <si>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</si>
  <si>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</si>
  <si>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</si>
  <si>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</si>
  <si>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</si>
  <si>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</si>
  <si>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</si>
  <si>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</si>
  <si>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</si>
  <si>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</si>
  <si>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</si>
  <si>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</si>
  <si>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</si>
  <si>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</si>
  <si>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</si>
  <si>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</si>
  <si>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</si>
  <si>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</si>
  <si>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</si>
  <si>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</si>
  <si>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</si>
  <si>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</si>
  <si>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</si>
  <si>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</si>
  <si>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</si>
  <si>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</si>
  <si>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</si>
  <si>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</si>
  <si>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</si>
  <si>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</si>
  <si>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</si>
  <si>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</si>
  <si>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</si>
  <si>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</si>
  <si>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</si>
  <si>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</si>
  <si>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</si>
  <si>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</si>
  <si>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</si>
  <si>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</si>
  <si>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</si>
  <si>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</si>
  <si>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</si>
  <si>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</si>
  <si>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</si>
  <si>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</si>
  <si>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</si>
  <si>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</si>
  <si>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</si>
  <si>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</si>
  <si>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</si>
  <si>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</si>
  <si>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</si>
  <si>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</si>
  <si>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</si>
  <si>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</si>
  <si>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</si>
  <si>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</si>
  <si>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</si>
  <si>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</si>
  <si>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</si>
  <si>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</si>
  <si>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</si>
  <si>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</si>
  <si>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</si>
  <si>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</si>
  <si>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</si>
  <si>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</si>
  <si>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</si>
  <si>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</si>
  <si>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</si>
  <si>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</si>
  <si>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</si>
  <si>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</si>
  <si>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</si>
  <si>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</si>
  <si>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</si>
  <si>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</si>
  <si>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</si>
  <si>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</si>
  <si>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</si>
  <si>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</si>
  <si>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</si>
  <si>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</si>
  <si>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</si>
  <si>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</si>
  <si>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</si>
  <si>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</si>
  <si>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</si>
  <si>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</si>
  <si>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</si>
  <si>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</si>
  <si>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</si>
  <si>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</si>
  <si>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</si>
  <si>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</si>
  <si>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</si>
  <si>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</si>
  <si>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</si>
  <si>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</si>
  <si>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</si>
  <si>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</si>
  <si>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</si>
  <si>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</si>
  <si>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</si>
  <si>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</si>
  <si>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</si>
  <si>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</si>
  <si>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</si>
  <si>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</si>
  <si>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</si>
  <si>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</si>
  <si>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</si>
  <si>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</si>
  <si>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</si>
  <si>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</si>
  <si>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</si>
  <si>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</si>
  <si>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</si>
  <si>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</si>
  <si>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</si>
  <si>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</si>
  <si>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</si>
  <si>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</si>
  <si>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</si>
  <si>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</si>
  <si>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</si>
  <si>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</si>
  <si>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</si>
  <si>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</si>
  <si>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</si>
  <si>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</si>
  <si>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</si>
  <si>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</si>
  <si>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</si>
  <si>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</si>
  <si>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</si>
  <si>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</si>
  <si>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</si>
  <si>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</si>
  <si>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</si>
  <si>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</si>
  <si>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</si>
  <si>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</si>
  <si>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</si>
  <si>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</si>
  <si>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</si>
  <si>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</si>
  <si>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</si>
  <si>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</si>
  <si>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</si>
  <si>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</si>
  <si>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</si>
  <si>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</si>
  <si>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</si>
  <si>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</si>
  <si>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</si>
  <si>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</si>
  <si>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</si>
  <si>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</si>
  <si>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</si>
  <si>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</si>
  <si>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</si>
  <si>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</si>
  <si>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</si>
  <si>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</si>
  <si>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</si>
  <si>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</si>
  <si>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</si>
  <si>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</si>
  <si>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</si>
  <si>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</si>
  <si>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</si>
  <si>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</si>
  <si>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</si>
  <si>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</si>
  <si>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</si>
  <si>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</si>
  <si>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</si>
  <si>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</si>
  <si>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</si>
  <si>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</si>
  <si>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</si>
  <si>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</si>
  <si>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</si>
  <si>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</si>
  <si>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</si>
  <si>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</si>
  <si>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</si>
  <si>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</si>
  <si>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</si>
  <si>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</si>
  <si>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</si>
  <si>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</si>
  <si>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</si>
  <si>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</si>
  <si>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</si>
  <si>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</si>
  <si>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</si>
  <si>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</si>
  <si>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</si>
  <si>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</si>
  <si>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</si>
  <si>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</si>
  <si>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</si>
  <si>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</si>
  <si>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</si>
  <si>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</si>
  <si>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</si>
  <si>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</si>
  <si>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</si>
  <si>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</si>
  <si>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</si>
  <si>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</si>
  <si>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</si>
  <si>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</si>
  <si>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</si>
  <si>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</si>
  <si>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</si>
  <si>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</si>
  <si>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</si>
  <si>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</si>
  <si>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</si>
  <si>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</si>
  <si>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</si>
  <si>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</si>
  <si>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</si>
  <si>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</si>
  <si>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</si>
  <si>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</si>
  <si>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</si>
  <si>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</si>
  <si>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</si>
  <si>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</si>
  <si>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</si>
  <si>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</si>
  <si>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</si>
  <si>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</si>
  <si>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</si>
  <si>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</si>
  <si>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</si>
  <si>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</si>
  <si>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</si>
  <si>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</si>
  <si>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</si>
  <si>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</si>
  <si>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</si>
  <si>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</si>
  <si>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</si>
  <si>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</si>
  <si>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</si>
  <si>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</si>
  <si>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</si>
  <si>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</si>
  <si>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</si>
  <si>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</si>
  <si>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</si>
  <si>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</si>
  <si>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</si>
  <si>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</si>
  <si>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</si>
  <si>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</si>
  <si>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</si>
  <si>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</si>
  <si>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</si>
  <si>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</si>
  <si>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</si>
  <si>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</si>
  <si>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</si>
  <si>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</si>
  <si>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</si>
  <si>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</si>
  <si>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</si>
  <si>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</si>
  <si>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</si>
  <si>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</si>
  <si>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</si>
  <si>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</si>
  <si>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</si>
  <si>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</si>
  <si>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</si>
  <si>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</si>
  <si>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</si>
  <si>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</si>
  <si>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</si>
  <si>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</si>
  <si>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</si>
  <si>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</si>
  <si>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</si>
  <si>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</si>
  <si>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</si>
  <si>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</si>
  <si>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</si>
  <si>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</si>
  <si>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</si>
  <si>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</si>
  <si>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</si>
  <si>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</si>
  <si>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</si>
  <si>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</si>
  <si>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</si>
  <si>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</si>
  <si>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</si>
  <si>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</si>
  <si>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</si>
  <si>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</si>
  <si>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</si>
  <si>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</si>
  <si>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</si>
  <si>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</si>
  <si>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</si>
  <si>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</si>
  <si>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</si>
  <si>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</si>
  <si>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</si>
  <si>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</si>
  <si>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</si>
  <si>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</si>
  <si>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</si>
  <si>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</si>
  <si>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</si>
  <si>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</si>
  <si>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</si>
  <si>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</si>
  <si>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</si>
  <si>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</si>
  <si>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</si>
  <si>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</si>
  <si>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</si>
  <si>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</si>
  <si>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</si>
  <si>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</si>
  <si>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</si>
  <si>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</si>
  <si>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</si>
  <si>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</si>
  <si>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</si>
  <si>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</si>
  <si>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</si>
  <si>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</si>
  <si>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</si>
  <si>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Contator de Potencia até 12A</t>
  </si>
  <si>
    <t>19.67</t>
  </si>
  <si>
    <t>Contator de Potencia até 45A</t>
  </si>
  <si>
    <t>19.68</t>
  </si>
  <si>
    <t>Contator de Potencia até 94A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</si>
  <si>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</si>
  <si>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</si>
  <si>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</si>
  <si>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</si>
  <si>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</si>
  <si>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</si>
  <si>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</si>
  <si>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</si>
  <si>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</si>
  <si>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</si>
  <si>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</si>
  <si>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</si>
  <si>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</si>
  <si>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</si>
  <si>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</si>
  <si>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</si>
  <si>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</si>
  <si>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</si>
  <si>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</si>
  <si>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</si>
  <si>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</si>
  <si>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</si>
  <si>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</si>
  <si>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</si>
  <si>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</si>
  <si>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</si>
  <si>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</si>
  <si>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</si>
  <si>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</si>
  <si>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</si>
  <si>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</si>
  <si>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</si>
  <si>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</si>
  <si>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</si>
  <si>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</si>
  <si>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</si>
  <si>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</si>
  <si>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</si>
  <si>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</si>
  <si>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</si>
  <si>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</si>
  <si>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</si>
  <si>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</si>
  <si>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</si>
  <si>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</si>
  <si>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</si>
  <si>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</si>
  <si>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</si>
  <si>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</si>
  <si>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</si>
  <si>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</si>
  <si>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</si>
  <si>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</si>
  <si>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</si>
  <si>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</si>
  <si>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</si>
  <si>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</si>
  <si>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</si>
  <si>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</si>
  <si>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</si>
  <si>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</si>
  <si>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Eletromagnética força de tração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</si>
  <si>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</si>
  <si>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</si>
  <si>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</si>
  <si>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</si>
  <si>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</si>
  <si>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</si>
  <si>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</si>
  <si>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</si>
  <si>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</si>
  <si>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</si>
  <si>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</si>
  <si>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</si>
  <si>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</si>
  <si>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</si>
  <si>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</si>
  <si>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</si>
  <si>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</si>
  <si>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</si>
  <si>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</si>
  <si>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</si>
  <si>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</si>
  <si>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</si>
  <si>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</si>
  <si>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</si>
  <si>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</si>
  <si>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</si>
  <si>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</si>
  <si>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</si>
  <si>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</si>
  <si>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</si>
  <si>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</si>
  <si>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</si>
  <si>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</si>
  <si>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</si>
  <si>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</si>
  <si>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</si>
  <si>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</si>
  <si>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</si>
  <si>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</si>
  <si>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</si>
  <si>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</si>
  <si>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</si>
  <si>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</si>
  <si>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</si>
  <si>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</si>
  <si>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</si>
  <si>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</si>
  <si>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</si>
  <si>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</si>
  <si>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</si>
  <si>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</si>
  <si>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</si>
  <si>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</si>
  <si>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</si>
  <si>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</si>
  <si>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</si>
  <si>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</si>
  <si>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</si>
  <si>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</si>
  <si>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</si>
  <si>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</si>
  <si>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</si>
  <si>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</si>
  <si>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</si>
  <si>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</si>
  <si>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</si>
  <si>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</si>
  <si>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</si>
  <si>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</si>
  <si>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</si>
  <si>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</si>
  <si>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</si>
  <si>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</si>
  <si>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</si>
  <si>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</si>
  <si>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</si>
  <si>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</si>
  <si>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</si>
  <si>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</si>
  <si>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</si>
  <si>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</si>
  <si>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</si>
  <si>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</si>
  <si>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</si>
  <si>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</si>
  <si>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</si>
  <si>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</si>
  <si>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</si>
  <si>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</si>
  <si>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</si>
  <si>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</si>
  <si>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</si>
  <si>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</si>
  <si>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</si>
  <si>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</si>
  <si>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</si>
  <si>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</si>
  <si>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</si>
  <si>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</si>
  <si>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</si>
  <si>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</si>
  <si>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</si>
  <si>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</si>
  <si>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</si>
  <si>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</si>
  <si>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</si>
  <si>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</si>
  <si>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</si>
  <si>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</si>
  <si>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</si>
  <si>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</si>
  <si>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</si>
  <si>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</si>
  <si>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</si>
  <si>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</si>
  <si>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</si>
  <si>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</si>
  <si>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</si>
  <si>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</si>
  <si>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</si>
  <si>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</si>
  <si>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</si>
  <si>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</si>
  <si>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</si>
  <si>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</si>
  <si>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</si>
  <si>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</si>
  <si>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</si>
  <si>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</si>
  <si>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</si>
  <si>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</si>
  <si>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</si>
  <si>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</si>
  <si>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</si>
  <si>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</si>
  <si>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</si>
  <si>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</si>
  <si>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</si>
  <si>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</si>
  <si>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</si>
  <si>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</si>
  <si>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</si>
  <si>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</si>
  <si>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</si>
  <si>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</si>
  <si>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</si>
  <si>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</si>
  <si>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</si>
  <si>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</si>
  <si>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</si>
  <si>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</si>
  <si>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</si>
  <si>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</si>
  <si>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</si>
  <si>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</si>
  <si>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</si>
  <si>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</si>
  <si>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</si>
  <si>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</si>
  <si>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</si>
  <si>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</si>
  <si>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</si>
  <si>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</si>
  <si>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</si>
  <si>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</si>
  <si>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</si>
  <si>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</si>
  <si>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</si>
  <si>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</si>
  <si>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</si>
  <si>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</si>
  <si>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</si>
  <si>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</si>
  <si>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</si>
  <si>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</si>
  <si>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</si>
  <si>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</si>
  <si>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</si>
  <si>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</si>
  <si>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</si>
  <si>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</si>
  <si>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</si>
  <si>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</si>
  <si>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</si>
  <si>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</si>
  <si>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</si>
  <si>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</si>
  <si>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</si>
  <si>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</si>
  <si>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</si>
  <si>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</si>
  <si>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</si>
  <si>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</si>
  <si>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</si>
  <si>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</si>
  <si>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</si>
  <si>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</si>
  <si>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</si>
  <si>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</si>
  <si>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</si>
  <si>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</si>
  <si>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</si>
  <si>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</si>
  <si>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29.3</t>
  </si>
  <si>
    <t>Sinalização visual e tátil no acesso - PLACA 30x18 cm</t>
  </si>
  <si>
    <t>29.4</t>
  </si>
  <si>
    <t xml:space="preserve">Borda de piso fotoluminescente - autoadesivo (referência: Fita Antiderrapante Fosforescente Neon Safety-Walk 3M) - largura: 50mm </t>
  </si>
  <si>
    <t>29.5</t>
  </si>
  <si>
    <t>Alarme de emergência sem fio para sanitário de PPNE (botoeira/alarme sonoro e visual)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</si>
  <si>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</si>
  <si>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</si>
  <si>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</si>
  <si>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</si>
  <si>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</si>
  <si>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</si>
  <si>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</si>
  <si>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</si>
  <si>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</si>
  <si>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</si>
  <si>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</si>
  <si>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</si>
  <si>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</si>
  <si>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</si>
  <si>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</si>
  <si>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</si>
  <si>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</si>
  <si>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</si>
  <si>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</si>
  <si>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</si>
  <si>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</si>
  <si>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</si>
  <si>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</si>
  <si>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</si>
  <si>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</si>
  <si>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</si>
  <si>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</si>
  <si>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</si>
  <si>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</si>
  <si>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</si>
  <si>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</si>
  <si>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</si>
  <si>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</si>
  <si>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</si>
  <si>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</si>
  <si>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</si>
  <si>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</si>
  <si>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</si>
  <si>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</si>
  <si>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</si>
  <si>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</si>
  <si>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</si>
  <si>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</si>
  <si>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</si>
  <si>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</si>
  <si>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</si>
  <si>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</si>
  <si>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</si>
  <si>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</si>
  <si>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</si>
  <si>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</si>
  <si>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</si>
  <si>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</si>
  <si>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</si>
  <si>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</si>
  <si>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</si>
  <si>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</si>
  <si>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</si>
  <si>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</si>
  <si>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</si>
  <si>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</si>
  <si>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</si>
  <si>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</si>
  <si>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</si>
  <si>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</si>
  <si>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</si>
  <si>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</si>
  <si>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</si>
  <si>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</si>
  <si>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</si>
  <si>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</si>
  <si>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</si>
  <si>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</si>
  <si>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</si>
  <si>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</si>
  <si>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</si>
  <si>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</si>
  <si>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</si>
  <si>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</si>
  <si>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</si>
  <si>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</si>
  <si>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</si>
  <si>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</si>
  <si>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</si>
  <si>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</si>
  <si>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</si>
  <si>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</si>
  <si>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</si>
  <si>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</si>
  <si>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</si>
  <si>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h</t>
  </si>
  <si>
    <t>29.51</t>
  </si>
  <si>
    <t>LIMPEZA E VERIFICAÇÃO FINAL</t>
  </si>
  <si>
    <t>Itens</t>
  </si>
  <si>
    <t>Total (X3)</t>
  </si>
  <si>
    <t xml:space="preserve">Subtotal </t>
  </si>
  <si>
    <t xml:space="preserve">Total </t>
  </si>
  <si>
    <t>de</t>
  </si>
  <si>
    <t>.</t>
  </si>
  <si>
    <t>REFERÊNCIA</t>
  </si>
  <si>
    <t>LARGURA (m)</t>
  </si>
  <si>
    <t>DESCONTO</t>
  </si>
  <si>
    <t>TOTAL (m²)</t>
  </si>
  <si>
    <t>ALTURA (m)</t>
  </si>
  <si>
    <t>COMPRIMENTO (m)</t>
  </si>
  <si>
    <t xml:space="preserve">                                          </t>
  </si>
  <si>
    <t>Chamado Preventivo</t>
  </si>
  <si>
    <t>Deslocamento Fluvial</t>
  </si>
  <si>
    <t>Km</t>
  </si>
  <si>
    <t>1.7</t>
  </si>
  <si>
    <t>Laudo técncio fotográfico - Elementos de Sinalização - Padrão BB</t>
  </si>
  <si>
    <t>Concreto fck = 15 MPa, controle tipo "B", e = 10 cm, e armado com tela de aço CA-60</t>
  </si>
  <si>
    <t>Impermeabilização com manta asfáltica modificada com polímeros aluminizada</t>
  </si>
  <si>
    <t xml:space="preserve">UN </t>
  </si>
  <si>
    <t>Desinstalação/Instalação de luminária</t>
  </si>
  <si>
    <t>Cabo de cobre flexivel anti-chama 450/750V / de 10 a 16mm2</t>
  </si>
  <si>
    <t>Cabo de cobre flexivel anti-chama 450/750V / de 25 a 35mm2</t>
  </si>
  <si>
    <t>Cabo de cobre flexivel anti-chama 450/750V / de 50 a 70mm2</t>
  </si>
  <si>
    <t>Cabo de cobre flexível anti-chama 450/750V / de 95 a 150mm2</t>
  </si>
  <si>
    <t>Cabo de cobre flexível anti-chama 450/750V / de 185 a 240mm2</t>
  </si>
  <si>
    <t>M</t>
  </si>
  <si>
    <t>CJ</t>
  </si>
  <si>
    <t>M²</t>
  </si>
  <si>
    <t>Manutenção Preventiva de Elementos de Sinalização - Padrão BB</t>
  </si>
  <si>
    <t>TOTAL DO ORÇAMENTO COM BDI INCLUSO:</t>
  </si>
  <si>
    <t xml:space="preserve">Total (DIVIDIDO POR 10) </t>
  </si>
  <si>
    <t>TOTAL (m³)</t>
  </si>
  <si>
    <t xml:space="preserve">Foto </t>
  </si>
  <si>
    <t>MEMORIAL PORTA DE MADEIRA</t>
  </si>
  <si>
    <t>MEMORIAL PORTA DE FERRO</t>
  </si>
  <si>
    <t>MEMORIAL DE UNIDADES COM MEDIDA</t>
  </si>
  <si>
    <t>MEMORIAL DE UNIDADES COM (UN)</t>
  </si>
  <si>
    <t>TOTAL (UN)</t>
  </si>
  <si>
    <t>MEMORIAL DE MEDIDAS (m²)</t>
  </si>
  <si>
    <t>MEMORIAL FIXO ITEM 2.18 (m³)</t>
  </si>
  <si>
    <t>MEMORIAL DE MEDIDAS (variados)</t>
  </si>
  <si>
    <t>Foto 304</t>
  </si>
  <si>
    <t>Foto 305</t>
  </si>
  <si>
    <t>Foto 306</t>
  </si>
  <si>
    <t>Foto 317 a 332</t>
  </si>
  <si>
    <t>Foto 433</t>
  </si>
  <si>
    <t>Foto 434</t>
  </si>
  <si>
    <t>Foto 435</t>
  </si>
  <si>
    <t>Foto 436</t>
  </si>
  <si>
    <t>Foto 437</t>
  </si>
  <si>
    <t>Foto 434 a 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</si>
</sst>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49" fontId="6" fillId="6" borderId="5" xfId="0" applyNumberFormat="1" applyFont="1" applyFill="1" applyBorder="1" applyAlignment="1">
      <alignment horizontal="left" vertical="center"/>
    </xf>
    <xf numFmtId="2" fontId="6" fillId="6" borderId="5" xfId="0" applyNumberFormat="1" applyFont="1" applyFill="1" applyBorder="1" applyAlignment="1">
      <alignment horizontal="left" vertical="center"/>
    </xf>
    <xf numFmtId="1" fontId="6" fillId="6" borderId="6" xfId="0" applyNumberFormat="1" applyFont="1" applyFill="1" applyBorder="1" applyAlignment="1" applyProtection="1">
      <alignment horizontal="center" vertical="center"/>
      <protection locked="0"/>
    </xf>
    <xf numFmtId="0" fontId="2" fillId="7" borderId="7" xfId="0" applyFont="1" applyFill="1" applyBorder="1" applyAlignment="1">
      <alignment horizontal="center" vertical="center"/>
    </xf>
    <xf numFmtId="2" fontId="2" fillId="7" borderId="7" xfId="0" applyNumberFormat="1" applyFont="1" applyFill="1" applyBorder="1" applyAlignment="1">
      <alignment horizontal="left" vertical="center" wrapText="1"/>
    </xf>
    <xf numFmtId="1" fontId="2" fillId="7" borderId="7" xfId="0" applyNumberFormat="1" applyFont="1" applyFill="1" applyBorder="1" applyAlignment="1">
      <alignment horizontal="center" vertical="center" wrapText="1"/>
    </xf>
    <xf numFmtId="2" fontId="2" fillId="7" borderId="7" xfId="0" applyNumberFormat="1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/>
    </xf>
    <xf numFmtId="2" fontId="7" fillId="9" borderId="1" xfId="0" applyNumberFormat="1" applyFont="1" applyFill="1" applyBorder="1" applyAlignment="1">
      <alignment horizontal="justify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4" fontId="7" fillId="9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left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49" fontId="7" fillId="8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justify" vertical="center" wrapText="1"/>
    </xf>
    <xf numFmtId="4" fontId="7" fillId="0" borderId="1" xfId="0" applyNumberFormat="1" applyFont="1" applyBorder="1" applyAlignment="1">
      <alignment horizontal="left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/>
    </xf>
    <xf numFmtId="2" fontId="2" fillId="7" borderId="1" xfId="1" applyNumberFormat="1" applyFont="1" applyFill="1" applyBorder="1" applyAlignment="1">
      <alignment horizontal="left" vertical="center" wrapText="1"/>
    </xf>
    <xf numFmtId="49" fontId="7" fillId="8" borderId="1" xfId="1" applyNumberFormat="1" applyFont="1" applyFill="1" applyBorder="1" applyAlignment="1">
      <alignment horizontal="center" vertical="center"/>
    </xf>
    <xf numFmtId="2" fontId="2" fillId="7" borderId="1" xfId="1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4" fontId="11" fillId="5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wrapText="1" shrinkToFit="1"/>
    </xf>
    <xf numFmtId="0" fontId="12" fillId="0" borderId="0" xfId="0" applyFont="1" applyAlignment="1">
      <alignment horizontal="center" vertical="center" wrapText="1" shrinkToFit="1"/>
    </xf>
    <xf numFmtId="4" fontId="12" fillId="0" borderId="0" xfId="0" applyNumberFormat="1" applyFont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3" fontId="0" fillId="0" borderId="0" xfId="0" applyNumberFormat="1" applyAlignment="1">
      <alignment horizontal="center" vertical="center" wrapText="1" shrinkToFit="1"/>
    </xf>
    <xf numFmtId="2" fontId="4" fillId="0" borderId="1" xfId="0" quotePrefix="1" applyNumberFormat="1" applyFont="1" applyBorder="1" applyAlignment="1">
      <alignment horizontal="center" vertical="center"/>
    </xf>
    <xf numFmtId="0" fontId="13" fillId="10" borderId="0" xfId="0" applyFont="1" applyFill="1" applyAlignment="1">
      <alignment horizontal="center" vertical="center" wrapText="1"/>
    </xf>
    <xf numFmtId="2" fontId="4" fillId="0" borderId="0" xfId="0" applyNumberFormat="1" applyFont="1"/>
    <xf numFmtId="2" fontId="6" fillId="6" borderId="8" xfId="0" applyNumberFormat="1" applyFont="1" applyFill="1" applyBorder="1" applyAlignment="1">
      <alignment horizontal="center" vertical="center"/>
    </xf>
    <xf numFmtId="49" fontId="14" fillId="12" borderId="1" xfId="1" applyNumberFormat="1" applyFont="1" applyFill="1" applyBorder="1" applyAlignment="1">
      <alignment horizontal="left" vertical="center"/>
    </xf>
    <xf numFmtId="2" fontId="14" fillId="12" borderId="1" xfId="1" applyNumberFormat="1" applyFont="1" applyFill="1" applyBorder="1" applyAlignment="1">
      <alignment horizontal="left" vertical="center" wrapText="1"/>
    </xf>
    <xf numFmtId="1" fontId="14" fillId="12" borderId="1" xfId="1" applyNumberFormat="1" applyFont="1" applyFill="1" applyBorder="1" applyAlignment="1">
      <alignment horizontal="center" vertical="center" wrapText="1"/>
    </xf>
    <xf numFmtId="2" fontId="15" fillId="12" borderId="1" xfId="1" applyNumberFormat="1" applyFont="1" applyFill="1" applyBorder="1" applyAlignment="1">
      <alignment horizontal="center" vertical="center" wrapText="1"/>
    </xf>
    <xf numFmtId="0" fontId="16" fillId="0" borderId="0" xfId="0" applyFont="1"/>
    <xf numFmtId="0" fontId="4" fillId="0" borderId="0" xfId="0" applyFont="1" applyAlignment="1">
      <alignment shrinkToFit="1"/>
    </xf>
    <xf numFmtId="2" fontId="9" fillId="0" borderId="4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 wrapText="1"/>
    </xf>
    <xf numFmtId="2" fontId="9" fillId="0" borderId="7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 shrinkToFit="1"/>
    </xf>
    <xf numFmtId="0" fontId="5" fillId="11" borderId="3" xfId="0" applyFont="1" applyFill="1" applyBorder="1" applyAlignment="1">
      <alignment horizontal="center" vertical="center" wrapText="1" shrinkToFi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A68F682-2469-4B89-A350-04E4ECC0C4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b1c83bf0e0c051a/&#193;rea%20de%20Trabalho/Documentos/BANCO%20DO%20BRASIL/00%20-%20Planilhas/MEMORIAL%20DE%20ITENS%20-%20LOTE%2002.xlsx" TargetMode="External"/><Relationship Id="rId1" Type="http://schemas.openxmlformats.org/officeDocument/2006/relationships/externalLinkPath" Target="https://d.docs.live.net/fb1c83bf0e0c051a/&#193;rea%20de%20Trabalho/Thiago/Apoio%20Para%20Relat&#243;rios/01%20-%20Documentos%20de%20Levantamento%20Preventivo/APOIO/MEMORIAL%20DE%20ITENS%20-%20LOTE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Valores"/>
    </sheetNames>
    <sheetDataSet>
      <sheetData sheetId="0" refreshError="1"/>
      <sheetData sheetId="1" refreshError="1">
        <row r="1">
          <cell r="A1" t="str">
            <v>ITEM</v>
          </cell>
          <cell r="B1" t="str">
            <v xml:space="preserve">                                          </v>
          </cell>
          <cell r="C1" t="str">
            <v>QTDE</v>
          </cell>
          <cell r="D1" t="str">
            <v>UN.</v>
          </cell>
        </row>
        <row r="2">
          <cell r="A2">
            <v>1</v>
          </cell>
          <cell r="B2" t="str">
            <v>PRELIMINARES</v>
          </cell>
        </row>
        <row r="3">
          <cell r="A3" t="str">
            <v>1.1</v>
          </cell>
          <cell r="B3" t="str">
            <v>Chamado</v>
          </cell>
          <cell r="C3">
            <v>382</v>
          </cell>
          <cell r="D3" t="str">
            <v xml:space="preserve">un </v>
          </cell>
        </row>
        <row r="4">
          <cell r="A4" t="str">
            <v>1.2</v>
          </cell>
          <cell r="B4" t="str">
            <v>Deslocamento</v>
          </cell>
          <cell r="C4">
            <v>71526</v>
          </cell>
          <cell r="D4" t="str">
            <v>km</v>
          </cell>
        </row>
        <row r="5">
          <cell r="A5" t="str">
            <v>1.3</v>
          </cell>
          <cell r="B5" t="str">
            <v>Revisão de instalações</v>
          </cell>
          <cell r="C5">
            <v>91</v>
          </cell>
          <cell r="D5" t="str">
            <v xml:space="preserve">un </v>
          </cell>
        </row>
        <row r="6">
          <cell r="A6" t="str">
            <v>1.4</v>
          </cell>
          <cell r="B6" t="str">
            <v>Acompanhamento técnico em Segurança do Trabalho</v>
          </cell>
          <cell r="C6">
            <v>50</v>
          </cell>
          <cell r="D6" t="str">
            <v xml:space="preserve">un </v>
          </cell>
        </row>
        <row r="7">
          <cell r="A7" t="str">
            <v>1.5</v>
          </cell>
          <cell r="B7" t="str">
            <v>Chamado Preventivo</v>
          </cell>
          <cell r="C7">
            <v>91</v>
          </cell>
          <cell r="D7" t="str">
            <v xml:space="preserve">un </v>
          </cell>
        </row>
        <row r="8">
          <cell r="A8" t="str">
            <v>1.6</v>
          </cell>
          <cell r="B8" t="str">
            <v>Deslocamento Fluvial</v>
          </cell>
          <cell r="C8">
            <v>8</v>
          </cell>
          <cell r="D8" t="str">
            <v>Km</v>
          </cell>
        </row>
        <row r="9">
          <cell r="A9" t="str">
            <v>1.7</v>
          </cell>
          <cell r="B9" t="str">
            <v>Laudo técncio fotográfico - Elementos de Sinalização - Padrão BB</v>
          </cell>
          <cell r="C9">
            <v>1</v>
          </cell>
          <cell r="D9" t="str">
            <v>UN</v>
          </cell>
        </row>
        <row r="10">
          <cell r="A10">
            <v>2</v>
          </cell>
          <cell r="B10" t="str">
            <v>IMPLANTAÇÃO / ADMINISTRAÇÃO</v>
          </cell>
        </row>
        <row r="11">
          <cell r="A11" t="str">
            <v>2.1</v>
          </cell>
          <cell r="B11" t="str">
            <v>Demolição manual de concreto simples</v>
          </cell>
          <cell r="C11">
            <v>9</v>
          </cell>
          <cell r="D11" t="str">
            <v>m³</v>
          </cell>
        </row>
        <row r="12">
          <cell r="A12" t="str">
            <v>2.2</v>
          </cell>
          <cell r="B12" t="str">
            <v>Demolição manual de alvenaria de elevação ou elemento vazado, incluindo revestimento</v>
          </cell>
          <cell r="C12">
            <v>29</v>
          </cell>
          <cell r="D12" t="str">
            <v>m³</v>
          </cell>
        </row>
        <row r="13">
          <cell r="A13" t="str">
            <v>2.3</v>
          </cell>
          <cell r="B13" t="str">
            <v>Demolição manual de revestimento em massa de parede ou teto ou Dry-Wall</v>
          </cell>
          <cell r="C13">
            <v>146</v>
          </cell>
          <cell r="D13" t="str">
            <v>m³</v>
          </cell>
        </row>
        <row r="14">
          <cell r="A14" t="str">
            <v>2.4</v>
          </cell>
          <cell r="B14" t="str">
            <v>Demolição de pisos em geral (ladrilho hidráulico, camada de enchimento, cerâmica, porcelanato, mármore, granito, pedra e madeira) - Manual</v>
          </cell>
          <cell r="C14">
            <v>44</v>
          </cell>
          <cell r="D14" t="str">
            <v>m²</v>
          </cell>
        </row>
        <row r="15">
          <cell r="A15" t="str">
            <v>2.5</v>
          </cell>
          <cell r="B15" t="str">
            <v>Demolição de pisos em geral (ladrilho hidráulico, camada de enchimento, cerâmica, porcelanato, mármore, granito, pedra e madeira) - Mecanizado</v>
          </cell>
          <cell r="C15">
            <v>92</v>
          </cell>
          <cell r="D15" t="str">
            <v>m²</v>
          </cell>
        </row>
        <row r="16">
          <cell r="A16" t="str">
            <v>2.6</v>
          </cell>
          <cell r="B16" t="str">
            <v>Demolição de pavimentação com pré-moldado de concreto ou intertravado</v>
          </cell>
          <cell r="C16">
            <v>7</v>
          </cell>
          <cell r="D16" t="str">
            <v>m²</v>
          </cell>
        </row>
        <row r="17">
          <cell r="A17" t="str">
            <v>2.7</v>
          </cell>
          <cell r="B17" t="str">
            <v>Demolição de piso cimentado sobre lastro de concreto</v>
          </cell>
          <cell r="C17">
            <v>10</v>
          </cell>
          <cell r="D17" t="str">
            <v>m²</v>
          </cell>
        </row>
        <row r="18">
          <cell r="A18" t="str">
            <v>2.8</v>
          </cell>
          <cell r="B18" t="str">
            <v>Demolição manual de forro, inclusive sistema de fixação/tarugamento</v>
          </cell>
          <cell r="C18">
            <v>1070</v>
          </cell>
          <cell r="D18" t="str">
            <v>m²</v>
          </cell>
        </row>
        <row r="19">
          <cell r="A19" t="str">
            <v>2.9</v>
          </cell>
          <cell r="B19" t="str">
            <v>Demolição de contrapiso/argamassa regularizante, isolante ou protetora</v>
          </cell>
          <cell r="C19">
            <v>7</v>
          </cell>
          <cell r="D19" t="str">
            <v>m²</v>
          </cell>
        </row>
        <row r="20">
          <cell r="A20" t="str">
            <v>2.10</v>
          </cell>
          <cell r="B20" t="str">
            <v>Demolição de estrutura em madeira para telhado</v>
          </cell>
          <cell r="C20">
            <v>12</v>
          </cell>
          <cell r="D20" t="str">
            <v>m²</v>
          </cell>
        </row>
        <row r="21">
          <cell r="A21" t="str">
            <v>2.11</v>
          </cell>
          <cell r="B21" t="str">
            <v>Retirada  de cumeeira, espigão, rufo, calha ou chapim, perfil qualquer</v>
          </cell>
          <cell r="C21">
            <v>255</v>
          </cell>
          <cell r="D21" t="str">
            <v>m</v>
          </cell>
        </row>
        <row r="22">
          <cell r="A22" t="str">
            <v>2.12</v>
          </cell>
          <cell r="B22" t="str">
            <v>Retirada de piso tátil com limpeza</v>
          </cell>
          <cell r="C22">
            <v>4280</v>
          </cell>
          <cell r="D22" t="str">
            <v>m²</v>
          </cell>
        </row>
        <row r="23">
          <cell r="A23" t="str">
            <v>2.13</v>
          </cell>
          <cell r="B23" t="str">
            <v>Remoção de revestimento de piso de carpete ou manta vinílica</v>
          </cell>
          <cell r="C23">
            <v>2408</v>
          </cell>
          <cell r="D23" t="str">
            <v>m²</v>
          </cell>
        </row>
        <row r="24">
          <cell r="A24" t="str">
            <v>2.14</v>
          </cell>
          <cell r="B24" t="str">
            <v>Ajuste de Piso Elevado (remoção e recolocação de revestimentos e placas do piso inclusive)</v>
          </cell>
          <cell r="C24">
            <v>472</v>
          </cell>
          <cell r="D24" t="str">
            <v>m²</v>
          </cell>
        </row>
        <row r="25">
          <cell r="A25" t="str">
            <v>2.15</v>
          </cell>
          <cell r="B25" t="str">
            <v>Retirada de piso elevado, inclusive estrutura de sustentação</v>
          </cell>
          <cell r="C25">
            <v>516</v>
          </cell>
          <cell r="D25" t="str">
            <v>m²</v>
          </cell>
        </row>
        <row r="26">
          <cell r="A26" t="str">
            <v>2.16</v>
          </cell>
          <cell r="B26" t="str">
            <v>Reinstalação de piso elevado proveniente de reaproveitamento, incluso material</v>
          </cell>
          <cell r="C26">
            <v>1</v>
          </cell>
          <cell r="D26" t="str">
            <v>m²</v>
          </cell>
        </row>
        <row r="27">
          <cell r="A27" t="str">
            <v>2.17</v>
          </cell>
          <cell r="B27" t="str">
            <v>Retirada ou recolocação de vidro</v>
          </cell>
          <cell r="C27">
            <v>296</v>
          </cell>
          <cell r="D27" t="str">
            <v>m²</v>
          </cell>
        </row>
        <row r="28">
          <cell r="A28" t="str">
            <v>2.18</v>
          </cell>
          <cell r="B28" t="str">
            <v>Remoção de entulho com caçamba metálica, inclusive limpeza, transporte, carga, descarga e descarte conforme legislação ambiental - Material de descarte (alvenaria, estruturas metálicas, madeiramento, revestimentos cerâmicos, gesso, dry-wall, entre outros)</v>
          </cell>
          <cell r="C28">
            <v>22</v>
          </cell>
          <cell r="D28" t="str">
            <v>m³</v>
          </cell>
        </row>
        <row r="29">
          <cell r="A29" t="str">
            <v>2.19</v>
          </cell>
          <cell r="B29" t="str">
            <v>Remoção / Remanejamento de placa aérea</v>
          </cell>
          <cell r="C29">
            <v>90</v>
          </cell>
          <cell r="D29" t="str">
            <v xml:space="preserve">un </v>
          </cell>
        </row>
        <row r="30">
          <cell r="A30" t="str">
            <v>2.20</v>
          </cell>
          <cell r="B30" t="str">
            <v>Andaime tubular fachadeiro</v>
          </cell>
          <cell r="C30">
            <v>1300</v>
          </cell>
          <cell r="D30" t="str">
            <v>m²/mês</v>
          </cell>
        </row>
        <row r="31">
          <cell r="A31" t="str">
            <v>2.21</v>
          </cell>
          <cell r="B31" t="str">
            <v>Andaime torre metálico (1,5 x 1,5 m) com piso metálico</v>
          </cell>
          <cell r="C31">
            <v>255</v>
          </cell>
          <cell r="D31" t="str">
            <v>m/mês</v>
          </cell>
        </row>
        <row r="32">
          <cell r="A32" t="str">
            <v>2.22</v>
          </cell>
          <cell r="B32" t="str">
            <v>Tapume de chapa de madeira compensada, inclusive montagem</v>
          </cell>
          <cell r="C32">
            <v>1080</v>
          </cell>
          <cell r="D32" t="str">
            <v>m²</v>
          </cell>
        </row>
        <row r="33">
          <cell r="A33" t="str">
            <v>2.23</v>
          </cell>
          <cell r="B33" t="str">
            <v>Remoção de revestimento (piso ou parede) vinílico ou laminado</v>
          </cell>
          <cell r="C33">
            <v>106</v>
          </cell>
          <cell r="D33" t="str">
            <v>m²</v>
          </cell>
        </row>
        <row r="34">
          <cell r="A34" t="str">
            <v>2.24</v>
          </cell>
          <cell r="B34" t="str">
            <v>Andaime balancim</v>
          </cell>
          <cell r="C34">
            <v>1</v>
          </cell>
          <cell r="D34" t="str">
            <v>mês</v>
          </cell>
        </row>
        <row r="35">
          <cell r="A35" t="str">
            <v>2.25</v>
          </cell>
          <cell r="B35" t="str">
            <v>Remoção de estrutura metálica</v>
          </cell>
          <cell r="C35">
            <v>20</v>
          </cell>
          <cell r="D35" t="str">
            <v>m²</v>
          </cell>
        </row>
        <row r="36">
          <cell r="A36" t="str">
            <v>2.26</v>
          </cell>
          <cell r="B36" t="str">
            <v>Remoção de equipamento de ar condicionado</v>
          </cell>
          <cell r="C36">
            <v>1</v>
          </cell>
          <cell r="D36" t="str">
            <v>un</v>
          </cell>
        </row>
        <row r="37">
          <cell r="A37" t="str">
            <v>2.27</v>
          </cell>
          <cell r="B37" t="str">
            <v>Ponto para dreno de Ar Condicionado</v>
          </cell>
          <cell r="C37">
            <v>1</v>
          </cell>
          <cell r="D37" t="str">
            <v>m</v>
          </cell>
        </row>
        <row r="38">
          <cell r="A38" t="str">
            <v>2.28</v>
          </cell>
          <cell r="B38" t="str">
            <v>Fixação de objetos diversos</v>
          </cell>
          <cell r="C38">
            <v>46</v>
          </cell>
          <cell r="D38" t="str">
            <v xml:space="preserve">un </v>
          </cell>
        </row>
        <row r="39">
          <cell r="A39" t="str">
            <v>2.29</v>
          </cell>
          <cell r="B39" t="str">
            <v>Remoção e reinstalação de telhas de cobertura</v>
          </cell>
          <cell r="C39">
            <v>1</v>
          </cell>
          <cell r="D39" t="str">
            <v>m²</v>
          </cell>
        </row>
        <row r="40">
          <cell r="A40" t="str">
            <v>2.30</v>
          </cell>
          <cell r="B40" t="str">
            <v>Remoção de Tapume/Chapas metálicas e de madeira, de forma manual</v>
          </cell>
          <cell r="C40">
            <v>1</v>
          </cell>
          <cell r="D40" t="str">
            <v>m²</v>
          </cell>
        </row>
        <row r="41">
          <cell r="A41" t="str">
            <v>2.31</v>
          </cell>
          <cell r="B41" t="str">
            <v>Anotação de Responsabilidade Técnica (ART)</v>
          </cell>
          <cell r="C41">
            <v>1</v>
          </cell>
          <cell r="D41" t="str">
            <v xml:space="preserve">un </v>
          </cell>
        </row>
        <row r="42">
          <cell r="A42" t="str">
            <v>2.32</v>
          </cell>
          <cell r="B42" t="str">
            <v>Remoção manual de forro, sem estrutura</v>
          </cell>
          <cell r="C42">
            <v>1</v>
          </cell>
          <cell r="D42" t="str">
            <v>m²</v>
          </cell>
        </row>
        <row r="43">
          <cell r="A43" t="str">
            <v>2.33</v>
          </cell>
          <cell r="B43" t="str">
            <v>Demolição de revestimentos de parede em geral (ladrilho hidráulico, camada de enchimento, cerâmica, porcelanato, mármore, granito, pedra e madeira) - Manual</v>
          </cell>
          <cell r="C43">
            <v>1</v>
          </cell>
          <cell r="D43" t="str">
            <v>m²</v>
          </cell>
        </row>
        <row r="44">
          <cell r="A44" t="str">
            <v>2.34</v>
          </cell>
          <cell r="B44" t="str">
            <v>Demolição de revestimentos de parede em geral (ladrilho hidráulico, camada de enchimento, cerâmica, porcelanato, mármore, granito, pedra e madeira) - Mecanizado</v>
          </cell>
          <cell r="C44">
            <v>1</v>
          </cell>
          <cell r="D44" t="str">
            <v>m²</v>
          </cell>
        </row>
        <row r="45">
          <cell r="A45" t="str">
            <v>2.35</v>
          </cell>
          <cell r="B45" t="str">
            <v>Remoção de poste ou mastro para bandeira</v>
          </cell>
          <cell r="C45">
            <v>1</v>
          </cell>
          <cell r="D45" t="str">
            <v xml:space="preserve">un </v>
          </cell>
        </row>
        <row r="46">
          <cell r="A46" t="str">
            <v>2.36</v>
          </cell>
          <cell r="B46" t="str">
            <v>Tela para Andaime</v>
          </cell>
          <cell r="C46">
            <v>1</v>
          </cell>
          <cell r="D46" t="str">
            <v>m²</v>
          </cell>
        </row>
        <row r="47">
          <cell r="A47">
            <v>3</v>
          </cell>
          <cell r="B47" t="str">
            <v>MOVIMENTO DE TERRA</v>
          </cell>
        </row>
        <row r="48">
          <cell r="A48">
            <v>4</v>
          </cell>
          <cell r="B48" t="str">
            <v>FUNDAÇÃO</v>
          </cell>
        </row>
        <row r="49">
          <cell r="A49">
            <v>5</v>
          </cell>
          <cell r="B49" t="str">
            <v>ESTRUTURA</v>
          </cell>
        </row>
        <row r="50">
          <cell r="A50" t="str">
            <v>5.1</v>
          </cell>
          <cell r="B50" t="str">
            <v>Base de concreto para fixação de TAA/TTE</v>
          </cell>
          <cell r="C50">
            <v>1</v>
          </cell>
          <cell r="D50" t="str">
            <v>m³</v>
          </cell>
        </row>
        <row r="51">
          <cell r="A51" t="str">
            <v>5.2</v>
          </cell>
          <cell r="B51" t="str">
            <v>Montagem e Desmontagem de escoramento em madeira.</v>
          </cell>
          <cell r="C51">
            <v>1</v>
          </cell>
          <cell r="D51" t="str">
            <v>m²</v>
          </cell>
        </row>
        <row r="52">
          <cell r="A52" t="str">
            <v>5.3</v>
          </cell>
          <cell r="B52" t="str">
            <v>Montagem e Desmontagem de escoramento metálico.</v>
          </cell>
          <cell r="C52">
            <v>1</v>
          </cell>
          <cell r="D52" t="str">
            <v>m²</v>
          </cell>
        </row>
        <row r="53">
          <cell r="A53" t="str">
            <v>5.4</v>
          </cell>
          <cell r="B53" t="str">
            <v>Concreto fck = 15 MPa, controle tipo "B", e = 10 cm, e armado com tela de aço CA-60</v>
          </cell>
          <cell r="C53">
            <v>18</v>
          </cell>
          <cell r="D53" t="str">
            <v>m²</v>
          </cell>
        </row>
        <row r="54">
          <cell r="A54">
            <v>6</v>
          </cell>
          <cell r="B54" t="str">
            <v>ALVENARIAS E OUTRAS VEDAÇÕES</v>
          </cell>
        </row>
        <row r="55">
          <cell r="A55" t="str">
            <v>6.1</v>
          </cell>
          <cell r="B55" t="str">
            <v>Alvenaria com tijolo cerâmico furado</v>
          </cell>
          <cell r="C55">
            <v>54</v>
          </cell>
          <cell r="D55" t="str">
            <v>m²</v>
          </cell>
        </row>
        <row r="56">
          <cell r="A56" t="str">
            <v>6.2</v>
          </cell>
          <cell r="B56" t="str">
            <v>Parede de gesso em placas duplas acartonado dry wall - inclusive para ambientes úmidos - RU</v>
          </cell>
          <cell r="C56">
            <v>88</v>
          </cell>
          <cell r="D56" t="str">
            <v>m²</v>
          </cell>
        </row>
        <row r="57">
          <cell r="A57" t="str">
            <v>6.3</v>
          </cell>
          <cell r="B57" t="str">
            <v>Rasgo e fechamento em alvenaria e piso</v>
          </cell>
          <cell r="C57">
            <v>60</v>
          </cell>
          <cell r="D57" t="str">
            <v>m</v>
          </cell>
        </row>
        <row r="58">
          <cell r="A58">
            <v>7</v>
          </cell>
          <cell r="B58" t="str">
            <v>COBERTURA</v>
          </cell>
        </row>
        <row r="59">
          <cell r="A59" t="str">
            <v>7.1</v>
          </cell>
          <cell r="B59" t="str">
            <v>Cobertura com telha de alumínio envernizada ou pintada, e=0,5 mm</v>
          </cell>
          <cell r="C59">
            <v>50</v>
          </cell>
          <cell r="D59" t="str">
            <v>m²</v>
          </cell>
        </row>
        <row r="60">
          <cell r="A60" t="str">
            <v>7.2</v>
          </cell>
          <cell r="B60" t="str">
            <v>Cobertura em telha com isolamento termoacustico em espuma rígida de poliuretano (PU) injetado</v>
          </cell>
          <cell r="C60">
            <v>48</v>
          </cell>
          <cell r="D60" t="str">
            <v>m²</v>
          </cell>
        </row>
        <row r="61">
          <cell r="A61" t="str">
            <v>7.3</v>
          </cell>
          <cell r="B61" t="str">
            <v>Cumeeira em chapa metálica</v>
          </cell>
          <cell r="C61">
            <v>1</v>
          </cell>
          <cell r="D61" t="str">
            <v>m</v>
          </cell>
        </row>
        <row r="62">
          <cell r="A62" t="str">
            <v>7.4</v>
          </cell>
          <cell r="B62" t="str">
            <v>Cobertura com telha cerâmica, incluso transporte vertical</v>
          </cell>
          <cell r="C62">
            <v>90</v>
          </cell>
          <cell r="D62" t="str">
            <v>m²</v>
          </cell>
        </row>
        <row r="63">
          <cell r="A63" t="str">
            <v>7.5</v>
          </cell>
          <cell r="B63" t="str">
            <v>Cumeeira para telha cerâmica emboçada com argamassa</v>
          </cell>
          <cell r="C63">
            <v>26</v>
          </cell>
          <cell r="D63" t="str">
            <v>m</v>
          </cell>
        </row>
        <row r="64">
          <cell r="A64" t="str">
            <v>7.6</v>
          </cell>
          <cell r="B64" t="str">
            <v>Cumeeira universal para telhado de fibrocimento, e=6mm</v>
          </cell>
          <cell r="C64">
            <v>72</v>
          </cell>
          <cell r="D64" t="str">
            <v>m</v>
          </cell>
        </row>
        <row r="65">
          <cell r="A65" t="str">
            <v>7.7</v>
          </cell>
          <cell r="B65" t="str">
            <v>Cobertura com telha de fibrocimento,  e = 6 mm,</v>
          </cell>
          <cell r="C65">
            <v>342</v>
          </cell>
          <cell r="D65" t="str">
            <v>m²</v>
          </cell>
        </row>
        <row r="66">
          <cell r="A66" t="str">
            <v>7.8</v>
          </cell>
          <cell r="B66" t="str">
            <v>Calha de chapa galvanizada nº 24 desenvolvimento 33 cm</v>
          </cell>
          <cell r="C66">
            <v>86</v>
          </cell>
          <cell r="D66" t="str">
            <v>m</v>
          </cell>
        </row>
        <row r="67">
          <cell r="A67" t="str">
            <v>7.9</v>
          </cell>
          <cell r="B67" t="str">
            <v>Rufo de chapa de aço galvanizado com desenvolvimento até 50 cm</v>
          </cell>
          <cell r="C67">
            <v>232</v>
          </cell>
          <cell r="D67" t="str">
            <v>m</v>
          </cell>
        </row>
        <row r="68">
          <cell r="A68" t="str">
            <v>7.10</v>
          </cell>
          <cell r="B68" t="str">
            <v>Chapim de chapa de aço galvanizado nº 24 desenvolvimento 33 cm</v>
          </cell>
          <cell r="C68">
            <v>1</v>
          </cell>
          <cell r="D68" t="str">
            <v>m</v>
          </cell>
        </row>
        <row r="69">
          <cell r="A69" t="str">
            <v>7.11</v>
          </cell>
          <cell r="B69" t="str">
            <v>Cobertura com telha de fibrocimento estrutural, com recobrimento longitudinal</v>
          </cell>
          <cell r="C69">
            <v>21</v>
          </cell>
          <cell r="D69" t="str">
            <v>m²</v>
          </cell>
        </row>
        <row r="70">
          <cell r="A70" t="str">
            <v>7.12</v>
          </cell>
          <cell r="B70" t="str">
            <v>Estrutura de madeira para telha cerâmica, fibrocimento ou de concreto</v>
          </cell>
          <cell r="C70">
            <v>6</v>
          </cell>
          <cell r="D70" t="str">
            <v>m²</v>
          </cell>
        </row>
        <row r="71">
          <cell r="A71" t="str">
            <v>7.13</v>
          </cell>
          <cell r="B71" t="str">
            <v>Fixação de telha</v>
          </cell>
          <cell r="C71">
            <v>1</v>
          </cell>
          <cell r="D71" t="str">
            <v>m²</v>
          </cell>
        </row>
        <row r="72">
          <cell r="A72" t="str">
            <v>7.14</v>
          </cell>
          <cell r="B72" t="str">
            <v>Calha de chapa galvanizada</v>
          </cell>
          <cell r="C72">
            <v>1</v>
          </cell>
          <cell r="D72" t="str">
            <v>m²</v>
          </cell>
        </row>
        <row r="73">
          <cell r="A73" t="str">
            <v>7.15</v>
          </cell>
          <cell r="B73" t="str">
            <v>Reparo emergencial de telhado e calhas</v>
          </cell>
          <cell r="C73">
            <v>1</v>
          </cell>
          <cell r="D73" t="str">
            <v xml:space="preserve">un </v>
          </cell>
        </row>
        <row r="74">
          <cell r="A74">
            <v>8</v>
          </cell>
          <cell r="B74" t="str">
            <v>IMPERMEABILIZAÇÃO</v>
          </cell>
        </row>
        <row r="75">
          <cell r="A75" t="str">
            <v>8.1</v>
          </cell>
          <cell r="B75" t="str">
            <v>Proteção mecânica de superfície com argamassa de cimento e areia</v>
          </cell>
          <cell r="C75">
            <v>67</v>
          </cell>
          <cell r="D75" t="str">
            <v>m²</v>
          </cell>
        </row>
        <row r="76">
          <cell r="A76" t="str">
            <v>8.2</v>
          </cell>
          <cell r="B76" t="str">
            <v>Impermeabilização com manta asfáltica modificada com polímeros aluminizada</v>
          </cell>
          <cell r="C76">
            <v>9</v>
          </cell>
          <cell r="D76" t="str">
            <v>m²</v>
          </cell>
        </row>
        <row r="77">
          <cell r="A77" t="str">
            <v>8.3</v>
          </cell>
          <cell r="B77" t="str">
            <v>Impermeabilização utilizando manta asfáltica polimérica (cobertura, lajes, banheiros, jardins, Reservatórios e similares)</v>
          </cell>
          <cell r="C77">
            <v>328</v>
          </cell>
          <cell r="D77" t="str">
            <v>m²</v>
          </cell>
        </row>
        <row r="78">
          <cell r="A78" t="str">
            <v>8.4</v>
          </cell>
          <cell r="B78" t="str">
            <v>Impermeabilização de calha ou lajes descobertas com emulsão asfáltica com elastômeros, 3 demãos, com tela de poliéster</v>
          </cell>
          <cell r="C78">
            <v>56</v>
          </cell>
          <cell r="D78" t="str">
            <v>m²</v>
          </cell>
        </row>
        <row r="79">
          <cell r="A79" t="str">
            <v>8.5</v>
          </cell>
          <cell r="B79" t="str">
            <v>Impermeabilização de superfície com impermeabilizante flexível à base acrílica</v>
          </cell>
          <cell r="C79">
            <v>91</v>
          </cell>
          <cell r="D79" t="str">
            <v>m²</v>
          </cell>
        </row>
        <row r="80">
          <cell r="A80" t="str">
            <v>8.6</v>
          </cell>
          <cell r="B80" t="str">
            <v>Impermeabilização com argamassa polimérica impermeabilizante</v>
          </cell>
          <cell r="C80">
            <v>232</v>
          </cell>
          <cell r="D80" t="str">
            <v>m²</v>
          </cell>
        </row>
        <row r="81">
          <cell r="A81" t="str">
            <v>8.7</v>
          </cell>
          <cell r="B81" t="str">
            <v>Impermeabilização com membrana de poliuretano (PU)</v>
          </cell>
          <cell r="C81">
            <v>1</v>
          </cell>
          <cell r="D81" t="str">
            <v>m²</v>
          </cell>
        </row>
        <row r="82">
          <cell r="A82">
            <v>9</v>
          </cell>
          <cell r="B82" t="str">
            <v>TRATAMENTO TÉRMICO E ACÚSTICO</v>
          </cell>
        </row>
        <row r="83">
          <cell r="A83">
            <v>10</v>
          </cell>
          <cell r="B83" t="str">
            <v>PAVIMENTAÇÃO</v>
          </cell>
        </row>
        <row r="84">
          <cell r="A84" t="str">
            <v>10.1</v>
          </cell>
          <cell r="B84" t="str">
            <v>Regularização de base ou contrapiso</v>
          </cell>
          <cell r="C84">
            <v>174</v>
          </cell>
          <cell r="D84" t="str">
            <v>m²</v>
          </cell>
        </row>
        <row r="85">
          <cell r="A85" t="str">
            <v>10.2</v>
          </cell>
          <cell r="B85" t="str">
            <v>Regularização de piso para piso vinílico ou tátil em borracha</v>
          </cell>
          <cell r="C85">
            <v>7</v>
          </cell>
          <cell r="D85" t="str">
            <v>m²</v>
          </cell>
        </row>
        <row r="86">
          <cell r="A86" t="str">
            <v>10.3</v>
          </cell>
          <cell r="B86" t="str">
            <v xml:space="preserve">Granito para revestimento (piso ou parede) Cinza Andorinha, assente com argamassa </v>
          </cell>
          <cell r="C86">
            <v>10</v>
          </cell>
          <cell r="D86" t="str">
            <v>m²</v>
          </cell>
        </row>
        <row r="87">
          <cell r="A87" t="str">
            <v>10.4</v>
          </cell>
          <cell r="B87" t="str">
            <v>Rodapé em granito Cinza Andorinha, assentado e rejuntado</v>
          </cell>
          <cell r="C87">
            <v>52</v>
          </cell>
          <cell r="D87" t="str">
            <v>m</v>
          </cell>
        </row>
        <row r="88">
          <cell r="A88" t="str">
            <v>10.5</v>
          </cell>
          <cell r="B88" t="str">
            <v>Peitoril ou soleira de granito, assentado e rejuntado</v>
          </cell>
          <cell r="C88">
            <v>13</v>
          </cell>
          <cell r="D88" t="str">
            <v>m</v>
          </cell>
        </row>
        <row r="89">
          <cell r="A89" t="str">
            <v>10.6</v>
          </cell>
          <cell r="B89" t="str">
            <v>Granito branco para revestimento (piso ou parede), assente com argamassa</v>
          </cell>
          <cell r="C89">
            <v>1</v>
          </cell>
          <cell r="D89" t="str">
            <v>m²</v>
          </cell>
        </row>
        <row r="90">
          <cell r="A90" t="str">
            <v>10.7</v>
          </cell>
          <cell r="B90" t="str">
            <v>Rodapé em granito branco, assentado e rejuntado</v>
          </cell>
          <cell r="C90">
            <v>1</v>
          </cell>
          <cell r="D90" t="str">
            <v>m</v>
          </cell>
        </row>
        <row r="91">
          <cell r="A91" t="str">
            <v>10.8</v>
          </cell>
          <cell r="B91" t="str">
            <v>Bloco de concreto intertravado</v>
          </cell>
          <cell r="C91">
            <v>1</v>
          </cell>
          <cell r="D91" t="str">
            <v>m²</v>
          </cell>
        </row>
        <row r="92">
          <cell r="A92" t="str">
            <v>10.9</v>
          </cell>
          <cell r="B92" t="str">
            <v>Piso em pedra portuguesa, basalto, calcário ou granito sem polimento.</v>
          </cell>
          <cell r="C92">
            <v>14</v>
          </cell>
          <cell r="D92" t="str">
            <v>m²</v>
          </cell>
        </row>
        <row r="93">
          <cell r="A93" t="str">
            <v>10.10</v>
          </cell>
          <cell r="B93" t="str">
            <v>Piso mármore branco, assentado e rejuntado</v>
          </cell>
          <cell r="C93">
            <v>1</v>
          </cell>
          <cell r="D93" t="str">
            <v>m²</v>
          </cell>
        </row>
        <row r="94">
          <cell r="A94" t="str">
            <v>10.11</v>
          </cell>
          <cell r="B94" t="str">
            <v>Piso em ladrilho hidráulico, assentado com argamassa</v>
          </cell>
          <cell r="C94">
            <v>6</v>
          </cell>
          <cell r="D94" t="str">
            <v>m²</v>
          </cell>
        </row>
        <row r="95">
          <cell r="A95" t="str">
            <v>10.12</v>
          </cell>
          <cell r="B95" t="str">
            <v>Piso cimentado com argamassa e com junta plástica para dilatação.</v>
          </cell>
          <cell r="C95">
            <v>34</v>
          </cell>
          <cell r="D95" t="str">
            <v>m²</v>
          </cell>
        </row>
        <row r="96">
          <cell r="A96" t="str">
            <v>10.13</v>
          </cell>
          <cell r="B96" t="str">
            <v>Piso cerâmico assentado com argamassa pré-fabricada e rejuntamento</v>
          </cell>
          <cell r="C96">
            <v>95</v>
          </cell>
          <cell r="D96" t="str">
            <v>m²</v>
          </cell>
        </row>
        <row r="97">
          <cell r="A97" t="str">
            <v>10.14</v>
          </cell>
          <cell r="B97" t="str">
            <v>Piso em Porcelanato</v>
          </cell>
          <cell r="C97">
            <v>36</v>
          </cell>
          <cell r="D97" t="str">
            <v>m²</v>
          </cell>
        </row>
        <row r="98">
          <cell r="A98" t="str">
            <v>10.15</v>
          </cell>
          <cell r="B98" t="str">
            <v>Rejuntamento de revestimento (piso ou parede) com argamassa pré-fabricada</v>
          </cell>
          <cell r="C98">
            <v>119</v>
          </cell>
          <cell r="D98" t="str">
            <v>m²</v>
          </cell>
        </row>
        <row r="99">
          <cell r="A99" t="str">
            <v>10.16</v>
          </cell>
          <cell r="B99" t="str">
            <v>Piso vinílico em manta</v>
          </cell>
          <cell r="C99">
            <v>129</v>
          </cell>
          <cell r="D99" t="str">
            <v>m²</v>
          </cell>
        </row>
        <row r="100">
          <cell r="A100" t="str">
            <v>10.17</v>
          </cell>
          <cell r="B100" t="str">
            <v>Piso vinílico em placas</v>
          </cell>
          <cell r="C100">
            <v>7</v>
          </cell>
          <cell r="D100" t="str">
            <v>m²</v>
          </cell>
        </row>
        <row r="101">
          <cell r="A101" t="str">
            <v>10.18</v>
          </cell>
          <cell r="B101" t="str">
            <v>CARPETE em manta ou placa</v>
          </cell>
          <cell r="C101">
            <v>2446</v>
          </cell>
          <cell r="D101" t="str">
            <v>m²</v>
          </cell>
        </row>
        <row r="102">
          <cell r="A102" t="str">
            <v>10.19</v>
          </cell>
          <cell r="B102" t="str">
            <v>Rodapé de madeira.</v>
          </cell>
          <cell r="C102">
            <v>43</v>
          </cell>
          <cell r="D102" t="str">
            <v>m</v>
          </cell>
        </row>
        <row r="103">
          <cell r="A103" t="str">
            <v>10.20</v>
          </cell>
          <cell r="B103" t="str">
            <v>Capacho - fornecimento e instalação</v>
          </cell>
          <cell r="C103">
            <v>11</v>
          </cell>
          <cell r="D103" t="str">
            <v>m²</v>
          </cell>
        </row>
        <row r="104">
          <cell r="A104" t="str">
            <v>10.21</v>
          </cell>
          <cell r="B104" t="str">
            <v>Arremate metálico delimitador de piso</v>
          </cell>
          <cell r="C104">
            <v>1</v>
          </cell>
          <cell r="D104" t="str">
            <v>m</v>
          </cell>
        </row>
        <row r="105">
          <cell r="A105" t="str">
            <v>10.22</v>
          </cell>
          <cell r="B105" t="str">
            <v>Regularização de piso em bloco de concreto intertravado</v>
          </cell>
          <cell r="C105">
            <v>1</v>
          </cell>
          <cell r="D105" t="str">
            <v>m²</v>
          </cell>
        </row>
        <row r="106">
          <cell r="A106" t="str">
            <v>10.23</v>
          </cell>
          <cell r="B106" t="str">
            <v>Regularização de piso carpete</v>
          </cell>
          <cell r="C106">
            <v>1</v>
          </cell>
          <cell r="D106" t="str">
            <v>m²</v>
          </cell>
        </row>
        <row r="107">
          <cell r="A107">
            <v>11</v>
          </cell>
          <cell r="B107" t="str">
            <v>REVESTIMENTOS</v>
          </cell>
        </row>
        <row r="108">
          <cell r="A108" t="str">
            <v>11.1</v>
          </cell>
          <cell r="B108" t="str">
            <v xml:space="preserve">Painéis de alumínio - ACM </v>
          </cell>
          <cell r="C108">
            <v>1</v>
          </cell>
          <cell r="D108" t="str">
            <v>m²</v>
          </cell>
        </row>
        <row r="109">
          <cell r="A109" t="str">
            <v>11.2</v>
          </cell>
          <cell r="B109" t="str">
            <v>Chapisco para parede interna ou externa com argamassa de cimento e areia.</v>
          </cell>
          <cell r="C109">
            <v>362</v>
          </cell>
          <cell r="D109" t="str">
            <v>m²</v>
          </cell>
        </row>
        <row r="110">
          <cell r="A110" t="str">
            <v>11.3</v>
          </cell>
          <cell r="B110" t="str">
            <v>Emboço ou reboco para parede interna ou externa ou teto.</v>
          </cell>
          <cell r="C110">
            <v>404</v>
          </cell>
          <cell r="D110" t="str">
            <v>m²</v>
          </cell>
        </row>
        <row r="111">
          <cell r="A111" t="str">
            <v>11.4</v>
          </cell>
          <cell r="B111" t="str">
            <v>Revestimento cerâmico assentado com argamassa pré-fabricada e rejuntado</v>
          </cell>
          <cell r="C111">
            <v>40</v>
          </cell>
          <cell r="D111" t="str">
            <v>m²</v>
          </cell>
        </row>
        <row r="112">
          <cell r="A112" t="str">
            <v>11.5</v>
          </cell>
          <cell r="B112" t="str">
            <v>Revestimento (parede) em Pastilha de vidro, assentada com argamassa colante e rejunte.</v>
          </cell>
          <cell r="C112">
            <v>6</v>
          </cell>
          <cell r="D112" t="str">
            <v>m²</v>
          </cell>
        </row>
        <row r="113">
          <cell r="A113" t="str">
            <v>11.6</v>
          </cell>
          <cell r="B113" t="str">
            <v>Laminado melamínico para revestimento (piso ou parede) interno</v>
          </cell>
          <cell r="C113">
            <v>61</v>
          </cell>
          <cell r="D113" t="str">
            <v>m²</v>
          </cell>
        </row>
        <row r="114">
          <cell r="A114" t="str">
            <v>11.7</v>
          </cell>
          <cell r="B114" t="str">
            <v>Revestimento de parede com pedra São Tomé filetada (tipo "canjiquinha")</v>
          </cell>
          <cell r="C114">
            <v>1</v>
          </cell>
          <cell r="D114" t="str">
            <v>m²</v>
          </cell>
        </row>
        <row r="115">
          <cell r="A115" t="str">
            <v>11.8</v>
          </cell>
          <cell r="B115" t="str">
            <v>Revestimento em mármore branco (parede), assentado e rejuntado</v>
          </cell>
          <cell r="C115">
            <v>1</v>
          </cell>
          <cell r="D115" t="str">
            <v>m²</v>
          </cell>
        </row>
        <row r="116">
          <cell r="A116" t="str">
            <v>11.9</v>
          </cell>
          <cell r="B116" t="str">
            <v>Revestimento em Pastilha Cerâmica, assentada com argamassa colante e rejunte.</v>
          </cell>
          <cell r="C116">
            <v>1</v>
          </cell>
          <cell r="D116" t="str">
            <v>m²</v>
          </cell>
        </row>
        <row r="117">
          <cell r="A117">
            <v>12</v>
          </cell>
          <cell r="B117" t="str">
            <v>DIVISÓRIAS, FORROS E PISOS FALSOS</v>
          </cell>
        </row>
        <row r="118">
          <cell r="A118" t="str">
            <v>12.1</v>
          </cell>
          <cell r="B118" t="str">
            <v>Divisória texturizada cega</v>
          </cell>
          <cell r="C118">
            <v>368</v>
          </cell>
          <cell r="D118" t="str">
            <v>m²</v>
          </cell>
        </row>
        <row r="119">
          <cell r="A119" t="str">
            <v>12.2</v>
          </cell>
          <cell r="B119" t="str">
            <v>Divisória texturizada cega/vidro</v>
          </cell>
          <cell r="C119">
            <v>1</v>
          </cell>
          <cell r="D119" t="str">
            <v>m²</v>
          </cell>
        </row>
        <row r="120">
          <cell r="A120" t="str">
            <v>12.3</v>
          </cell>
          <cell r="B120" t="str">
            <v>Porta de divisória, Inclui  batente e guarnições.</v>
          </cell>
          <cell r="C120">
            <v>24</v>
          </cell>
          <cell r="D120" t="str">
            <v>un</v>
          </cell>
        </row>
        <row r="121">
          <cell r="A121" t="str">
            <v>12.4</v>
          </cell>
          <cell r="B121" t="str">
            <v>Forro de fibra mineral, incluindo fixação, com estrutura</v>
          </cell>
          <cell r="C121">
            <v>524</v>
          </cell>
          <cell r="D121" t="str">
            <v>m²</v>
          </cell>
        </row>
        <row r="122">
          <cell r="A122" t="str">
            <v>12.5</v>
          </cell>
          <cell r="B122" t="str">
            <v>Forro de gesso acartonado, estruturado ou aramado</v>
          </cell>
          <cell r="C122">
            <v>732</v>
          </cell>
          <cell r="D122" t="str">
            <v>m²</v>
          </cell>
        </row>
        <row r="123">
          <cell r="A123" t="str">
            <v>12.6</v>
          </cell>
          <cell r="B123" t="str">
            <v>Forro de placa de gesso pre-moldada,  incluindo fixação</v>
          </cell>
          <cell r="C123">
            <v>83</v>
          </cell>
          <cell r="D123" t="str">
            <v>m²</v>
          </cell>
        </row>
        <row r="124">
          <cell r="A124" t="str">
            <v>12.7</v>
          </cell>
          <cell r="B124" t="str">
            <v>Junta de dilatação para forro de gesso</v>
          </cell>
          <cell r="C124">
            <v>13</v>
          </cell>
          <cell r="D124" t="str">
            <v>m</v>
          </cell>
        </row>
        <row r="125">
          <cell r="A125" t="str">
            <v>12.8</v>
          </cell>
          <cell r="B125" t="str">
            <v>Piso elevado com estrutura</v>
          </cell>
          <cell r="C125">
            <v>531</v>
          </cell>
          <cell r="D125" t="str">
            <v>m²</v>
          </cell>
        </row>
        <row r="126">
          <cell r="A126" t="str">
            <v>12.9</v>
          </cell>
          <cell r="B126" t="str">
            <v>Forro de gesso, incluindo fixação, sem estrutura</v>
          </cell>
          <cell r="C126">
            <v>209</v>
          </cell>
          <cell r="D126" t="str">
            <v>m²</v>
          </cell>
        </row>
        <row r="127">
          <cell r="A127" t="str">
            <v>12.10</v>
          </cell>
          <cell r="B127" t="str">
            <v>Forro de fibra mineral, incluindo fixação, sem estrutura</v>
          </cell>
          <cell r="C127">
            <v>128</v>
          </cell>
          <cell r="D127" t="str">
            <v>m²</v>
          </cell>
        </row>
        <row r="128">
          <cell r="A128" t="str">
            <v>12.11</v>
          </cell>
          <cell r="B128" t="str">
            <v>Piso elevado sem estrutura</v>
          </cell>
          <cell r="C128">
            <v>1</v>
          </cell>
          <cell r="D128" t="str">
            <v>m²</v>
          </cell>
        </row>
        <row r="129">
          <cell r="A129" t="str">
            <v>12.12</v>
          </cell>
          <cell r="B129" t="str">
            <v>Ajuste do forro de fibra mineral</v>
          </cell>
          <cell r="C129">
            <v>1</v>
          </cell>
          <cell r="D129" t="str">
            <v>m²</v>
          </cell>
        </row>
        <row r="130">
          <cell r="A130" t="str">
            <v>12.13</v>
          </cell>
          <cell r="B130" t="str">
            <v>Forro de PVC, incluindo fixação, sem estrutura</v>
          </cell>
          <cell r="C130">
            <v>1</v>
          </cell>
          <cell r="D130" t="str">
            <v>m²</v>
          </cell>
        </row>
        <row r="131">
          <cell r="A131" t="str">
            <v>12.14</v>
          </cell>
          <cell r="B131" t="str">
            <v>Forro de gesso (RU), incluindo fixação, sem estrutura</v>
          </cell>
          <cell r="C131">
            <v>1</v>
          </cell>
          <cell r="D131" t="str">
            <v>m²</v>
          </cell>
        </row>
        <row r="132">
          <cell r="A132">
            <v>13</v>
          </cell>
          <cell r="B132" t="str">
            <v>CARPINTARIA / MARCENARIA</v>
          </cell>
        </row>
        <row r="133">
          <cell r="A133" t="str">
            <v>13.1</v>
          </cell>
          <cell r="B133" t="str">
            <v>Batente e guarnição para Porta de madeira, até 0,90 m</v>
          </cell>
          <cell r="C133">
            <v>103</v>
          </cell>
          <cell r="D133" t="str">
            <v>un</v>
          </cell>
        </row>
        <row r="134">
          <cell r="A134" t="str">
            <v>13.2</v>
          </cell>
          <cell r="B134" t="str">
            <v>Porta de madeira até 0,80 x 2,10 m, interna/externa, sem ferragens, inclusive retirada da Porta antiga</v>
          </cell>
          <cell r="C134">
            <v>13</v>
          </cell>
          <cell r="D134" t="str">
            <v>un</v>
          </cell>
        </row>
        <row r="135">
          <cell r="A135" t="str">
            <v>13.3</v>
          </cell>
          <cell r="B135" t="str">
            <v>Porta de madeira 0,90 x 2,10 m, interna/externa, sem ferragens,  inclusive retirada da Porta antiga</v>
          </cell>
          <cell r="C135">
            <v>18</v>
          </cell>
          <cell r="D135" t="str">
            <v>un</v>
          </cell>
        </row>
        <row r="136">
          <cell r="A136" t="str">
            <v>13.4</v>
          </cell>
          <cell r="B136" t="str">
            <v>Desmontagem de divisórias (cega, vidro ou tecido)</v>
          </cell>
          <cell r="C136">
            <v>340</v>
          </cell>
          <cell r="D136" t="str">
            <v>m²</v>
          </cell>
        </row>
        <row r="137">
          <cell r="A137" t="str">
            <v>13.5</v>
          </cell>
          <cell r="B137" t="str">
            <v>Desmontagem de estação de trabalho ou mesa de reunião</v>
          </cell>
          <cell r="C137">
            <v>45</v>
          </cell>
          <cell r="D137" t="str">
            <v>un</v>
          </cell>
        </row>
        <row r="138">
          <cell r="A138" t="str">
            <v>13.6</v>
          </cell>
          <cell r="B138" t="str">
            <v>Desmontagem de guichê de caixa</v>
          </cell>
          <cell r="C138">
            <v>33</v>
          </cell>
          <cell r="D138" t="str">
            <v>un</v>
          </cell>
        </row>
        <row r="139">
          <cell r="A139" t="str">
            <v>13.7</v>
          </cell>
          <cell r="B139" t="str">
            <v>Ajuste de divisórias</v>
          </cell>
          <cell r="C139">
            <v>46</v>
          </cell>
          <cell r="D139" t="str">
            <v>m²</v>
          </cell>
        </row>
        <row r="140">
          <cell r="A140" t="str">
            <v>13.8</v>
          </cell>
          <cell r="B140" t="str">
            <v>Manutenção de guichê</v>
          </cell>
          <cell r="C140">
            <v>125</v>
          </cell>
          <cell r="D140" t="str">
            <v xml:space="preserve">un </v>
          </cell>
        </row>
        <row r="141">
          <cell r="A141" t="str">
            <v>13.9</v>
          </cell>
          <cell r="B141" t="str">
            <v>Montagem de estação de trabalho ou mesa de reunião</v>
          </cell>
          <cell r="C141">
            <v>41</v>
          </cell>
          <cell r="D141" t="str">
            <v>un</v>
          </cell>
        </row>
        <row r="142">
          <cell r="A142" t="str">
            <v>13.10</v>
          </cell>
          <cell r="B142" t="str">
            <v>Montagem de divisórias (cega, vidro ou tecido)</v>
          </cell>
          <cell r="C142">
            <v>12</v>
          </cell>
          <cell r="D142" t="str">
            <v>m²</v>
          </cell>
        </row>
        <row r="143">
          <cell r="A143" t="str">
            <v>13.11</v>
          </cell>
          <cell r="B143" t="str">
            <v>Montagem de estação de guichê de caixa ou mesa guichê</v>
          </cell>
          <cell r="C143">
            <v>35</v>
          </cell>
          <cell r="D143" t="str">
            <v>un</v>
          </cell>
        </row>
        <row r="144">
          <cell r="A144" t="str">
            <v>13.12</v>
          </cell>
          <cell r="B144" t="str">
            <v>Deslocamento ou remanejamento de mobiliário dentro da agência</v>
          </cell>
          <cell r="C144">
            <v>2797</v>
          </cell>
          <cell r="D144" t="str">
            <v>un</v>
          </cell>
        </row>
        <row r="145">
          <cell r="A145" t="str">
            <v>13.13</v>
          </cell>
          <cell r="B145" t="str">
            <v>Divisória Padrão Guichê  ou Biombo</v>
          </cell>
          <cell r="C145">
            <v>8</v>
          </cell>
          <cell r="D145" t="str">
            <v>m²</v>
          </cell>
        </row>
        <row r="146">
          <cell r="A146" t="str">
            <v>13.14</v>
          </cell>
          <cell r="B146" t="str">
            <v>Montagem e fixação de carenagens (ex: remus, estilo, high-tech,  nova ambiência, padrão 98 ou similares)</v>
          </cell>
          <cell r="C146">
            <v>26</v>
          </cell>
          <cell r="D146" t="str">
            <v>un</v>
          </cell>
        </row>
        <row r="147">
          <cell r="A147" t="str">
            <v>13.15</v>
          </cell>
          <cell r="B147" t="str">
            <v>Fixação de prateleira de vidro em carenagens</v>
          </cell>
          <cell r="C147">
            <v>30</v>
          </cell>
          <cell r="D147" t="str">
            <v>un</v>
          </cell>
        </row>
        <row r="148">
          <cell r="A148" t="str">
            <v>13.16</v>
          </cell>
          <cell r="B148" t="str">
            <v>Persiana de enrolar para carenagens</v>
          </cell>
          <cell r="C148">
            <v>93</v>
          </cell>
          <cell r="D148" t="str">
            <v>m²</v>
          </cell>
        </row>
        <row r="149">
          <cell r="A149" t="str">
            <v>13.17</v>
          </cell>
          <cell r="B149" t="str">
            <v>Lente de luminária para carenagens</v>
          </cell>
          <cell r="C149">
            <v>33</v>
          </cell>
          <cell r="D149" t="str">
            <v>un</v>
          </cell>
        </row>
        <row r="150">
          <cell r="A150" t="str">
            <v>13.18</v>
          </cell>
          <cell r="B150" t="str">
            <v>Divisória de fechamento ou tampão, conforme padrão existente</v>
          </cell>
          <cell r="C150">
            <v>64</v>
          </cell>
          <cell r="D150" t="str">
            <v>m²</v>
          </cell>
        </row>
        <row r="151">
          <cell r="A151" t="str">
            <v>13.19</v>
          </cell>
          <cell r="B151" t="str">
            <v>Porta de madeira em compensado c/laminado, sem ferragens</v>
          </cell>
          <cell r="C151">
            <v>1</v>
          </cell>
          <cell r="D151" t="str">
            <v>m²</v>
          </cell>
        </row>
        <row r="152">
          <cell r="A152" t="str">
            <v>13.20</v>
          </cell>
          <cell r="B152" t="str">
            <v>Ajuste e manutenção de portas</v>
          </cell>
          <cell r="C152">
            <v>1</v>
          </cell>
          <cell r="D152" t="str">
            <v xml:space="preserve">un </v>
          </cell>
        </row>
        <row r="153">
          <cell r="A153" t="str">
            <v>13.21</v>
          </cell>
          <cell r="B153" t="str">
            <v>Manutenção de dobradiça ou fechadura de armários/móveis</v>
          </cell>
          <cell r="C153">
            <v>1</v>
          </cell>
          <cell r="D153" t="str">
            <v xml:space="preserve">un </v>
          </cell>
        </row>
        <row r="154">
          <cell r="A154" t="str">
            <v>13.22</v>
          </cell>
          <cell r="B154" t="str">
            <v>Desmontagem de carenagens (ex: remus, estilo, high-tech,  nova ambiência, padrão 98 ou similares)</v>
          </cell>
          <cell r="C154">
            <v>1</v>
          </cell>
          <cell r="D154" t="str">
            <v>un</v>
          </cell>
        </row>
        <row r="155">
          <cell r="A155">
            <v>14</v>
          </cell>
          <cell r="B155" t="str">
            <v>SERRALHERIA</v>
          </cell>
        </row>
        <row r="156">
          <cell r="A156" t="str">
            <v>14.1</v>
          </cell>
          <cell r="B156" t="str">
            <v>Janela de aço basculante, fixação com argamassa, sem vidros</v>
          </cell>
          <cell r="C156">
            <v>1</v>
          </cell>
          <cell r="D156" t="str">
            <v>m²</v>
          </cell>
        </row>
        <row r="157">
          <cell r="A157" t="str">
            <v>14.2</v>
          </cell>
          <cell r="B157" t="str">
            <v>Janela de aço de correr, fixação com argamassa, sem vidro</v>
          </cell>
          <cell r="C157">
            <v>1</v>
          </cell>
          <cell r="D157" t="str">
            <v>m²</v>
          </cell>
        </row>
        <row r="158">
          <cell r="A158" t="str">
            <v>14.3</v>
          </cell>
          <cell r="B158" t="str">
            <v>Refixação de corrimão e guarda corpo fixado na parede ou no piso</v>
          </cell>
          <cell r="C158">
            <v>73</v>
          </cell>
          <cell r="D158" t="str">
            <v>m</v>
          </cell>
        </row>
        <row r="159">
          <cell r="A159" t="str">
            <v>14.4</v>
          </cell>
          <cell r="B159" t="str">
            <v>Corrimão tubular em aço galvanizado 1 1/2", instalado, incluindo APLICAÇÃO de fundo anticorrosivo óxido de ferro e PINTURA esmalte</v>
          </cell>
          <cell r="C159">
            <v>13</v>
          </cell>
          <cell r="D159" t="str">
            <v>m</v>
          </cell>
        </row>
        <row r="160">
          <cell r="A160" t="str">
            <v>14.5</v>
          </cell>
          <cell r="B160" t="str">
            <v>Guarda corpo em tubo galvanizado com fundo anticorrosivo e pintura em esmalte sintetico</v>
          </cell>
          <cell r="C160">
            <v>41</v>
          </cell>
          <cell r="D160" t="str">
            <v>m</v>
          </cell>
        </row>
        <row r="161">
          <cell r="A161" t="str">
            <v>14.6</v>
          </cell>
          <cell r="B161" t="str">
            <v>Recuperação de grades, corrimãos e outros elementos metálicos</v>
          </cell>
          <cell r="C161">
            <v>344</v>
          </cell>
          <cell r="D161" t="str">
            <v>m²</v>
          </cell>
        </row>
        <row r="162">
          <cell r="A162" t="str">
            <v>14.7</v>
          </cell>
          <cell r="B162" t="str">
            <v>Recuperação de estruturas metálicas de pórticos de acesso, totens, letreiros, medalhões, bandeiras e brises</v>
          </cell>
          <cell r="C162">
            <v>13</v>
          </cell>
          <cell r="D162" t="str">
            <v>m²</v>
          </cell>
        </row>
        <row r="163">
          <cell r="A163" t="str">
            <v>14.8</v>
          </cell>
          <cell r="B163" t="str">
            <v>Grade de proteção de ferro, colocação e acabamento</v>
          </cell>
          <cell r="C163">
            <v>39</v>
          </cell>
          <cell r="D163" t="str">
            <v>m²</v>
          </cell>
        </row>
        <row r="164">
          <cell r="A164" t="str">
            <v>14.9</v>
          </cell>
          <cell r="B164" t="str">
            <v>Chapa metálica inox, para portas de madeira</v>
          </cell>
          <cell r="C164">
            <v>1</v>
          </cell>
          <cell r="D164" t="str">
            <v>un</v>
          </cell>
        </row>
        <row r="165">
          <cell r="A165" t="str">
            <v>14.10</v>
          </cell>
          <cell r="B165" t="str">
            <v>Prolongador de suporte de TCC para teto</v>
          </cell>
          <cell r="C165">
            <v>1</v>
          </cell>
          <cell r="D165" t="str">
            <v>un</v>
          </cell>
        </row>
        <row r="166">
          <cell r="A166" t="str">
            <v>14.11</v>
          </cell>
          <cell r="B166" t="str">
            <v>Fixação de suporte de TCC em parede ou teto</v>
          </cell>
          <cell r="C166">
            <v>75</v>
          </cell>
          <cell r="D166" t="str">
            <v>un</v>
          </cell>
        </row>
        <row r="167">
          <cell r="A167" t="str">
            <v>14.12</v>
          </cell>
          <cell r="B167" t="str">
            <v>Instalação de alçapão metálico com caixilho</v>
          </cell>
          <cell r="C167">
            <v>1</v>
          </cell>
          <cell r="D167" t="str">
            <v>m²</v>
          </cell>
        </row>
        <row r="168">
          <cell r="A168" t="str">
            <v>14.13</v>
          </cell>
          <cell r="B168" t="str">
            <v>Manutenção preventiva em porta de enrolar de aço automática</v>
          </cell>
          <cell r="C168">
            <v>1</v>
          </cell>
          <cell r="D168" t="str">
            <v>un</v>
          </cell>
        </row>
        <row r="169">
          <cell r="A169" t="str">
            <v>14.14</v>
          </cell>
          <cell r="B169" t="str">
            <v>Substituição do Automatizador de portas de enrolar automáticas até 1000 kg</v>
          </cell>
          <cell r="C169">
            <v>1</v>
          </cell>
          <cell r="D169" t="str">
            <v>un</v>
          </cell>
        </row>
        <row r="170">
          <cell r="A170" t="str">
            <v>14.15</v>
          </cell>
          <cell r="B170" t="str">
            <v>Substituição do Automatizador de portas de enrolar automáticas até 500 kg</v>
          </cell>
          <cell r="C170">
            <v>1</v>
          </cell>
          <cell r="D170" t="str">
            <v>un</v>
          </cell>
        </row>
        <row r="171">
          <cell r="A171" t="str">
            <v>14.16</v>
          </cell>
          <cell r="B171" t="str">
            <v>Substituição de chapa testeira de porta de enrolar de aço automática</v>
          </cell>
          <cell r="C171">
            <v>1</v>
          </cell>
          <cell r="D171" t="str">
            <v>un</v>
          </cell>
        </row>
        <row r="172">
          <cell r="A172" t="str">
            <v>14.17</v>
          </cell>
          <cell r="B172" t="str">
            <v>Substituição de Lâminas de aço vazadas (Transvision) até 5 m²</v>
          </cell>
          <cell r="C172">
            <v>1</v>
          </cell>
          <cell r="D172" t="str">
            <v>m²</v>
          </cell>
        </row>
        <row r="173">
          <cell r="A173" t="str">
            <v>14.18</v>
          </cell>
          <cell r="B173" t="str">
            <v>Substituição de Lâminas de aço vazadas (Transvision) acima de 5 m² até 15 m²</v>
          </cell>
          <cell r="C173">
            <v>1</v>
          </cell>
          <cell r="D173" t="str">
            <v>m²</v>
          </cell>
        </row>
        <row r="174">
          <cell r="A174" t="str">
            <v>14.19</v>
          </cell>
          <cell r="B174" t="str">
            <v>Substituição de Lâminas de aço vazadas (Transvision) superior a 15 m²</v>
          </cell>
          <cell r="C174">
            <v>1</v>
          </cell>
          <cell r="D174" t="str">
            <v>m²</v>
          </cell>
        </row>
        <row r="175">
          <cell r="A175" t="str">
            <v>14.20</v>
          </cell>
          <cell r="B175" t="str">
            <v>Substituição de guia telescópica para porta de enrolar de aço automática</v>
          </cell>
          <cell r="C175">
            <v>1</v>
          </cell>
          <cell r="D175" t="str">
            <v>m</v>
          </cell>
        </row>
        <row r="176">
          <cell r="A176" t="str">
            <v>14.21</v>
          </cell>
          <cell r="B176" t="str">
            <v>Substituição da soleira de porta de enrolar de aço automática</v>
          </cell>
          <cell r="C176">
            <v>1</v>
          </cell>
          <cell r="D176" t="str">
            <v>m</v>
          </cell>
        </row>
        <row r="177">
          <cell r="A177" t="str">
            <v>14.22</v>
          </cell>
          <cell r="B177" t="str">
            <v>Substituição do eixo de sustentação de porta de enrolar de aço automática</v>
          </cell>
          <cell r="C177">
            <v>1</v>
          </cell>
          <cell r="D177" t="str">
            <v>m</v>
          </cell>
        </row>
        <row r="178">
          <cell r="A178" t="str">
            <v>14.23</v>
          </cell>
          <cell r="B178" t="str">
            <v>Substituição de central de controle remoto de porta de enrolar de aço automática</v>
          </cell>
          <cell r="C178">
            <v>1</v>
          </cell>
          <cell r="D178" t="str">
            <v>un</v>
          </cell>
        </row>
        <row r="179">
          <cell r="A179" t="str">
            <v>14.24</v>
          </cell>
          <cell r="B179" t="str">
            <v>Substituição da botoeira de acionamento de porta de enrolar de aço automática</v>
          </cell>
          <cell r="C179">
            <v>1</v>
          </cell>
          <cell r="D179" t="str">
            <v>un</v>
          </cell>
        </row>
        <row r="180">
          <cell r="A180" t="str">
            <v>14.25</v>
          </cell>
          <cell r="B180" t="str">
            <v>Substituição do sistema de infravermelho de porta de enrolar de aço automática</v>
          </cell>
          <cell r="C180">
            <v>1</v>
          </cell>
          <cell r="D180" t="str">
            <v>un</v>
          </cell>
        </row>
        <row r="181">
          <cell r="A181" t="str">
            <v>14.26</v>
          </cell>
          <cell r="B181" t="str">
            <v>Substituição de dobradiça de portinhola de porta de enrolar de aço automática</v>
          </cell>
          <cell r="C181">
            <v>1</v>
          </cell>
          <cell r="D181" t="str">
            <v>un</v>
          </cell>
        </row>
        <row r="182">
          <cell r="A182" t="str">
            <v>14.27</v>
          </cell>
          <cell r="B182" t="str">
            <v>Substituição de fechadura de portinhola de porta de enrolar de aço automática</v>
          </cell>
          <cell r="C182">
            <v>1</v>
          </cell>
          <cell r="D182" t="str">
            <v>un</v>
          </cell>
        </row>
        <row r="183">
          <cell r="A183" t="str">
            <v>14.28</v>
          </cell>
          <cell r="B183" t="str">
            <v>Substituição de laminas e estrutura de portinhola de porta de enrolar de aço automática</v>
          </cell>
          <cell r="C183">
            <v>1</v>
          </cell>
          <cell r="D183" t="str">
            <v>m²</v>
          </cell>
        </row>
        <row r="184">
          <cell r="A184" t="str">
            <v>14.29</v>
          </cell>
          <cell r="B184" t="str">
            <v>Substituição de Nobreak de automatizador de portas de enrolar automática</v>
          </cell>
          <cell r="C184">
            <v>1</v>
          </cell>
          <cell r="D184" t="str">
            <v>un</v>
          </cell>
        </row>
        <row r="185">
          <cell r="A185">
            <v>15</v>
          </cell>
          <cell r="B185" t="str">
            <v>FERRAGENS</v>
          </cell>
        </row>
        <row r="186">
          <cell r="A186" t="str">
            <v>15.1</v>
          </cell>
          <cell r="B186" t="str">
            <v>Ferragem em aço inox, para Porta de vidro temperado (dobradiças, trinco, contra-fechadura  e fechadura  chaveada completa)</v>
          </cell>
          <cell r="C186">
            <v>22</v>
          </cell>
          <cell r="D186" t="str">
            <v>cj</v>
          </cell>
        </row>
        <row r="187">
          <cell r="A187" t="str">
            <v>15.2</v>
          </cell>
          <cell r="B187" t="str">
            <v>Ferragem para Porta de madeira (com 3 dobradiças) - Substituição/instalação</v>
          </cell>
          <cell r="C187">
            <v>450</v>
          </cell>
          <cell r="D187" t="str">
            <v>cj</v>
          </cell>
        </row>
        <row r="188">
          <cell r="A188" t="str">
            <v>15.3</v>
          </cell>
          <cell r="B188" t="str">
            <v>Ferragem para Porta de madeira (fechadura completa) - Substituição/instalação</v>
          </cell>
          <cell r="C188">
            <v>247</v>
          </cell>
          <cell r="D188" t="str">
            <v>cj</v>
          </cell>
        </row>
        <row r="189">
          <cell r="A189" t="str">
            <v>15.4</v>
          </cell>
          <cell r="B189" t="str">
            <v>Trinco de piso c/espelho</v>
          </cell>
          <cell r="C189">
            <v>7</v>
          </cell>
          <cell r="D189" t="str">
            <v>un</v>
          </cell>
        </row>
        <row r="190">
          <cell r="A190" t="str">
            <v>15.5</v>
          </cell>
          <cell r="B190" t="str">
            <v>Mola aérea hidráulica - Substituição/instalação</v>
          </cell>
          <cell r="C190">
            <v>82</v>
          </cell>
          <cell r="D190" t="str">
            <v>un</v>
          </cell>
        </row>
        <row r="191">
          <cell r="A191" t="str">
            <v>15.6</v>
          </cell>
          <cell r="B191" t="str">
            <v>Mola de Piso hidráulica - (kit completo-pino, espelho, parafusos, mola, etc. com regulagem) - Substituição/instalação</v>
          </cell>
          <cell r="C191">
            <v>307</v>
          </cell>
          <cell r="D191" t="str">
            <v>un</v>
          </cell>
        </row>
        <row r="192">
          <cell r="A192" t="str">
            <v>15.7</v>
          </cell>
          <cell r="B192" t="str">
            <v>Mola hidráulica de Piso ou Aérea - Manutenção (ajuste e regulagem)</v>
          </cell>
          <cell r="C192">
            <v>174</v>
          </cell>
          <cell r="D192" t="str">
            <v>un</v>
          </cell>
        </row>
        <row r="193">
          <cell r="A193" t="str">
            <v>15.8</v>
          </cell>
          <cell r="B193" t="str">
            <v>Puxador tipo alça em aço escovado para Porta de vidro, duplo (interna e externa)</v>
          </cell>
          <cell r="C193">
            <v>99</v>
          </cell>
          <cell r="D193" t="str">
            <v>un</v>
          </cell>
        </row>
        <row r="194">
          <cell r="A194" t="str">
            <v>15.9</v>
          </cell>
          <cell r="B194" t="str">
            <v>Fechadura tubular para porta em divisória cega</v>
          </cell>
          <cell r="C194">
            <v>11</v>
          </cell>
          <cell r="D194" t="str">
            <v>un</v>
          </cell>
        </row>
        <row r="195">
          <cell r="A195" t="str">
            <v>15.10</v>
          </cell>
          <cell r="B195" t="str">
            <v>Trilho e roldana para Porta retrátil e de correr - substituição</v>
          </cell>
          <cell r="C195">
            <v>35</v>
          </cell>
          <cell r="D195" t="str">
            <v>m</v>
          </cell>
        </row>
        <row r="196">
          <cell r="A196" t="str">
            <v>15.11</v>
          </cell>
          <cell r="B196" t="str">
            <v>Puxador tipo bola</v>
          </cell>
          <cell r="C196">
            <v>1</v>
          </cell>
          <cell r="D196" t="str">
            <v>un</v>
          </cell>
        </row>
        <row r="197">
          <cell r="A197" t="str">
            <v>15.12</v>
          </cell>
          <cell r="B197" t="str">
            <v>Dobradiça com mola (ref. Pagé)</v>
          </cell>
          <cell r="C197">
            <v>24</v>
          </cell>
          <cell r="D197" t="str">
            <v>un</v>
          </cell>
        </row>
        <row r="198">
          <cell r="A198" t="str">
            <v>15.13</v>
          </cell>
          <cell r="B198" t="str">
            <v>Fechadura e contra fechadura para Porta de vidro lamindo/temperado pivotante</v>
          </cell>
          <cell r="C198">
            <v>69</v>
          </cell>
          <cell r="D198" t="str">
            <v>un</v>
          </cell>
        </row>
        <row r="199">
          <cell r="A199" t="str">
            <v>15.14</v>
          </cell>
          <cell r="B199" t="str">
            <v>Fechadura Tipo Bico de Papagaio para Porta de vidro laminado/temperado de correr interna/externa</v>
          </cell>
          <cell r="C199">
            <v>9</v>
          </cell>
          <cell r="D199" t="str">
            <v>un</v>
          </cell>
        </row>
        <row r="200">
          <cell r="A200" t="str">
            <v>15.15</v>
          </cell>
          <cell r="B200" t="str">
            <v>Fechadura de segurança tetra para porta de madeira ou metálica</v>
          </cell>
          <cell r="C200">
            <v>8</v>
          </cell>
          <cell r="D200" t="str">
            <v>un</v>
          </cell>
        </row>
        <row r="201">
          <cell r="A201" t="str">
            <v>15.16</v>
          </cell>
          <cell r="B201" t="str">
            <v>Reparo e ajuste de fechaduras diversas</v>
          </cell>
          <cell r="C201">
            <v>39</v>
          </cell>
          <cell r="D201" t="str">
            <v>un</v>
          </cell>
        </row>
        <row r="202">
          <cell r="A202" t="str">
            <v>15.17</v>
          </cell>
          <cell r="B202" t="str">
            <v>Fechadura tipo Livre/Ocupado</v>
          </cell>
          <cell r="C202">
            <v>1</v>
          </cell>
          <cell r="D202" t="str">
            <v>un</v>
          </cell>
        </row>
        <row r="203">
          <cell r="A203">
            <v>16</v>
          </cell>
          <cell r="B203" t="str">
            <v>VIDRAÇARIA</v>
          </cell>
        </row>
        <row r="204">
          <cell r="A204" t="str">
            <v>16.1</v>
          </cell>
          <cell r="B204" t="str">
            <v>Vidro cristal liso 4 mm colocado em caixilho com massa</v>
          </cell>
          <cell r="C204">
            <v>23</v>
          </cell>
          <cell r="D204" t="str">
            <v>m²</v>
          </cell>
        </row>
        <row r="205">
          <cell r="A205" t="str">
            <v>16.2</v>
          </cell>
          <cell r="B205" t="str">
            <v>Vidro cristal liso 6 mm colocado em caixilho com massa</v>
          </cell>
          <cell r="C205">
            <v>1</v>
          </cell>
          <cell r="D205" t="str">
            <v>m²</v>
          </cell>
        </row>
        <row r="206">
          <cell r="A206" t="str">
            <v>16.3</v>
          </cell>
          <cell r="B206" t="str">
            <v>Vidro fantasia 4 mm colocado em caixilho com massa</v>
          </cell>
          <cell r="C206">
            <v>1</v>
          </cell>
          <cell r="D206" t="str">
            <v>m²</v>
          </cell>
        </row>
        <row r="207">
          <cell r="A207" t="str">
            <v>16.4</v>
          </cell>
          <cell r="B207" t="str">
            <v>Vidro aramado, colocado em caixilho, fixado com massa, espessura 6 mm</v>
          </cell>
          <cell r="C207">
            <v>35</v>
          </cell>
          <cell r="D207" t="str">
            <v>m²</v>
          </cell>
        </row>
        <row r="208">
          <cell r="A208" t="str">
            <v>16.5</v>
          </cell>
          <cell r="B208" t="str">
            <v>Vidro temperado incolor 10 mm colocado em caixilho com gaxeta de neoprene</v>
          </cell>
          <cell r="C208">
            <v>295</v>
          </cell>
          <cell r="D208" t="str">
            <v>m²</v>
          </cell>
        </row>
        <row r="209">
          <cell r="A209" t="str">
            <v>16.6</v>
          </cell>
          <cell r="B209" t="str">
            <v>Vidro cristal laminado, colocado em caixilho com ou sem baguetes, com gaxeta de neoprene espessuras de 8mm</v>
          </cell>
          <cell r="C209">
            <v>1</v>
          </cell>
          <cell r="D209" t="str">
            <v>m²</v>
          </cell>
        </row>
        <row r="210">
          <cell r="A210" t="str">
            <v>16.7</v>
          </cell>
          <cell r="B210" t="str">
            <v>Vidro cristal laminado, colocado em caixilho com ou sem baguetes, com gaxeta de neoprene espessuras de 10mm</v>
          </cell>
          <cell r="C210">
            <v>63</v>
          </cell>
          <cell r="D210" t="str">
            <v>m²</v>
          </cell>
        </row>
        <row r="211">
          <cell r="A211" t="str">
            <v>16.8</v>
          </cell>
          <cell r="B211" t="str">
            <v>Vidro jateado 6mm</v>
          </cell>
          <cell r="C211">
            <v>1</v>
          </cell>
          <cell r="D211" t="str">
            <v>m²</v>
          </cell>
        </row>
        <row r="212">
          <cell r="A212" t="str">
            <v>16.9</v>
          </cell>
          <cell r="B212" t="str">
            <v>Porta de vidro temperado incolor 10mm, sem ferragens, substituição</v>
          </cell>
          <cell r="C212">
            <v>58</v>
          </cell>
          <cell r="D212" t="str">
            <v>m²</v>
          </cell>
        </row>
        <row r="213">
          <cell r="A213" t="str">
            <v>16.10</v>
          </cell>
          <cell r="B213" t="str">
            <v>Conjunto para fixação de vidro temperado (montante/perfil)</v>
          </cell>
          <cell r="C213">
            <v>396</v>
          </cell>
          <cell r="D213" t="str">
            <v>m</v>
          </cell>
        </row>
        <row r="214">
          <cell r="A214" t="str">
            <v>16.11</v>
          </cell>
          <cell r="B214" t="str">
            <v>Conjunto para fixação de vidros comuns (montante/perfil)</v>
          </cell>
          <cell r="C214">
            <v>1</v>
          </cell>
          <cell r="D214" t="str">
            <v>m</v>
          </cell>
        </row>
        <row r="215">
          <cell r="A215" t="str">
            <v>16.12</v>
          </cell>
          <cell r="B215" t="str">
            <v xml:space="preserve">Aplicação de adesivo jateado em vidro temperado </v>
          </cell>
          <cell r="C215">
            <v>275</v>
          </cell>
          <cell r="D215" t="str">
            <v>m²</v>
          </cell>
        </row>
        <row r="216">
          <cell r="A216" t="str">
            <v>16.13</v>
          </cell>
          <cell r="B216" t="str">
            <v>Película em impressão digital de vinil auto-adesivo liso ou perfurado</v>
          </cell>
          <cell r="C216">
            <v>1</v>
          </cell>
          <cell r="D216" t="str">
            <v>m²</v>
          </cell>
        </row>
        <row r="217">
          <cell r="A217" t="str">
            <v>16.14</v>
          </cell>
          <cell r="B217" t="str">
            <v>Espelho lapidado ou bizotado, inclusive instalação</v>
          </cell>
          <cell r="C217">
            <v>13</v>
          </cell>
          <cell r="D217" t="str">
            <v>m²</v>
          </cell>
        </row>
        <row r="218">
          <cell r="A218" t="str">
            <v>16.15</v>
          </cell>
          <cell r="B218" t="str">
            <v>Prateleira de vidro temperado 12mm, serigrafada cor azul para Carenagens</v>
          </cell>
          <cell r="C218">
            <v>11</v>
          </cell>
          <cell r="D218" t="str">
            <v xml:space="preserve">UN </v>
          </cell>
        </row>
        <row r="219">
          <cell r="A219" t="str">
            <v>16.16</v>
          </cell>
          <cell r="B219" t="str">
            <v>Persiana vertical em tecido</v>
          </cell>
          <cell r="C219">
            <v>59</v>
          </cell>
          <cell r="D219" t="str">
            <v>m²</v>
          </cell>
        </row>
        <row r="220">
          <cell r="A220" t="str">
            <v>16.17</v>
          </cell>
          <cell r="B220" t="str">
            <v>Persiana rolô em tecido com blackout</v>
          </cell>
          <cell r="C220">
            <v>1</v>
          </cell>
          <cell r="D220" t="str">
            <v>m²</v>
          </cell>
        </row>
        <row r="221">
          <cell r="A221" t="str">
            <v>16.18</v>
          </cell>
          <cell r="B221" t="str">
            <v>Manutenção de persianas</v>
          </cell>
          <cell r="C221">
            <v>1</v>
          </cell>
          <cell r="D221" t="str">
            <v xml:space="preserve">UN </v>
          </cell>
        </row>
        <row r="222">
          <cell r="A222">
            <v>17</v>
          </cell>
          <cell r="B222" t="str">
            <v>PINTURA</v>
          </cell>
        </row>
        <row r="223">
          <cell r="A223" t="str">
            <v>17.1</v>
          </cell>
          <cell r="B223" t="str">
            <v>Pintura em esmalte sintético standard em estrutura metálica com duas demãos</v>
          </cell>
          <cell r="C223">
            <v>2680</v>
          </cell>
          <cell r="D223" t="str">
            <v>m²</v>
          </cell>
        </row>
        <row r="224">
          <cell r="A224" t="str">
            <v>17.2</v>
          </cell>
          <cell r="B224" t="str">
            <v xml:space="preserve">Emassamento de parede interna ou teto com massa corrida a base de PVA com duas demãos </v>
          </cell>
          <cell r="C224">
            <v>460</v>
          </cell>
          <cell r="D224" t="str">
            <v>m²</v>
          </cell>
        </row>
        <row r="225">
          <cell r="A225" t="str">
            <v>17.3</v>
          </cell>
          <cell r="B225" t="str">
            <v>Pintura texturizada em parede ou teto interna ou externa</v>
          </cell>
          <cell r="C225">
            <v>183</v>
          </cell>
          <cell r="D225" t="str">
            <v>m²</v>
          </cell>
        </row>
        <row r="226">
          <cell r="A226" t="str">
            <v>17.4</v>
          </cell>
          <cell r="B226" t="str">
            <v>Pintura em látex acrílica standard fosca sem emassamento, 3 demãos, com aplicação de selador para exterior</v>
          </cell>
          <cell r="C226">
            <v>4287</v>
          </cell>
          <cell r="D226" t="str">
            <v>m²</v>
          </cell>
        </row>
        <row r="227">
          <cell r="A227" t="str">
            <v>17.5</v>
          </cell>
          <cell r="B227" t="str">
            <v>Emassamento de parede ou teto externo com massa acrílica com duas demãos</v>
          </cell>
          <cell r="C227">
            <v>486</v>
          </cell>
          <cell r="D227" t="str">
            <v>m²</v>
          </cell>
        </row>
        <row r="228">
          <cell r="A228" t="str">
            <v>17.6</v>
          </cell>
          <cell r="B228" t="str">
            <v xml:space="preserve">Pintura em látex acrílica premium fosca em paredes internas ou externas, exceto muros, com três demãos, sem emassamento, com aplicação de selador para alvenaria exterior.  </v>
          </cell>
          <cell r="C228">
            <v>39388</v>
          </cell>
          <cell r="D228" t="str">
            <v>m²</v>
          </cell>
        </row>
        <row r="229">
          <cell r="A229" t="str">
            <v>17.7</v>
          </cell>
          <cell r="B229" t="str">
            <v>Pintura em esmalte sintético para madeira com duas demãos, sem emassamento</v>
          </cell>
          <cell r="C229">
            <v>527</v>
          </cell>
          <cell r="D229" t="str">
            <v>m²</v>
          </cell>
        </row>
        <row r="230">
          <cell r="A230" t="str">
            <v>17.8</v>
          </cell>
          <cell r="B230" t="str">
            <v xml:space="preserve">Pintura para piso a base de resina acrílica - piso, faixas de demarcação de vagas, PNE, carro forte e similares </v>
          </cell>
          <cell r="C230">
            <v>396</v>
          </cell>
          <cell r="D230" t="str">
            <v>m²</v>
          </cell>
        </row>
        <row r="231">
          <cell r="A231" t="str">
            <v>17.9</v>
          </cell>
          <cell r="B231" t="str">
            <v>Pintura Automotiva</v>
          </cell>
          <cell r="C231">
            <v>649</v>
          </cell>
          <cell r="D231" t="str">
            <v>m²</v>
          </cell>
        </row>
        <row r="232">
          <cell r="A232" t="str">
            <v>17.10</v>
          </cell>
          <cell r="B232" t="str">
            <v>Pintura em látex acrílica econômica fosca, em muros, com duas demãos, sem emassamento, com aplicação de selador para alvenaria exterior</v>
          </cell>
          <cell r="C232">
            <v>1</v>
          </cell>
          <cell r="D232" t="str">
            <v>m²</v>
          </cell>
        </row>
        <row r="233">
          <cell r="A233" t="str">
            <v>17.11</v>
          </cell>
          <cell r="B233" t="str">
            <v xml:space="preserve">Pintura em látex acrílica premium acetinada em paredes internas ou externas, exceto muros, com três demãos, sem emassamento, com aplicação de selador para alvenaria exterior.  </v>
          </cell>
          <cell r="C233">
            <v>1</v>
          </cell>
          <cell r="D233" t="str">
            <v>m²</v>
          </cell>
        </row>
        <row r="234">
          <cell r="A234">
            <v>18</v>
          </cell>
          <cell r="B234" t="str">
            <v>ENCERAMENTO E LUSTRAÇÃO</v>
          </cell>
        </row>
        <row r="235">
          <cell r="A235">
            <v>19</v>
          </cell>
          <cell r="B235" t="str">
            <v>INST. ELÉTRICAS, TELEC. E  INFORMÁTICA</v>
          </cell>
        </row>
        <row r="236">
          <cell r="A236" t="str">
            <v>19.1</v>
          </cell>
          <cell r="B236" t="str">
            <v>Ponto elétrico duplo - Custos Fixos</v>
          </cell>
          <cell r="C236">
            <v>54</v>
          </cell>
          <cell r="D236" t="str">
            <v>UN</v>
          </cell>
        </row>
        <row r="237">
          <cell r="A237" t="str">
            <v>19.2</v>
          </cell>
          <cell r="B237" t="str">
            <v xml:space="preserve">Infraestrutura para instalações elétricas, lógicas ou de telefonia, até 1". </v>
          </cell>
          <cell r="C237">
            <v>317</v>
          </cell>
          <cell r="D237" t="str">
            <v>m</v>
          </cell>
        </row>
        <row r="238">
          <cell r="A238" t="str">
            <v>19.3</v>
          </cell>
          <cell r="B238" t="str">
            <v>Ponto elétrico simples - Custos fixos</v>
          </cell>
          <cell r="C238">
            <v>694</v>
          </cell>
          <cell r="D238" t="str">
            <v>UN</v>
          </cell>
        </row>
        <row r="239">
          <cell r="A239" t="str">
            <v>19.4</v>
          </cell>
          <cell r="B239" t="str">
            <v>Infraestrutura para instalações elétricas, lógicas ou de telefonia, 1,25" até 2"</v>
          </cell>
          <cell r="C239">
            <v>7944</v>
          </cell>
          <cell r="D239" t="str">
            <v>m</v>
          </cell>
        </row>
        <row r="240">
          <cell r="A240" t="str">
            <v>19.5</v>
          </cell>
          <cell r="B240" t="str">
            <v>Infraestrutura para instalações elétricas, lógicas ou de telefonia com eletrocalhas de alumínio</v>
          </cell>
          <cell r="C240">
            <v>1768</v>
          </cell>
          <cell r="D240" t="str">
            <v>m</v>
          </cell>
        </row>
        <row r="241">
          <cell r="A241" t="str">
            <v>19.6</v>
          </cell>
          <cell r="B241" t="str">
            <v>Espelhos / Placas / Tampas</v>
          </cell>
          <cell r="C241">
            <v>159</v>
          </cell>
          <cell r="D241" t="str">
            <v>UN</v>
          </cell>
        </row>
        <row r="242">
          <cell r="A242" t="str">
            <v>19.7</v>
          </cell>
          <cell r="B242" t="str">
            <v>Adaptador 2P+T / 10 A - 20 A (padrão novo / padrão antigo)</v>
          </cell>
          <cell r="C242">
            <v>1</v>
          </cell>
          <cell r="D242" t="str">
            <v>UN</v>
          </cell>
        </row>
        <row r="243">
          <cell r="A243" t="str">
            <v>19.8</v>
          </cell>
          <cell r="B243" t="str">
            <v>Ponto lógico duplo - Custos Fixos</v>
          </cell>
          <cell r="C243">
            <v>93</v>
          </cell>
          <cell r="D243" t="str">
            <v>UN</v>
          </cell>
        </row>
        <row r="244">
          <cell r="A244" t="str">
            <v>19.9</v>
          </cell>
          <cell r="B244" t="str">
            <v>Desinstalação/Instalação de luminária</v>
          </cell>
          <cell r="C244">
            <v>3467</v>
          </cell>
          <cell r="D244" t="str">
            <v>UN</v>
          </cell>
        </row>
        <row r="245">
          <cell r="A245" t="str">
            <v>19.10</v>
          </cell>
          <cell r="B245" t="str">
            <v>Ponto lógico/alarme  - Custos Fixos</v>
          </cell>
          <cell r="C245">
            <v>443</v>
          </cell>
          <cell r="D245" t="str">
            <v>UN</v>
          </cell>
        </row>
        <row r="246">
          <cell r="A246" t="str">
            <v>19.11</v>
          </cell>
          <cell r="B246" t="str">
            <v>Suporte para fixação da fechadura eletromagnética para autoatendimento</v>
          </cell>
          <cell r="C246">
            <v>1</v>
          </cell>
          <cell r="D246" t="str">
            <v>UN</v>
          </cell>
        </row>
        <row r="247">
          <cell r="A247" t="str">
            <v>19.12</v>
          </cell>
          <cell r="B247" t="str">
            <v>Contator Bipolar de Potencia até 50A</v>
          </cell>
          <cell r="C247">
            <v>1</v>
          </cell>
          <cell r="D247" t="str">
            <v>UN</v>
          </cell>
        </row>
        <row r="248">
          <cell r="A248" t="str">
            <v>19.13</v>
          </cell>
          <cell r="B248" t="str">
            <v xml:space="preserve">Certificação, identificação e/ou habilitação de ponto lógico existente </v>
          </cell>
          <cell r="C248">
            <v>54</v>
          </cell>
          <cell r="D248" t="str">
            <v>UN</v>
          </cell>
        </row>
        <row r="249">
          <cell r="A249" t="str">
            <v>19.14</v>
          </cell>
          <cell r="B249" t="str">
            <v>Desinstalação/Instalação de suporte de câmera de CFTV</v>
          </cell>
          <cell r="C249">
            <v>1</v>
          </cell>
          <cell r="D249" t="str">
            <v>UN</v>
          </cell>
        </row>
        <row r="250">
          <cell r="A250" t="str">
            <v>19.15</v>
          </cell>
          <cell r="B250" t="str">
            <v>Ponto para câmera de CFTV novo - Custos Fixos</v>
          </cell>
          <cell r="C250">
            <v>161</v>
          </cell>
          <cell r="D250" t="str">
            <v>UN</v>
          </cell>
        </row>
        <row r="251">
          <cell r="A251" t="str">
            <v>19.16</v>
          </cell>
          <cell r="B251" t="str">
            <v>Desinstalação/Instalação de equipamentos de WIFI e Access Point</v>
          </cell>
          <cell r="C251">
            <v>2389</v>
          </cell>
          <cell r="D251" t="str">
            <v>UN</v>
          </cell>
        </row>
        <row r="252">
          <cell r="A252" t="str">
            <v>19.17</v>
          </cell>
          <cell r="B252" t="str">
            <v>Luminária LED Direcional - Embutir</v>
          </cell>
          <cell r="C252">
            <v>1</v>
          </cell>
          <cell r="D252" t="str">
            <v>UN</v>
          </cell>
        </row>
        <row r="253">
          <cell r="A253" t="str">
            <v>19.18</v>
          </cell>
          <cell r="B253" t="str">
            <v>Lâmpada LED 14W T5</v>
          </cell>
          <cell r="C253">
            <v>1</v>
          </cell>
          <cell r="D253" t="str">
            <v>UN</v>
          </cell>
        </row>
        <row r="254">
          <cell r="A254" t="str">
            <v>19.19</v>
          </cell>
          <cell r="B254" t="str">
            <v>Reator eletrônico, partida rápida, alto fator de potência, 2 x 14W a 2x32W</v>
          </cell>
          <cell r="C254">
            <v>2423</v>
          </cell>
          <cell r="D254" t="str">
            <v>UN</v>
          </cell>
        </row>
        <row r="255">
          <cell r="A255" t="str">
            <v>19.20</v>
          </cell>
          <cell r="B255" t="str">
            <v>Refletor /projetor de uso externo de 150 até 400W sem lâmpada e sem reator</v>
          </cell>
          <cell r="C255">
            <v>1</v>
          </cell>
          <cell r="D255" t="str">
            <v>UN</v>
          </cell>
        </row>
        <row r="256">
          <cell r="A256" t="str">
            <v>19.21</v>
          </cell>
          <cell r="B256" t="str">
            <v>Fonte de alimentação para Sinalização LED</v>
          </cell>
          <cell r="C256">
            <v>18</v>
          </cell>
          <cell r="D256" t="str">
            <v>UN</v>
          </cell>
        </row>
        <row r="257">
          <cell r="A257" t="str">
            <v>19.22</v>
          </cell>
          <cell r="B257" t="str">
            <v>Placa de LED para Sinalização (letreiro, totem, bandeira, medalhão, pórtico, painel, etc.)</v>
          </cell>
          <cell r="C257">
            <v>1</v>
          </cell>
          <cell r="D257" t="str">
            <v>UN</v>
          </cell>
        </row>
        <row r="258">
          <cell r="A258" t="str">
            <v>19.23</v>
          </cell>
          <cell r="B258" t="str">
            <v xml:space="preserve">Reator Vapor Metálico Interno / Externo até 150W 220V </v>
          </cell>
          <cell r="C258">
            <v>1</v>
          </cell>
          <cell r="D258" t="str">
            <v>UN</v>
          </cell>
        </row>
        <row r="259">
          <cell r="A259" t="str">
            <v>19.24</v>
          </cell>
          <cell r="B259" t="str">
            <v xml:space="preserve">Reator Vapor Metálico Interno / Externo 400W 220V </v>
          </cell>
          <cell r="C259">
            <v>1</v>
          </cell>
          <cell r="D259" t="str">
            <v>UN</v>
          </cell>
        </row>
        <row r="260">
          <cell r="A260" t="str">
            <v>19.25</v>
          </cell>
          <cell r="B260" t="str">
            <v>Lâmpada fluorescente tubular 14 W T5</v>
          </cell>
          <cell r="C260">
            <v>2455</v>
          </cell>
          <cell r="D260" t="str">
            <v>UN</v>
          </cell>
        </row>
        <row r="261">
          <cell r="A261" t="str">
            <v>19.26</v>
          </cell>
          <cell r="B261" t="str">
            <v xml:space="preserve">Lâmpada fluorescente compacta integrada 25W </v>
          </cell>
          <cell r="C261">
            <v>1629</v>
          </cell>
          <cell r="D261" t="str">
            <v>UN</v>
          </cell>
        </row>
        <row r="262">
          <cell r="A262" t="str">
            <v>19.27</v>
          </cell>
          <cell r="B262" t="str">
            <v>Lâmpada fluorescente tubular 16 W T8</v>
          </cell>
          <cell r="C262">
            <v>3204</v>
          </cell>
          <cell r="D262" t="str">
            <v>UN</v>
          </cell>
        </row>
        <row r="263">
          <cell r="A263" t="str">
            <v>19.28</v>
          </cell>
          <cell r="B263" t="str">
            <v>Lâmpada fluorescente tubular 32W</v>
          </cell>
          <cell r="C263">
            <v>2834</v>
          </cell>
          <cell r="D263" t="str">
            <v>UN</v>
          </cell>
        </row>
        <row r="264">
          <cell r="A264" t="str">
            <v>19.29</v>
          </cell>
          <cell r="B264" t="str">
            <v>Lâmpada fluorescente tubular T5 28W</v>
          </cell>
          <cell r="C264">
            <v>1366</v>
          </cell>
          <cell r="D264" t="str">
            <v>UN</v>
          </cell>
        </row>
        <row r="265">
          <cell r="A265" t="str">
            <v>19.30</v>
          </cell>
          <cell r="B265" t="str">
            <v>Lâmpada para refletor/projetor de uso externo potência de 250 W</v>
          </cell>
          <cell r="C265">
            <v>1</v>
          </cell>
          <cell r="D265" t="str">
            <v>UN</v>
          </cell>
        </row>
        <row r="266">
          <cell r="A266" t="str">
            <v>19.31</v>
          </cell>
          <cell r="B266" t="str">
            <v xml:space="preserve">Lâmpada de vapor de sodio de 250w /220v </v>
          </cell>
          <cell r="C266">
            <v>1</v>
          </cell>
          <cell r="D266" t="str">
            <v>UN</v>
          </cell>
        </row>
        <row r="267">
          <cell r="A267" t="str">
            <v>19.32</v>
          </cell>
          <cell r="B267" t="str">
            <v>Lâmpada halógena par20 de 50w / 127v / 220v</v>
          </cell>
          <cell r="C267">
            <v>114</v>
          </cell>
          <cell r="D267" t="str">
            <v>UN</v>
          </cell>
        </row>
        <row r="268">
          <cell r="A268" t="str">
            <v>19.33</v>
          </cell>
          <cell r="B268" t="str">
            <v>Lâmpada Vapor Metálico PAR20 35W / E27 / 220V / 3000K</v>
          </cell>
          <cell r="C268">
            <v>1</v>
          </cell>
          <cell r="D268" t="str">
            <v>UN</v>
          </cell>
        </row>
        <row r="269">
          <cell r="A269" t="str">
            <v>19.34</v>
          </cell>
          <cell r="B269" t="str">
            <v>Lâmpada LED Bulbo ou PAR20</v>
          </cell>
          <cell r="C269">
            <v>97</v>
          </cell>
          <cell r="D269" t="str">
            <v>UN</v>
          </cell>
        </row>
        <row r="270">
          <cell r="A270" t="str">
            <v>19.35</v>
          </cell>
          <cell r="B270" t="str">
            <v xml:space="preserve">Fita de LED </v>
          </cell>
          <cell r="C270">
            <v>7</v>
          </cell>
          <cell r="D270" t="str">
            <v>UN</v>
          </cell>
        </row>
        <row r="271">
          <cell r="A271" t="str">
            <v>19.36</v>
          </cell>
          <cell r="B271" t="str">
            <v>Lâmpada LED tubular bivolt 9/10W</v>
          </cell>
          <cell r="C271">
            <v>9</v>
          </cell>
          <cell r="D271" t="str">
            <v>UN</v>
          </cell>
        </row>
        <row r="272">
          <cell r="A272" t="str">
            <v>19.37</v>
          </cell>
          <cell r="B272" t="str">
            <v>Lâmpada LED tubular bivolt 18/20W</v>
          </cell>
          <cell r="C272">
            <v>90</v>
          </cell>
          <cell r="D272" t="str">
            <v>UN</v>
          </cell>
        </row>
        <row r="273">
          <cell r="A273" t="str">
            <v>19.38</v>
          </cell>
          <cell r="B273" t="str">
            <v>Lâmpada fluorescente tubular HO 110W, 220V</v>
          </cell>
          <cell r="C273">
            <v>1</v>
          </cell>
          <cell r="D273" t="str">
            <v>UN</v>
          </cell>
        </row>
        <row r="274">
          <cell r="A274" t="str">
            <v>19.39</v>
          </cell>
          <cell r="B274" t="str">
            <v>Lâmpada Vapor metálico 150W, base E27/E40</v>
          </cell>
          <cell r="C274">
            <v>1</v>
          </cell>
          <cell r="D274" t="str">
            <v>UN</v>
          </cell>
        </row>
        <row r="275">
          <cell r="A275" t="str">
            <v>19.40</v>
          </cell>
          <cell r="B275" t="str">
            <v>Lâmpada Vapor metálico 400W, base E40</v>
          </cell>
          <cell r="C275">
            <v>13</v>
          </cell>
          <cell r="D275" t="str">
            <v>UN</v>
          </cell>
        </row>
        <row r="276">
          <cell r="A276" t="str">
            <v>19.41</v>
          </cell>
          <cell r="B276" t="str">
            <v>Lâmpada vapor metálico 250W base E40</v>
          </cell>
          <cell r="C276">
            <v>1</v>
          </cell>
          <cell r="D276" t="str">
            <v>UN</v>
          </cell>
        </row>
        <row r="277">
          <cell r="A277" t="str">
            <v>19.42</v>
          </cell>
          <cell r="B277" t="str">
            <v>Luminária LED Quadrada - Embutir/Sobrepor</v>
          </cell>
          <cell r="C277">
            <v>1</v>
          </cell>
          <cell r="D277" t="str">
            <v>UN</v>
          </cell>
        </row>
        <row r="278">
          <cell r="A278" t="str">
            <v>19.43</v>
          </cell>
          <cell r="B278" t="str">
            <v xml:space="preserve">Luminária Led autonoma de iluminação de emergência com 30 Leds </v>
          </cell>
          <cell r="C278">
            <v>593</v>
          </cell>
          <cell r="D278" t="str">
            <v>UN</v>
          </cell>
        </row>
        <row r="279">
          <cell r="A279" t="str">
            <v>19.44</v>
          </cell>
          <cell r="B279" t="str">
            <v>Luminária Fluorescente Retangular Completa, de Embutir ou de Sobrepor,  2x25W  a 2x32W</v>
          </cell>
          <cell r="C279">
            <v>15</v>
          </cell>
          <cell r="D279" t="str">
            <v>UN</v>
          </cell>
        </row>
        <row r="280">
          <cell r="A280" t="str">
            <v>19.45</v>
          </cell>
          <cell r="B280" t="str">
            <v>Luminária Fluorescente Quadrada Completa, de Embutir ou de Sobrepor,  4x14W a  4x16W</v>
          </cell>
          <cell r="C280">
            <v>1</v>
          </cell>
          <cell r="D280" t="str">
            <v>UN</v>
          </cell>
        </row>
        <row r="281">
          <cell r="A281" t="str">
            <v>19.46</v>
          </cell>
          <cell r="B281" t="str">
            <v>Luminária fluorescente retangular completa, de embutir ou de sobrepor,  2x14W a  2x16W</v>
          </cell>
          <cell r="C281">
            <v>11</v>
          </cell>
          <cell r="D281" t="str">
            <v>UN</v>
          </cell>
        </row>
        <row r="282">
          <cell r="A282" t="str">
            <v>19.47</v>
          </cell>
          <cell r="B282" t="str">
            <v>Luminária circular completa de sobrepor ou embutir, para duas lâmpadas fluorescentes compactas integradas ou fluorescentes 4 pinos de 26W</v>
          </cell>
          <cell r="C282">
            <v>18</v>
          </cell>
          <cell r="D282" t="str">
            <v>UN</v>
          </cell>
        </row>
        <row r="283">
          <cell r="A283" t="str">
            <v>19.48</v>
          </cell>
          <cell r="B283" t="str">
            <v>Refletor em alumínio, 60 Leds, bivolt, uso externo</v>
          </cell>
          <cell r="C283">
            <v>1</v>
          </cell>
          <cell r="D283" t="str">
            <v>UN</v>
          </cell>
        </row>
        <row r="284">
          <cell r="A284" t="str">
            <v>19.49</v>
          </cell>
          <cell r="B284" t="str">
            <v>Sensor de Presença - Regulagem e Ajustes</v>
          </cell>
          <cell r="C284">
            <v>1</v>
          </cell>
          <cell r="D284" t="str">
            <v>UN</v>
          </cell>
        </row>
        <row r="285">
          <cell r="A285" t="str">
            <v>19.50</v>
          </cell>
          <cell r="B285" t="str">
            <v>Sensor de presença teto/parede para controle de iluminação, uso geral, com ou sem fotocélula</v>
          </cell>
          <cell r="C285">
            <v>45</v>
          </cell>
          <cell r="D285" t="str">
            <v>UN</v>
          </cell>
        </row>
        <row r="286">
          <cell r="A286" t="str">
            <v>19.51</v>
          </cell>
          <cell r="B286" t="str">
            <v>Manutenção / Programação de Quadro de Comando e Automação</v>
          </cell>
          <cell r="C286">
            <v>88</v>
          </cell>
          <cell r="D286" t="str">
            <v>UN</v>
          </cell>
        </row>
        <row r="287">
          <cell r="A287" t="str">
            <v>19.52</v>
          </cell>
          <cell r="B287" t="str">
            <v>Disjuntor bipolar até 32A</v>
          </cell>
          <cell r="C287">
            <v>20</v>
          </cell>
          <cell r="D287" t="str">
            <v>UN</v>
          </cell>
        </row>
        <row r="288">
          <cell r="A288" t="str">
            <v>19.53</v>
          </cell>
          <cell r="B288" t="str">
            <v>Quadros elétricos - Manutenção</v>
          </cell>
          <cell r="C288">
            <v>140</v>
          </cell>
          <cell r="D288" t="str">
            <v>UN</v>
          </cell>
        </row>
        <row r="289">
          <cell r="A289" t="str">
            <v>19.54</v>
          </cell>
          <cell r="B289" t="str">
            <v>Disjuntor termomagnético tripolar 300 a 400 A / 600 V, tipo JXD / ICC - 40 KA</v>
          </cell>
          <cell r="C289">
            <v>7</v>
          </cell>
          <cell r="D289" t="str">
            <v>UN</v>
          </cell>
        </row>
        <row r="290">
          <cell r="A290" t="str">
            <v>19.55</v>
          </cell>
          <cell r="B290" t="str">
            <v>Disjuntor termomagnético tripolar até 200A/35KA</v>
          </cell>
          <cell r="C290">
            <v>11</v>
          </cell>
          <cell r="D290" t="str">
            <v>UN</v>
          </cell>
        </row>
        <row r="291">
          <cell r="A291" t="str">
            <v>19.56</v>
          </cell>
          <cell r="B291" t="str">
            <v>Disjuntor tripolar até 100A</v>
          </cell>
          <cell r="C291">
            <v>1</v>
          </cell>
          <cell r="D291" t="str">
            <v>UN</v>
          </cell>
        </row>
        <row r="292">
          <cell r="A292" t="str">
            <v>19.57</v>
          </cell>
          <cell r="B292" t="str">
            <v>Disjuntor tripolar até 50A</v>
          </cell>
          <cell r="C292">
            <v>15</v>
          </cell>
          <cell r="D292" t="str">
            <v>UN</v>
          </cell>
        </row>
        <row r="293">
          <cell r="A293" t="str">
            <v>19.58</v>
          </cell>
          <cell r="B293" t="str">
            <v>Disjuntor bipolar até 50A</v>
          </cell>
          <cell r="C293">
            <v>26</v>
          </cell>
          <cell r="D293" t="str">
            <v>UN</v>
          </cell>
        </row>
        <row r="294">
          <cell r="A294" t="str">
            <v>19.59</v>
          </cell>
          <cell r="B294" t="str">
            <v xml:space="preserve">Disjuntor monopolar até 50A </v>
          </cell>
          <cell r="C294">
            <v>1</v>
          </cell>
          <cell r="D294" t="str">
            <v>UN</v>
          </cell>
        </row>
        <row r="295">
          <cell r="A295" t="str">
            <v>19.60</v>
          </cell>
          <cell r="B295" t="str">
            <v>Dispositivo de proteção contra surto DPS 20KA/275V</v>
          </cell>
          <cell r="C295">
            <v>1</v>
          </cell>
          <cell r="D295" t="str">
            <v>UN</v>
          </cell>
        </row>
        <row r="296">
          <cell r="A296" t="str">
            <v>19.61</v>
          </cell>
          <cell r="B296" t="str">
            <v>Dispositivo de proteção contra surto DPS 45KA/275V</v>
          </cell>
          <cell r="C296">
            <v>9</v>
          </cell>
          <cell r="D296" t="str">
            <v>UN</v>
          </cell>
        </row>
        <row r="297">
          <cell r="A297" t="str">
            <v>19.62</v>
          </cell>
          <cell r="B297" t="str">
            <v>Dispositivo de proteção contra surto DPS 90KA/275V</v>
          </cell>
          <cell r="C297">
            <v>1</v>
          </cell>
          <cell r="D297" t="str">
            <v>UN</v>
          </cell>
        </row>
        <row r="298">
          <cell r="A298" t="str">
            <v>19.63</v>
          </cell>
          <cell r="B298" t="str">
            <v>Dispositivo diferencial residual DR bipolar 220V/127V - 30ma - 63A</v>
          </cell>
          <cell r="C298">
            <v>1</v>
          </cell>
          <cell r="D298" t="str">
            <v>UN</v>
          </cell>
        </row>
        <row r="299">
          <cell r="A299" t="str">
            <v>19.64</v>
          </cell>
          <cell r="B299" t="str">
            <v>Dispositivo diferencial residual DR Tetrapolar (4P) 30ma – 25A</v>
          </cell>
          <cell r="C299">
            <v>1</v>
          </cell>
          <cell r="D299" t="str">
            <v>UN</v>
          </cell>
        </row>
        <row r="300">
          <cell r="A300" t="str">
            <v>19.65</v>
          </cell>
          <cell r="B300" t="str">
            <v>Dispositivo diferencial residual DR Tetrapolar (4P) 30ma – 63A</v>
          </cell>
          <cell r="C300">
            <v>1</v>
          </cell>
          <cell r="D300" t="str">
            <v>UN</v>
          </cell>
        </row>
        <row r="301">
          <cell r="A301" t="str">
            <v>19.66</v>
          </cell>
          <cell r="B301" t="str">
            <v>Contator de Potencia até 12A</v>
          </cell>
          <cell r="C301">
            <v>41</v>
          </cell>
          <cell r="D301" t="str">
            <v>UN</v>
          </cell>
        </row>
        <row r="302">
          <cell r="A302" t="str">
            <v>19.67</v>
          </cell>
          <cell r="B302" t="str">
            <v>Contator de Potencia até 45A</v>
          </cell>
          <cell r="C302">
            <v>1</v>
          </cell>
          <cell r="D302" t="str">
            <v>UN</v>
          </cell>
        </row>
        <row r="303">
          <cell r="A303" t="str">
            <v>19.68</v>
          </cell>
          <cell r="B303" t="str">
            <v>Contator de Potencia até 94A</v>
          </cell>
          <cell r="C303">
            <v>1</v>
          </cell>
          <cell r="D303" t="str">
            <v>UN</v>
          </cell>
        </row>
        <row r="304">
          <cell r="A304" t="str">
            <v>19.69</v>
          </cell>
          <cell r="B304" t="str">
            <v>Bloco de Contato  Auxiliar 1na + 1nf</v>
          </cell>
          <cell r="C304">
            <v>1</v>
          </cell>
          <cell r="D304" t="str">
            <v>UN</v>
          </cell>
        </row>
        <row r="305">
          <cell r="A305" t="str">
            <v>19.70</v>
          </cell>
          <cell r="B305" t="str">
            <v>Bloco de Contato  Auxiliar 2na + 2nf</v>
          </cell>
          <cell r="C305">
            <v>1</v>
          </cell>
          <cell r="D305" t="str">
            <v>UN</v>
          </cell>
        </row>
        <row r="306">
          <cell r="A306" t="str">
            <v>19.71</v>
          </cell>
          <cell r="B306" t="str">
            <v>Placa em Policarbonato 3mm para proteção de quadros elétricos</v>
          </cell>
          <cell r="C306">
            <v>1</v>
          </cell>
          <cell r="D306" t="str">
            <v>UN</v>
          </cell>
        </row>
        <row r="307">
          <cell r="A307" t="str">
            <v>19.72</v>
          </cell>
          <cell r="B307" t="str">
            <v>Cabo de cobre flexivel anti-chama 450/750V / de 10 a 16mm2</v>
          </cell>
          <cell r="C307">
            <v>61</v>
          </cell>
          <cell r="D307" t="str">
            <v>m</v>
          </cell>
        </row>
        <row r="308">
          <cell r="A308" t="str">
            <v>19.73</v>
          </cell>
          <cell r="B308" t="str">
            <v>Cabo de cobre flexivel anti-chama 450/750V / de 25 a 35mm2</v>
          </cell>
          <cell r="C308">
            <v>7</v>
          </cell>
          <cell r="D308" t="str">
            <v>m</v>
          </cell>
        </row>
        <row r="309">
          <cell r="A309" t="str">
            <v>19.74</v>
          </cell>
          <cell r="B309" t="str">
            <v>Cabo de cobre flexivel anti-chama 450/750V / de 50 a 70mm2</v>
          </cell>
          <cell r="C309">
            <v>48</v>
          </cell>
          <cell r="D309" t="str">
            <v>m</v>
          </cell>
        </row>
        <row r="310">
          <cell r="A310" t="str">
            <v>19.75</v>
          </cell>
          <cell r="B310" t="str">
            <v>Cabo de cobre flexível anti-chama 450/750V / de 95 a 150mm2</v>
          </cell>
          <cell r="C310">
            <v>21</v>
          </cell>
          <cell r="D310" t="str">
            <v>m</v>
          </cell>
        </row>
        <row r="311">
          <cell r="A311" t="str">
            <v>19.76</v>
          </cell>
          <cell r="B311" t="str">
            <v>Cabo de cobre flexível anti-chama 450/750V / de 185 a 240mm2</v>
          </cell>
          <cell r="C311">
            <v>7</v>
          </cell>
          <cell r="D311" t="str">
            <v>m</v>
          </cell>
        </row>
        <row r="312">
          <cell r="A312" t="str">
            <v>19.77</v>
          </cell>
          <cell r="B312" t="str">
            <v>Timer digital - Programação ou alteração da programação do timer digital</v>
          </cell>
          <cell r="C312">
            <v>174</v>
          </cell>
          <cell r="D312" t="str">
            <v>UN</v>
          </cell>
        </row>
        <row r="313">
          <cell r="A313" t="str">
            <v>19.78</v>
          </cell>
          <cell r="B313" t="str">
            <v>Timer digital - Interruptor horário, 127/220V/16A</v>
          </cell>
          <cell r="C313">
            <v>78</v>
          </cell>
          <cell r="D313" t="str">
            <v>UN</v>
          </cell>
        </row>
        <row r="314">
          <cell r="A314" t="str">
            <v>19.79</v>
          </cell>
          <cell r="B314" t="str">
            <v>Timer digital - Interruptor horário, 127/220V/16A - 2 Canais</v>
          </cell>
          <cell r="C314">
            <v>1</v>
          </cell>
          <cell r="D314" t="str">
            <v>UN</v>
          </cell>
        </row>
        <row r="315">
          <cell r="A315" t="str">
            <v>19.80</v>
          </cell>
          <cell r="B315" t="str">
            <v>Luminária LED circular ou quadrada</v>
          </cell>
          <cell r="C315">
            <v>1</v>
          </cell>
          <cell r="D315" t="str">
            <v>UN</v>
          </cell>
        </row>
        <row r="316">
          <cell r="A316" t="str">
            <v>19.81</v>
          </cell>
          <cell r="B316" t="str">
            <v>Luminária tipo tartaruga para uso interno ou externo</v>
          </cell>
          <cell r="C316">
            <v>1</v>
          </cell>
          <cell r="D316" t="str">
            <v>UN</v>
          </cell>
        </row>
        <row r="317">
          <cell r="A317" t="str">
            <v>19.82</v>
          </cell>
          <cell r="B317" t="str">
            <v>Refletor LED em alumínio, 150W/200W, bivolt, uso externo</v>
          </cell>
          <cell r="C317">
            <v>1</v>
          </cell>
          <cell r="D317" t="str">
            <v>UN</v>
          </cell>
        </row>
        <row r="318">
          <cell r="A318" t="str">
            <v>19.83</v>
          </cell>
          <cell r="B318" t="str">
            <v>Bloco autônomo emergência com dois faróis 1200 lúmens</v>
          </cell>
          <cell r="C318">
            <v>1</v>
          </cell>
          <cell r="D318" t="str">
            <v>UN</v>
          </cell>
        </row>
        <row r="319">
          <cell r="A319" t="str">
            <v>19.84</v>
          </cell>
          <cell r="B319" t="str">
            <v>Bloco autônomo emergência com dois faróis 2200 lúmens</v>
          </cell>
          <cell r="C319">
            <v>1</v>
          </cell>
          <cell r="D319" t="str">
            <v>UN</v>
          </cell>
        </row>
        <row r="320">
          <cell r="A320" t="str">
            <v>19.85</v>
          </cell>
          <cell r="B320" t="str">
            <v>Unidade Autônoma para iluminação de emergência fluxo luminoso mínimo de 500 lúmens</v>
          </cell>
          <cell r="C320">
            <v>1</v>
          </cell>
          <cell r="D320" t="str">
            <v>UN</v>
          </cell>
        </row>
        <row r="321">
          <cell r="A321" t="str">
            <v>19.86</v>
          </cell>
          <cell r="B321" t="str">
            <v>Circuito Elétrico MonoFásico ou Bifásico até 25A</v>
          </cell>
          <cell r="C321">
            <v>1</v>
          </cell>
          <cell r="D321" t="str">
            <v>m</v>
          </cell>
        </row>
        <row r="322">
          <cell r="A322" t="str">
            <v>19.87</v>
          </cell>
          <cell r="B322" t="str">
            <v>Circuito Elétrico MonoFásico ou Bifásico até 50A</v>
          </cell>
          <cell r="C322">
            <v>1</v>
          </cell>
          <cell r="D322" t="str">
            <v>m</v>
          </cell>
        </row>
        <row r="323">
          <cell r="A323" t="str">
            <v>19.88</v>
          </cell>
          <cell r="B323" t="str">
            <v>Fonte de Alimentação estabilizada para câmera CFTV 127/220VAC /12VCC/25A</v>
          </cell>
          <cell r="C323">
            <v>9</v>
          </cell>
          <cell r="D323" t="str">
            <v>UN</v>
          </cell>
        </row>
        <row r="324">
          <cell r="A324" t="str">
            <v>19.89</v>
          </cell>
          <cell r="B324" t="str">
            <v>Driver de corrente para lâmpadas ou fitas de led (12 ou 24 vdc - 6a - 127v/220v)</v>
          </cell>
          <cell r="C324">
            <v>1</v>
          </cell>
          <cell r="D324" t="str">
            <v>UN</v>
          </cell>
        </row>
        <row r="325">
          <cell r="A325" t="str">
            <v>19.90</v>
          </cell>
          <cell r="B325" t="str">
            <v>Luminária circular LED orientável orbital</v>
          </cell>
          <cell r="C325">
            <v>1</v>
          </cell>
          <cell r="D325" t="str">
            <v>UN</v>
          </cell>
        </row>
        <row r="326">
          <cell r="A326" t="str">
            <v>19.91</v>
          </cell>
          <cell r="B326" t="str">
            <v>Patch Panel 24 portas Cat5e c/ guia de cabos 1U</v>
          </cell>
          <cell r="C326">
            <v>13</v>
          </cell>
          <cell r="D326" t="str">
            <v>UN</v>
          </cell>
        </row>
        <row r="327">
          <cell r="A327" t="str">
            <v>19.92</v>
          </cell>
          <cell r="B327" t="str">
            <v>Patch Cord flexivel Cat5e / 10m</v>
          </cell>
          <cell r="C327">
            <v>1</v>
          </cell>
          <cell r="D327" t="str">
            <v>UN</v>
          </cell>
        </row>
        <row r="328">
          <cell r="A328" t="str">
            <v>19.93</v>
          </cell>
          <cell r="B328" t="str">
            <v>Patch Cord flexivel Cat5e / 5m</v>
          </cell>
          <cell r="C328">
            <v>1</v>
          </cell>
          <cell r="D328" t="str">
            <v>UN</v>
          </cell>
        </row>
        <row r="329">
          <cell r="A329" t="str">
            <v>19.94</v>
          </cell>
          <cell r="B329" t="str">
            <v xml:space="preserve">Patch Cord flexivel Cat5e / 2,5m </v>
          </cell>
          <cell r="C329">
            <v>33</v>
          </cell>
          <cell r="D329" t="str">
            <v>UN</v>
          </cell>
        </row>
        <row r="330">
          <cell r="A330" t="str">
            <v>19.95</v>
          </cell>
          <cell r="B330" t="str">
            <v>Patch cord flexivel Cat5e / 1,5m</v>
          </cell>
          <cell r="C330">
            <v>37</v>
          </cell>
          <cell r="D330" t="str">
            <v>UN</v>
          </cell>
        </row>
        <row r="331">
          <cell r="A331" t="str">
            <v>19.96</v>
          </cell>
          <cell r="B331" t="str">
            <v>Manutenção do Sistema de Controle de Acesso</v>
          </cell>
          <cell r="C331">
            <v>315</v>
          </cell>
          <cell r="D331" t="str">
            <v>UN</v>
          </cell>
        </row>
        <row r="332">
          <cell r="A332" t="str">
            <v>19.97</v>
          </cell>
          <cell r="B332" t="str">
            <v>Circuito Elétrico Trifásico até 50A</v>
          </cell>
          <cell r="C332">
            <v>1</v>
          </cell>
          <cell r="D332" t="str">
            <v>m</v>
          </cell>
        </row>
        <row r="333">
          <cell r="A333" t="str">
            <v>19.98</v>
          </cell>
          <cell r="B333" t="str">
            <v>Teclado de senhas digital, para controle de acesso</v>
          </cell>
          <cell r="C333">
            <v>105</v>
          </cell>
          <cell r="D333" t="str">
            <v>UN</v>
          </cell>
        </row>
        <row r="334">
          <cell r="A334" t="str">
            <v>19.99</v>
          </cell>
          <cell r="B334" t="str">
            <v xml:space="preserve">Patch Cord flexivel Cat6e / 2,5m </v>
          </cell>
          <cell r="C334">
            <v>1</v>
          </cell>
          <cell r="D334" t="str">
            <v>UN</v>
          </cell>
        </row>
        <row r="335">
          <cell r="A335">
            <v>19100</v>
          </cell>
          <cell r="B335" t="str">
            <v xml:space="preserve">Caixa quebra vidro de emergência </v>
          </cell>
          <cell r="C335">
            <v>50</v>
          </cell>
          <cell r="D335" t="str">
            <v>UN</v>
          </cell>
        </row>
        <row r="336">
          <cell r="A336">
            <v>19101</v>
          </cell>
          <cell r="B336" t="str">
            <v>Botão Emulador (botão de saida)</v>
          </cell>
          <cell r="C336">
            <v>110</v>
          </cell>
          <cell r="D336" t="str">
            <v>UN</v>
          </cell>
        </row>
        <row r="337">
          <cell r="A337">
            <v>19102</v>
          </cell>
          <cell r="B337" t="str">
            <v>Suporte para fixação da fechadura</v>
          </cell>
          <cell r="C337">
            <v>93</v>
          </cell>
          <cell r="D337" t="str">
            <v>UN</v>
          </cell>
        </row>
        <row r="338">
          <cell r="A338">
            <v>19103</v>
          </cell>
          <cell r="B338" t="str">
            <v>Fonte de alimentação com carregador de bateria e placa ATM para Fechadura Eletromagnética força de tração 150kgf</v>
          </cell>
          <cell r="C338">
            <v>82</v>
          </cell>
          <cell r="D338" t="str">
            <v>UN</v>
          </cell>
        </row>
        <row r="339">
          <cell r="A339">
            <v>19104</v>
          </cell>
          <cell r="B339" t="str">
            <v>Fechadura Eletromagnética força de tração 150kgf</v>
          </cell>
          <cell r="C339">
            <v>78</v>
          </cell>
          <cell r="D339" t="str">
            <v>UN</v>
          </cell>
        </row>
        <row r="340">
          <cell r="A340">
            <v>19105</v>
          </cell>
          <cell r="B340" t="str">
            <v>Fechadura Elétrica com fonte de alimentação</v>
          </cell>
          <cell r="C340">
            <v>1</v>
          </cell>
          <cell r="D340" t="str">
            <v>UN</v>
          </cell>
        </row>
        <row r="341">
          <cell r="A341">
            <v>19106</v>
          </cell>
          <cell r="B341" t="str">
            <v>Instalação/Susbtituição de cabo coaxial</v>
          </cell>
          <cell r="C341">
            <v>1</v>
          </cell>
          <cell r="D341" t="str">
            <v>m</v>
          </cell>
        </row>
        <row r="342">
          <cell r="A342">
            <v>19107</v>
          </cell>
          <cell r="B342" t="str">
            <v>No-Break e/ou banco de baterias - substuição/relocalização/instalação</v>
          </cell>
          <cell r="C342">
            <v>9</v>
          </cell>
          <cell r="D342" t="str">
            <v>UN</v>
          </cell>
        </row>
        <row r="343">
          <cell r="A343">
            <v>19108</v>
          </cell>
          <cell r="B343" t="str">
            <v>Aterramento / SPDA - revisão geral</v>
          </cell>
          <cell r="C343">
            <v>1</v>
          </cell>
          <cell r="D343" t="str">
            <v>UN</v>
          </cell>
        </row>
        <row r="344">
          <cell r="A344">
            <v>19109</v>
          </cell>
          <cell r="B344" t="str">
            <v>Aterramento / SPDA - Haste de aterramento em cobre 3/4"x3m com cabo e conector</v>
          </cell>
          <cell r="C344">
            <v>1</v>
          </cell>
          <cell r="D344" t="str">
            <v>UN</v>
          </cell>
        </row>
        <row r="345">
          <cell r="A345">
            <v>19110</v>
          </cell>
          <cell r="B345" t="str">
            <v>Encaixotamento e retirada de equipamentos diversos - Desocupação de Imóvel</v>
          </cell>
          <cell r="C345">
            <v>18</v>
          </cell>
          <cell r="D345" t="str">
            <v>UN</v>
          </cell>
        </row>
        <row r="346">
          <cell r="A346">
            <v>19111</v>
          </cell>
          <cell r="B346" t="str">
            <v>Manutenção em Bomba de água de 1/4 cv a 5cv</v>
          </cell>
          <cell r="C346">
            <v>7</v>
          </cell>
          <cell r="D346" t="str">
            <v>UN</v>
          </cell>
        </row>
        <row r="347">
          <cell r="A347">
            <v>19112</v>
          </cell>
          <cell r="B347" t="str">
            <v>Bomba de água de 1/4 cv</v>
          </cell>
          <cell r="C347">
            <v>1</v>
          </cell>
          <cell r="D347" t="str">
            <v>UN</v>
          </cell>
        </row>
        <row r="348">
          <cell r="A348">
            <v>19113</v>
          </cell>
          <cell r="B348" t="str">
            <v>Bomba de água de 1/2 cv</v>
          </cell>
          <cell r="C348">
            <v>1</v>
          </cell>
          <cell r="D348" t="str">
            <v>UN</v>
          </cell>
        </row>
        <row r="349">
          <cell r="A349">
            <v>19114</v>
          </cell>
          <cell r="B349" t="str">
            <v>Bomba de água de 1 cv</v>
          </cell>
          <cell r="C349">
            <v>1</v>
          </cell>
          <cell r="D349" t="str">
            <v>UN</v>
          </cell>
        </row>
        <row r="350">
          <cell r="A350">
            <v>19115</v>
          </cell>
          <cell r="B350" t="str">
            <v>Quadro de Telefonia (DG) - Manutenção</v>
          </cell>
          <cell r="C350">
            <v>1</v>
          </cell>
          <cell r="D350" t="str">
            <v>UN</v>
          </cell>
        </row>
        <row r="351">
          <cell r="A351">
            <v>19116</v>
          </cell>
          <cell r="B351" t="str">
            <v>Cabo Telefone CCI 50x10</v>
          </cell>
          <cell r="C351">
            <v>1</v>
          </cell>
          <cell r="D351" t="str">
            <v>m</v>
          </cell>
        </row>
        <row r="352">
          <cell r="A352">
            <v>19117</v>
          </cell>
          <cell r="B352" t="str">
            <v>Cabo Telefone CCI 50x20</v>
          </cell>
          <cell r="C352">
            <v>1</v>
          </cell>
          <cell r="D352" t="str">
            <v>m</v>
          </cell>
        </row>
        <row r="353">
          <cell r="A353">
            <v>19118</v>
          </cell>
          <cell r="B353" t="str">
            <v>Cabo Telefone CCI 50x30</v>
          </cell>
          <cell r="C353">
            <v>1</v>
          </cell>
          <cell r="D353" t="str">
            <v>m</v>
          </cell>
        </row>
        <row r="354">
          <cell r="A354">
            <v>19119</v>
          </cell>
          <cell r="B354" t="str">
            <v>Acompanhamento de implantação de equipamentos</v>
          </cell>
          <cell r="C354">
            <v>14</v>
          </cell>
          <cell r="D354" t="str">
            <v>UN</v>
          </cell>
        </row>
        <row r="355">
          <cell r="A355">
            <v>19120</v>
          </cell>
          <cell r="B355" t="str">
            <v>Laudo de medição de nível de iluminamento</v>
          </cell>
          <cell r="C355">
            <v>1</v>
          </cell>
          <cell r="D355" t="str">
            <v>UN</v>
          </cell>
        </row>
        <row r="356">
          <cell r="A356">
            <v>19121</v>
          </cell>
          <cell r="B356" t="str">
            <v>Laudo de medição de resistência de aterramento</v>
          </cell>
          <cell r="C356">
            <v>1</v>
          </cell>
          <cell r="D356" t="str">
            <v>UN</v>
          </cell>
        </row>
        <row r="357">
          <cell r="A357">
            <v>19122</v>
          </cell>
          <cell r="B357" t="str">
            <v>Remoção de Infraestrutura elétrica e Lógica - Desocupação de Imóvel</v>
          </cell>
          <cell r="C357">
            <v>895</v>
          </cell>
          <cell r="D357" t="str">
            <v>m</v>
          </cell>
        </row>
        <row r="358">
          <cell r="A358">
            <v>19123</v>
          </cell>
          <cell r="B358" t="str">
            <v>Remoção de Luminária - Desocupação de Imóvel</v>
          </cell>
          <cell r="C358">
            <v>675</v>
          </cell>
          <cell r="D358" t="str">
            <v>UN</v>
          </cell>
        </row>
        <row r="359">
          <cell r="A359">
            <v>19124</v>
          </cell>
          <cell r="B359" t="str">
            <v>Relé Fotoelétrico</v>
          </cell>
          <cell r="C359">
            <v>11</v>
          </cell>
          <cell r="D359" t="str">
            <v>UN</v>
          </cell>
        </row>
        <row r="360">
          <cell r="A360">
            <v>19125</v>
          </cell>
          <cell r="B360" t="str">
            <v>Luminária circular de embutir com foco orientável</v>
          </cell>
          <cell r="C360">
            <v>1</v>
          </cell>
          <cell r="D360" t="str">
            <v>UN</v>
          </cell>
        </row>
        <row r="361">
          <cell r="A361">
            <v>19126</v>
          </cell>
          <cell r="B361" t="str">
            <v>Adesivo para Fechadura Eletromagnética força de tração 150kgf</v>
          </cell>
          <cell r="C361">
            <v>1</v>
          </cell>
          <cell r="D361" t="str">
            <v>UN</v>
          </cell>
        </row>
        <row r="362">
          <cell r="A362">
            <v>19127</v>
          </cell>
          <cell r="B362" t="str">
            <v>Bateria 12 V - 7 Ah</v>
          </cell>
          <cell r="C362">
            <v>159</v>
          </cell>
          <cell r="D362" t="str">
            <v>UN</v>
          </cell>
        </row>
        <row r="363">
          <cell r="A363">
            <v>19128</v>
          </cell>
          <cell r="B363" t="str">
            <v>BATERIA 12V até 70AH</v>
          </cell>
          <cell r="C363">
            <v>26</v>
          </cell>
          <cell r="D363" t="str">
            <v>UN</v>
          </cell>
        </row>
        <row r="364">
          <cell r="A364">
            <v>19129</v>
          </cell>
          <cell r="B364" t="str">
            <v>Ponto lógico - manutenção - troca de cabo UTP</v>
          </cell>
          <cell r="C364">
            <v>1</v>
          </cell>
          <cell r="D364" t="str">
            <v>m</v>
          </cell>
        </row>
        <row r="365">
          <cell r="A365">
            <v>19130</v>
          </cell>
          <cell r="B365" t="str">
            <v>Ponto elétrico - manutenção - troca de cabo elétrico</v>
          </cell>
          <cell r="C365">
            <v>1</v>
          </cell>
          <cell r="D365" t="str">
            <v>m</v>
          </cell>
        </row>
        <row r="366">
          <cell r="A366">
            <v>20</v>
          </cell>
          <cell r="B366" t="str">
            <v>INSTALAÇÕES DE ÁGUA</v>
          </cell>
        </row>
        <row r="367">
          <cell r="A367" t="str">
            <v>20.1</v>
          </cell>
          <cell r="B367" t="str">
            <v>Registro de gaveta bruto com ADAPTADOR SOLDÁVEL para PVC, Ø 15 mm - 1/2"</v>
          </cell>
          <cell r="C367">
            <v>1</v>
          </cell>
          <cell r="D367" t="str">
            <v>un</v>
          </cell>
        </row>
        <row r="368">
          <cell r="A368" t="str">
            <v>20.2</v>
          </cell>
          <cell r="B368" t="str">
            <v>Registro de gaveta bruto com ADAPTADOR SOLDÁVEL para PVC, Ø 20 mm - 3/4"</v>
          </cell>
          <cell r="C368">
            <v>1</v>
          </cell>
          <cell r="D368" t="str">
            <v>un</v>
          </cell>
        </row>
        <row r="369">
          <cell r="A369" t="str">
            <v>20.3</v>
          </cell>
          <cell r="B369" t="str">
            <v>Registro de gaveta bruto com canopla cromada e adaptador para PVC , Ø 25 mm - 1"</v>
          </cell>
          <cell r="C369">
            <v>1</v>
          </cell>
          <cell r="D369" t="str">
            <v>un</v>
          </cell>
        </row>
        <row r="370">
          <cell r="A370" t="str">
            <v>20.4</v>
          </cell>
          <cell r="B370" t="str">
            <v>Registro de gaveta bruto com canopla cromada e adaptador para PVC , Ø 40 mm - 1 1/2"</v>
          </cell>
          <cell r="C370">
            <v>1</v>
          </cell>
          <cell r="D370" t="str">
            <v>un</v>
          </cell>
        </row>
        <row r="371">
          <cell r="A371" t="str">
            <v>20.5</v>
          </cell>
          <cell r="B371" t="str">
            <v>Registro de gaveta bruto com ADAPTADOR para PVC, Ø 25 mm - 1"</v>
          </cell>
          <cell r="C371">
            <v>1</v>
          </cell>
          <cell r="D371" t="str">
            <v>un</v>
          </cell>
        </row>
        <row r="372">
          <cell r="A372" t="str">
            <v>20.6</v>
          </cell>
          <cell r="B372" t="str">
            <v>Registro de gaveta bruto com ADAPTADOR para PVC, Ø 32 mm - 1 1/4"</v>
          </cell>
          <cell r="C372">
            <v>1</v>
          </cell>
          <cell r="D372" t="str">
            <v>un</v>
          </cell>
        </row>
        <row r="373">
          <cell r="A373" t="str">
            <v>20.7</v>
          </cell>
          <cell r="B373" t="str">
            <v>Registro de gaveta bruto com ADAPTADOR para PVC, Ø 40 mm - 1 1/2"</v>
          </cell>
          <cell r="C373">
            <v>1</v>
          </cell>
          <cell r="D373" t="str">
            <v>un</v>
          </cell>
        </row>
        <row r="374">
          <cell r="A374" t="str">
            <v>20.8</v>
          </cell>
          <cell r="B374" t="str">
            <v>Registro de gaveta bruto com ADAPTADOR para PVC, Ø 50 mm - 2"</v>
          </cell>
          <cell r="C374">
            <v>1</v>
          </cell>
          <cell r="D374" t="str">
            <v>un</v>
          </cell>
        </row>
        <row r="375">
          <cell r="A375" t="str">
            <v>20.9</v>
          </cell>
          <cell r="B375" t="str">
            <v>Registro de gaveta bruto com ADAPTADOR para PVC, Ø 65 mm - 2 1/2"</v>
          </cell>
          <cell r="C375">
            <v>1</v>
          </cell>
          <cell r="D375" t="str">
            <v>un</v>
          </cell>
        </row>
        <row r="376">
          <cell r="A376" t="str">
            <v>20.10</v>
          </cell>
          <cell r="B376" t="str">
            <v>Registro de pressão com canopla até Ø 25 mm - 1"</v>
          </cell>
          <cell r="C376">
            <v>1</v>
          </cell>
          <cell r="D376" t="str">
            <v>un</v>
          </cell>
        </row>
        <row r="377">
          <cell r="A377" t="str">
            <v>20.11</v>
          </cell>
          <cell r="B377" t="str">
            <v>Torneira de bóia até 1 1/4"</v>
          </cell>
          <cell r="C377">
            <v>1</v>
          </cell>
          <cell r="D377" t="str">
            <v>un</v>
          </cell>
        </row>
        <row r="378">
          <cell r="A378" t="str">
            <v>20.12</v>
          </cell>
          <cell r="B378" t="str">
            <v>Reservatório  de fibra de vidro - capacidade de 1000 litros</v>
          </cell>
          <cell r="C378">
            <v>11</v>
          </cell>
          <cell r="D378" t="str">
            <v>un</v>
          </cell>
        </row>
        <row r="379">
          <cell r="A379" t="str">
            <v>20.13</v>
          </cell>
          <cell r="B379" t="str">
            <v>Reservatório  de fibra de vidro - capacidade de 2000 litros</v>
          </cell>
          <cell r="C379">
            <v>1</v>
          </cell>
          <cell r="D379" t="str">
            <v>un</v>
          </cell>
        </row>
        <row r="380">
          <cell r="A380" t="str">
            <v>20.14</v>
          </cell>
          <cell r="B380" t="str">
            <v>Correção de vazamentos hidráulicos, inclusive detecção de vazamento</v>
          </cell>
          <cell r="C380">
            <v>379</v>
          </cell>
          <cell r="D380" t="str">
            <v>un</v>
          </cell>
        </row>
        <row r="381">
          <cell r="A381" t="str">
            <v>20.15</v>
          </cell>
          <cell r="B381" t="str">
            <v>Desentupimento de rede de água pluvial, hidráulica, ralos, pias, lavatórios, sifão, tanques, bebedouro e válvulas</v>
          </cell>
          <cell r="C381">
            <v>93</v>
          </cell>
          <cell r="D381" t="str">
            <v>un</v>
          </cell>
        </row>
        <row r="382">
          <cell r="A382" t="str">
            <v>20.16</v>
          </cell>
          <cell r="B382" t="str">
            <v>Desentupimento de Instalações de Esgoto, bacia sanitária e mictórios</v>
          </cell>
          <cell r="C382">
            <v>219</v>
          </cell>
          <cell r="D382" t="str">
            <v>un</v>
          </cell>
        </row>
        <row r="383">
          <cell r="A383" t="str">
            <v>20.17</v>
          </cell>
          <cell r="B383" t="str">
            <v>Desentupimento de Instalações de Esgoto em geral com Equipamentos Especiais</v>
          </cell>
          <cell r="C383">
            <v>24</v>
          </cell>
          <cell r="D383" t="str">
            <v>H</v>
          </cell>
        </row>
        <row r="384">
          <cell r="A384" t="str">
            <v>20.18</v>
          </cell>
          <cell r="B384" t="str">
            <v>Válvula de descarga metálica</v>
          </cell>
          <cell r="C384">
            <v>33</v>
          </cell>
          <cell r="D384" t="str">
            <v>un</v>
          </cell>
        </row>
        <row r="385">
          <cell r="A385" t="str">
            <v>20.19</v>
          </cell>
          <cell r="B385" t="str">
            <v>Desentupimento de Dreno de Ar condicionado</v>
          </cell>
          <cell r="C385">
            <v>1</v>
          </cell>
          <cell r="D385" t="str">
            <v>un</v>
          </cell>
        </row>
        <row r="386">
          <cell r="A386" t="str">
            <v>20.20</v>
          </cell>
          <cell r="B386" t="str">
            <v>Ponto de água fria (até 6m)</v>
          </cell>
          <cell r="C386">
            <v>281</v>
          </cell>
          <cell r="D386" t="str">
            <v>un</v>
          </cell>
        </row>
        <row r="387">
          <cell r="A387" t="str">
            <v>20.21</v>
          </cell>
          <cell r="B387" t="str">
            <v>Válvula de retenção  de pé com crivo até Ø 25mm (1")</v>
          </cell>
          <cell r="C387">
            <v>1</v>
          </cell>
          <cell r="D387" t="str">
            <v>un</v>
          </cell>
        </row>
        <row r="388">
          <cell r="A388" t="str">
            <v>20.22</v>
          </cell>
          <cell r="B388" t="str">
            <v>Registro regulador de Vazão</v>
          </cell>
          <cell r="C388">
            <v>1</v>
          </cell>
          <cell r="D388" t="str">
            <v>un</v>
          </cell>
        </row>
        <row r="389">
          <cell r="A389" t="str">
            <v>20.23</v>
          </cell>
          <cell r="B389" t="str">
            <v>Correção de vazamentos hidráulicos em tubulação metálica, inclusive detecção de vazamento.</v>
          </cell>
          <cell r="C389">
            <v>1</v>
          </cell>
          <cell r="D389" t="str">
            <v>un</v>
          </cell>
        </row>
        <row r="390">
          <cell r="A390">
            <v>21</v>
          </cell>
          <cell r="B390" t="str">
            <v>INSTALAÇÕES CONTRA INCÊNDIO</v>
          </cell>
        </row>
        <row r="391">
          <cell r="A391" t="str">
            <v>21.1</v>
          </cell>
          <cell r="B391" t="str">
            <v>Mangueira tipo 2 com união de engate rápido, DN = 1 1/2" (38 mm)</v>
          </cell>
          <cell r="C391">
            <v>48</v>
          </cell>
          <cell r="D391" t="str">
            <v>m</v>
          </cell>
        </row>
        <row r="392">
          <cell r="A392" t="str">
            <v>21.2</v>
          </cell>
          <cell r="B392" t="str">
            <v>Esguicho latão com engate rápido, DN = 2 1/2", requinte fixo</v>
          </cell>
          <cell r="C392">
            <v>1</v>
          </cell>
          <cell r="D392" t="str">
            <v>un</v>
          </cell>
        </row>
        <row r="393">
          <cell r="A393" t="str">
            <v>21.3</v>
          </cell>
          <cell r="B393" t="str">
            <v>Adaptador de engate rápido em latão de 2 1/2" x 1 1/2"</v>
          </cell>
          <cell r="C393">
            <v>1</v>
          </cell>
          <cell r="D393" t="str">
            <v>un</v>
          </cell>
        </row>
        <row r="394">
          <cell r="A394" t="str">
            <v>21.4</v>
          </cell>
          <cell r="B394" t="str">
            <v>Registro globo angular 45°, Ø 65 mm (2 1/2")</v>
          </cell>
          <cell r="C394">
            <v>1</v>
          </cell>
          <cell r="D394" t="str">
            <v>un</v>
          </cell>
        </row>
        <row r="395">
          <cell r="A395" t="str">
            <v>21.5</v>
          </cell>
          <cell r="B395" t="str">
            <v>Chave para conexão de engate rápido tipo STORZ (dupla)</v>
          </cell>
          <cell r="C395">
            <v>1</v>
          </cell>
          <cell r="D395" t="str">
            <v>un</v>
          </cell>
        </row>
        <row r="396">
          <cell r="A396" t="str">
            <v>21.6</v>
          </cell>
          <cell r="B396" t="str">
            <v>Tampa em ferro fundido para HIDRANTE de recalque (40X60cm)</v>
          </cell>
          <cell r="C396">
            <v>1</v>
          </cell>
          <cell r="D396" t="str">
            <v>un</v>
          </cell>
        </row>
        <row r="397">
          <cell r="A397" t="str">
            <v>21.7</v>
          </cell>
          <cell r="B397" t="str">
            <v>Suporte de parede para extintor</v>
          </cell>
          <cell r="C397">
            <v>7</v>
          </cell>
          <cell r="D397" t="str">
            <v>un</v>
          </cell>
        </row>
        <row r="398">
          <cell r="A398" t="str">
            <v>21.8</v>
          </cell>
          <cell r="B398" t="str">
            <v>Suporte de piso para extintor</v>
          </cell>
          <cell r="C398">
            <v>11</v>
          </cell>
          <cell r="D398" t="str">
            <v>un</v>
          </cell>
        </row>
        <row r="399">
          <cell r="A399" t="str">
            <v>21.9</v>
          </cell>
          <cell r="B399" t="str">
            <v>Placa de sinalização PPCI fotoluminescente em PVC, adesivada</v>
          </cell>
          <cell r="C399">
            <v>508</v>
          </cell>
          <cell r="D399" t="str">
            <v>UN</v>
          </cell>
        </row>
        <row r="400">
          <cell r="A400" t="str">
            <v>21.10</v>
          </cell>
          <cell r="B400" t="str">
            <v>Detector óptico de fumaça endereçavel</v>
          </cell>
          <cell r="C400">
            <v>1</v>
          </cell>
          <cell r="D400" t="str">
            <v>un</v>
          </cell>
        </row>
        <row r="401">
          <cell r="A401" t="str">
            <v>21.11</v>
          </cell>
          <cell r="B401" t="str">
            <v>Detector termovelocimétrico endereçavel</v>
          </cell>
          <cell r="C401">
            <v>1</v>
          </cell>
          <cell r="D401" t="str">
            <v>un</v>
          </cell>
        </row>
        <row r="402">
          <cell r="A402" t="str">
            <v>21.12</v>
          </cell>
          <cell r="B402" t="str">
            <v>Acionador alarme de incêndio</v>
          </cell>
          <cell r="C402">
            <v>1</v>
          </cell>
          <cell r="D402" t="str">
            <v>un</v>
          </cell>
        </row>
        <row r="403">
          <cell r="A403" t="str">
            <v>21.13</v>
          </cell>
          <cell r="B403" t="str">
            <v>Sinalizador audiovisual endereçavel</v>
          </cell>
          <cell r="C403">
            <v>1</v>
          </cell>
          <cell r="D403" t="str">
            <v>un</v>
          </cell>
        </row>
        <row r="404">
          <cell r="A404">
            <v>22</v>
          </cell>
          <cell r="B404" t="str">
            <v>INSTALAÇÕES SANITÁRIAS, DE ESGOTO E ÁGUAS PLUVIAIS</v>
          </cell>
        </row>
        <row r="405">
          <cell r="A405" t="str">
            <v>22.1</v>
          </cell>
          <cell r="B405" t="str">
            <v>Manutenção em caixas de descarga Montana e  caixa acoplada convencional - Reparo</v>
          </cell>
          <cell r="C405">
            <v>35</v>
          </cell>
          <cell r="D405" t="str">
            <v>un</v>
          </cell>
        </row>
        <row r="406">
          <cell r="A406" t="str">
            <v>22.2</v>
          </cell>
          <cell r="B406" t="str">
            <v>Manutenção em caixas de descarga Montana - Troca de Espelho</v>
          </cell>
          <cell r="C406">
            <v>11</v>
          </cell>
          <cell r="D406" t="str">
            <v>un</v>
          </cell>
        </row>
        <row r="407">
          <cell r="A407" t="str">
            <v>22.3</v>
          </cell>
          <cell r="B407" t="str">
            <v>Manutenção de válvula de descarga - Reparo</v>
          </cell>
          <cell r="C407">
            <v>170</v>
          </cell>
          <cell r="D407" t="str">
            <v>un</v>
          </cell>
        </row>
        <row r="408">
          <cell r="A408" t="str">
            <v>22.4</v>
          </cell>
          <cell r="B408" t="str">
            <v>Manutenção de Torneira - Reparo</v>
          </cell>
          <cell r="C408">
            <v>22</v>
          </cell>
          <cell r="D408" t="str">
            <v>un</v>
          </cell>
        </row>
        <row r="409">
          <cell r="A409" t="str">
            <v>22.5</v>
          </cell>
          <cell r="B409" t="str">
            <v>Manutenção de bacia sanitária</v>
          </cell>
          <cell r="C409">
            <v>7</v>
          </cell>
          <cell r="D409" t="str">
            <v>un</v>
          </cell>
        </row>
        <row r="410">
          <cell r="A410" t="str">
            <v>22.6</v>
          </cell>
          <cell r="B410" t="str">
            <v>Caixa sifonada de PVC, 3 a 5 saídas, com tampa metálica</v>
          </cell>
          <cell r="C410">
            <v>9</v>
          </cell>
          <cell r="D410" t="str">
            <v>un</v>
          </cell>
        </row>
        <row r="411">
          <cell r="A411" t="str">
            <v>22.7</v>
          </cell>
          <cell r="B411" t="str">
            <v>Ponto de esgoto (até 6m)</v>
          </cell>
          <cell r="C411">
            <v>105</v>
          </cell>
          <cell r="D411" t="str">
            <v>un</v>
          </cell>
        </row>
        <row r="412">
          <cell r="A412" t="str">
            <v>22.8</v>
          </cell>
          <cell r="B412" t="str">
            <v>Ralo Semiesférico (tipo abacaxi)</v>
          </cell>
          <cell r="C412">
            <v>1</v>
          </cell>
          <cell r="D412" t="str">
            <v>un</v>
          </cell>
        </row>
        <row r="413">
          <cell r="A413" t="str">
            <v>22.9</v>
          </cell>
          <cell r="B413" t="str">
            <v>Chave de Bóia automática</v>
          </cell>
          <cell r="C413">
            <v>1</v>
          </cell>
          <cell r="D413" t="str">
            <v xml:space="preserve">UN </v>
          </cell>
        </row>
        <row r="414">
          <cell r="A414" t="str">
            <v>22.10</v>
          </cell>
          <cell r="B414" t="str">
            <v xml:space="preserve">Ralo sifonado de PVC rígido </v>
          </cell>
          <cell r="C414">
            <v>1</v>
          </cell>
          <cell r="D414" t="str">
            <v>un</v>
          </cell>
        </row>
        <row r="415">
          <cell r="A415" t="str">
            <v>22.11</v>
          </cell>
          <cell r="B415" t="str">
            <v>VÁLVULA de retenção horizontal ou vertical -2 1/2"</v>
          </cell>
          <cell r="C415">
            <v>1</v>
          </cell>
          <cell r="D415" t="str">
            <v>un</v>
          </cell>
        </row>
        <row r="416">
          <cell r="A416">
            <v>23</v>
          </cell>
          <cell r="B416" t="str">
            <v>INSTALAÇÕES ESPECIAIS</v>
          </cell>
        </row>
        <row r="417">
          <cell r="A417">
            <v>24</v>
          </cell>
          <cell r="B417" t="str">
            <v>INSTALAÇÕES DE GÁS</v>
          </cell>
        </row>
        <row r="418">
          <cell r="A418">
            <v>25</v>
          </cell>
          <cell r="B418" t="str">
            <v>INSTALAÇÕES DE TRANSPORTE VERTICAL</v>
          </cell>
        </row>
        <row r="419">
          <cell r="A419">
            <v>26</v>
          </cell>
          <cell r="B419" t="str">
            <v>INSTALAÇÕES DE AR COND., VENT. E AQUECIMENTO</v>
          </cell>
        </row>
        <row r="420">
          <cell r="A420">
            <v>27</v>
          </cell>
          <cell r="B420" t="str">
            <v>LIXO</v>
          </cell>
        </row>
        <row r="421">
          <cell r="A421">
            <v>28</v>
          </cell>
          <cell r="B421" t="str">
            <v>EQUIPAMENTOS SANITÁRIOS E DE COZINHA</v>
          </cell>
        </row>
        <row r="422">
          <cell r="A422" t="str">
            <v>28.1</v>
          </cell>
          <cell r="B422" t="str">
            <v>Bacia sanitária de louça com caixa acoplada, com tampa e acessórios</v>
          </cell>
          <cell r="C422">
            <v>1</v>
          </cell>
          <cell r="D422" t="str">
            <v xml:space="preserve">UN </v>
          </cell>
        </row>
        <row r="423">
          <cell r="A423" t="str">
            <v>28.2</v>
          </cell>
          <cell r="B423" t="str">
            <v>Bacia de louça sifonada, com tampa e acessórios</v>
          </cell>
          <cell r="C423">
            <v>1</v>
          </cell>
          <cell r="D423" t="str">
            <v xml:space="preserve">UN </v>
          </cell>
        </row>
        <row r="424">
          <cell r="A424" t="str">
            <v>28.3</v>
          </cell>
          <cell r="B424" t="str">
            <v>BARRA de apoio em aço inox até - 90 cm - 1.1/2" - NBR 9050</v>
          </cell>
          <cell r="C424">
            <v>9</v>
          </cell>
          <cell r="D424" t="str">
            <v xml:space="preserve">UN </v>
          </cell>
        </row>
        <row r="425">
          <cell r="A425" t="str">
            <v>28.4</v>
          </cell>
          <cell r="B425" t="str">
            <v>BARRA de apoio de canto, em aço inox - até 80 x 80 cm - 1.1/2" - NBR 9050</v>
          </cell>
          <cell r="C425">
            <v>1</v>
          </cell>
          <cell r="D425" t="str">
            <v xml:space="preserve">UN </v>
          </cell>
        </row>
        <row r="426">
          <cell r="A426" t="str">
            <v>28.5</v>
          </cell>
          <cell r="B426" t="str">
            <v>Refixação de barra de apoio PPNE, conforme NBR 9050</v>
          </cell>
          <cell r="C426">
            <v>1</v>
          </cell>
          <cell r="D426" t="str">
            <v xml:space="preserve">UN </v>
          </cell>
        </row>
        <row r="427">
          <cell r="A427" t="str">
            <v>28.6</v>
          </cell>
          <cell r="B427" t="str">
            <v>Caixa de descarga suspensa embutida (padrão Montana 9000) inclusive instalação e acessórios padronizados</v>
          </cell>
          <cell r="C427">
            <v>1</v>
          </cell>
          <cell r="D427" t="str">
            <v xml:space="preserve">UN </v>
          </cell>
        </row>
        <row r="428">
          <cell r="A428" t="str">
            <v>28.7</v>
          </cell>
          <cell r="B428" t="str">
            <v>Cuba  - Colagem</v>
          </cell>
          <cell r="C428">
            <v>1</v>
          </cell>
          <cell r="D428" t="str">
            <v xml:space="preserve">UN </v>
          </cell>
        </row>
        <row r="429">
          <cell r="A429" t="str">
            <v>28.8</v>
          </cell>
          <cell r="B429" t="str">
            <v>Cuba em louça para embutir</v>
          </cell>
          <cell r="C429">
            <v>1</v>
          </cell>
          <cell r="D429" t="str">
            <v xml:space="preserve">UN </v>
          </cell>
        </row>
        <row r="430">
          <cell r="A430" t="str">
            <v>28.9</v>
          </cell>
          <cell r="B430" t="str">
            <v>Dosador de sabão tipo dispenser - capacidade 1000ml</v>
          </cell>
          <cell r="C430">
            <v>97</v>
          </cell>
          <cell r="D430" t="str">
            <v xml:space="preserve">UN </v>
          </cell>
        </row>
        <row r="431">
          <cell r="A431" t="str">
            <v>28.10</v>
          </cell>
          <cell r="B431" t="str">
            <v>Dispenser para copo descartável</v>
          </cell>
          <cell r="C431">
            <v>1</v>
          </cell>
          <cell r="D431" t="str">
            <v xml:space="preserve">UN </v>
          </cell>
        </row>
        <row r="432">
          <cell r="A432" t="str">
            <v>28.11</v>
          </cell>
          <cell r="B432" t="str">
            <v>Ducha higiênica manual cromada</v>
          </cell>
          <cell r="C432">
            <v>107</v>
          </cell>
          <cell r="D432" t="str">
            <v xml:space="preserve">UN </v>
          </cell>
        </row>
        <row r="433">
          <cell r="A433" t="str">
            <v>28.12</v>
          </cell>
          <cell r="B433" t="str">
            <v>Manutenção ducha higiênica</v>
          </cell>
          <cell r="C433">
            <v>1</v>
          </cell>
          <cell r="D433" t="str">
            <v xml:space="preserve">UN </v>
          </cell>
        </row>
        <row r="434">
          <cell r="A434" t="str">
            <v>28.13</v>
          </cell>
          <cell r="B434" t="str">
            <v>Engate flexível para água</v>
          </cell>
          <cell r="C434">
            <v>7</v>
          </cell>
          <cell r="D434" t="str">
            <v xml:space="preserve">UN </v>
          </cell>
        </row>
        <row r="435">
          <cell r="A435" t="str">
            <v>28.14</v>
          </cell>
          <cell r="B435" t="str">
            <v>Lavatório com coluna suspensa</v>
          </cell>
          <cell r="C435">
            <v>1</v>
          </cell>
          <cell r="D435" t="str">
            <v xml:space="preserve">UN </v>
          </cell>
        </row>
        <row r="436">
          <cell r="A436" t="str">
            <v>28.15</v>
          </cell>
          <cell r="B436" t="str">
            <v>Válvula de escoamento para lavatório ou cuba</v>
          </cell>
          <cell r="C436">
            <v>1</v>
          </cell>
          <cell r="D436" t="str">
            <v xml:space="preserve">UN </v>
          </cell>
        </row>
        <row r="437">
          <cell r="A437" t="str">
            <v>28.16</v>
          </cell>
          <cell r="B437" t="str">
            <v>Lavatório de canto sem coluna, inclusive válvula</v>
          </cell>
          <cell r="C437">
            <v>1</v>
          </cell>
          <cell r="D437" t="str">
            <v xml:space="preserve">UN </v>
          </cell>
        </row>
        <row r="438">
          <cell r="A438" t="str">
            <v>28.17</v>
          </cell>
          <cell r="B438" t="str">
            <v>Mictório de louça individual</v>
          </cell>
          <cell r="C438">
            <v>15</v>
          </cell>
          <cell r="D438" t="str">
            <v xml:space="preserve">UN </v>
          </cell>
        </row>
        <row r="439">
          <cell r="A439" t="str">
            <v>28.18</v>
          </cell>
          <cell r="B439" t="str">
            <v>Dispenser papel higiênico</v>
          </cell>
          <cell r="C439">
            <v>1</v>
          </cell>
          <cell r="D439" t="str">
            <v xml:space="preserve">UN </v>
          </cell>
        </row>
        <row r="440">
          <cell r="A440" t="str">
            <v>28.19</v>
          </cell>
          <cell r="B440" t="str">
            <v>Dispenser para toalha de papel</v>
          </cell>
          <cell r="C440">
            <v>73</v>
          </cell>
          <cell r="D440" t="str">
            <v xml:space="preserve">UN </v>
          </cell>
        </row>
        <row r="441">
          <cell r="A441" t="str">
            <v>28.20</v>
          </cell>
          <cell r="B441" t="str">
            <v>Sifão flexível</v>
          </cell>
          <cell r="C441">
            <v>48</v>
          </cell>
          <cell r="D441" t="str">
            <v xml:space="preserve">UN </v>
          </cell>
        </row>
        <row r="442">
          <cell r="A442" t="str">
            <v>28.21</v>
          </cell>
          <cell r="B442" t="str">
            <v>Sifão metálico para lavatório</v>
          </cell>
          <cell r="C442">
            <v>13</v>
          </cell>
          <cell r="D442" t="str">
            <v xml:space="preserve">UN </v>
          </cell>
        </row>
        <row r="443">
          <cell r="A443" t="str">
            <v>28.22</v>
          </cell>
          <cell r="B443" t="str">
            <v>Válvula de descarga p/ mictório c/ fechamento automático</v>
          </cell>
          <cell r="C443">
            <v>41</v>
          </cell>
          <cell r="D443" t="str">
            <v xml:space="preserve">UN </v>
          </cell>
        </row>
        <row r="444">
          <cell r="A444" t="str">
            <v>28.23</v>
          </cell>
          <cell r="B444" t="str">
            <v>Bacia PPNE, com assento e acessórios</v>
          </cell>
          <cell r="C444">
            <v>1</v>
          </cell>
          <cell r="D444" t="str">
            <v xml:space="preserve">UN </v>
          </cell>
        </row>
        <row r="445">
          <cell r="A445" t="str">
            <v>28.24</v>
          </cell>
          <cell r="B445" t="str">
            <v>Assento poliéster para PPNE</v>
          </cell>
          <cell r="C445">
            <v>11</v>
          </cell>
          <cell r="D445" t="str">
            <v xml:space="preserve">UN </v>
          </cell>
        </row>
        <row r="446">
          <cell r="A446" t="str">
            <v>28.25</v>
          </cell>
          <cell r="B446" t="str">
            <v>Assento Plástico</v>
          </cell>
          <cell r="C446">
            <v>114</v>
          </cell>
          <cell r="D446" t="str">
            <v xml:space="preserve">UN </v>
          </cell>
        </row>
        <row r="447">
          <cell r="A447" t="str">
            <v>28.26</v>
          </cell>
          <cell r="B447" t="str">
            <v>Torneira metálica para tanque</v>
          </cell>
          <cell r="C447">
            <v>11</v>
          </cell>
          <cell r="D447" t="str">
            <v xml:space="preserve">UN </v>
          </cell>
        </row>
        <row r="448">
          <cell r="A448" t="str">
            <v>28.27</v>
          </cell>
          <cell r="B448" t="str">
            <v>Torneira para lavatório de parede, fechamento automático</v>
          </cell>
          <cell r="C448">
            <v>37</v>
          </cell>
          <cell r="D448" t="str">
            <v xml:space="preserve">UN </v>
          </cell>
        </row>
        <row r="449">
          <cell r="A449" t="str">
            <v>28.28</v>
          </cell>
          <cell r="B449" t="str">
            <v>Torneira para lavatório de mesa, fechamento automático</v>
          </cell>
          <cell r="C449">
            <v>71</v>
          </cell>
          <cell r="D449" t="str">
            <v xml:space="preserve">UN </v>
          </cell>
        </row>
        <row r="450">
          <cell r="A450" t="str">
            <v>28.29</v>
          </cell>
          <cell r="B450" t="str">
            <v>Tampo/Bancada em granito</v>
          </cell>
          <cell r="C450">
            <v>1</v>
          </cell>
          <cell r="D450" t="str">
            <v>m²</v>
          </cell>
        </row>
        <row r="451">
          <cell r="A451" t="str">
            <v>28.30</v>
          </cell>
          <cell r="B451" t="str">
            <v>Bebedouro - Instalação</v>
          </cell>
          <cell r="C451">
            <v>26</v>
          </cell>
          <cell r="D451" t="str">
            <v>un</v>
          </cell>
        </row>
        <row r="452">
          <cell r="A452" t="str">
            <v>28.31</v>
          </cell>
          <cell r="B452" t="str">
            <v>Fixação de equipamentos sanitários</v>
          </cell>
          <cell r="C452">
            <v>35</v>
          </cell>
          <cell r="D452" t="str">
            <v>un</v>
          </cell>
        </row>
        <row r="453">
          <cell r="A453" t="str">
            <v>28.32</v>
          </cell>
          <cell r="B453" t="str">
            <v>Torneira para banheiro PNE com alavanca para acionamento</v>
          </cell>
          <cell r="C453">
            <v>1</v>
          </cell>
          <cell r="D453" t="str">
            <v>un</v>
          </cell>
        </row>
        <row r="454">
          <cell r="A454" t="str">
            <v>28.33</v>
          </cell>
          <cell r="B454" t="str">
            <v>Torneira metálica para copa ou cozinha</v>
          </cell>
          <cell r="C454">
            <v>1</v>
          </cell>
          <cell r="D454" t="str">
            <v xml:space="preserve">UN </v>
          </cell>
        </row>
        <row r="455">
          <cell r="A455" t="str">
            <v>28.34</v>
          </cell>
          <cell r="B455" t="str">
            <v>Dosador de sabão tipo dispenser  de parede</v>
          </cell>
          <cell r="C455">
            <v>1</v>
          </cell>
          <cell r="D455" t="str">
            <v xml:space="preserve">UN </v>
          </cell>
        </row>
        <row r="456">
          <cell r="A456">
            <v>29</v>
          </cell>
          <cell r="B456" t="str">
            <v>DIVERSOS</v>
          </cell>
        </row>
        <row r="457">
          <cell r="A457" t="str">
            <v>29.1</v>
          </cell>
          <cell r="B457" t="str">
            <v>Sinalização símbolo acessibilidade (adesivos)</v>
          </cell>
          <cell r="C457">
            <v>54</v>
          </cell>
          <cell r="D457" t="str">
            <v>UN</v>
          </cell>
        </row>
        <row r="458">
          <cell r="A458" t="str">
            <v>29.2</v>
          </cell>
          <cell r="B458" t="str">
            <v>Adesivos padrão BB (ex: remus, estilo, high-tech,  nova ambiência, padrão 98 ou similares) com/sem mensagens (segurança, horário da agência, SAA, ou similares.)</v>
          </cell>
          <cell r="C458">
            <v>56</v>
          </cell>
          <cell r="D458" t="str">
            <v>M</v>
          </cell>
        </row>
        <row r="459">
          <cell r="A459" t="str">
            <v>29.3</v>
          </cell>
          <cell r="B459" t="str">
            <v>Sinalização visual e tátil no acesso - PLACA 30x18 cm</v>
          </cell>
          <cell r="C459">
            <v>48</v>
          </cell>
          <cell r="D459" t="str">
            <v>UN</v>
          </cell>
        </row>
        <row r="460">
          <cell r="A460" t="str">
            <v>29.4</v>
          </cell>
          <cell r="B460" t="str">
            <v xml:space="preserve">Borda de piso fotoluminescente - autoadesivo (referência: Fita Antiderrapante Fosforescente Neon Safety-Walk 3M) - largura: 50mm </v>
          </cell>
          <cell r="C460">
            <v>24</v>
          </cell>
          <cell r="D460" t="str">
            <v>M</v>
          </cell>
        </row>
        <row r="461">
          <cell r="A461" t="str">
            <v>29.5</v>
          </cell>
          <cell r="B461" t="str">
            <v>Alarme de emergência sem fio para sanitário de PPNE (botoeira/alarme sonoro e visual)</v>
          </cell>
          <cell r="C461">
            <v>1</v>
          </cell>
          <cell r="D461" t="str">
            <v>CJ</v>
          </cell>
        </row>
        <row r="462">
          <cell r="A462" t="str">
            <v>29.6</v>
          </cell>
          <cell r="B462" t="str">
            <v>Piso tátil de borracha - direcional ou alerta (por placa)</v>
          </cell>
          <cell r="C462">
            <v>5502</v>
          </cell>
          <cell r="D462" t="str">
            <v>UN</v>
          </cell>
        </row>
        <row r="463">
          <cell r="A463" t="str">
            <v>29.7</v>
          </cell>
          <cell r="B463" t="str">
            <v>Faixa adesiva de segurança de fachada</v>
          </cell>
          <cell r="C463">
            <v>574</v>
          </cell>
          <cell r="D463" t="str">
            <v>M</v>
          </cell>
        </row>
        <row r="464">
          <cell r="A464" t="str">
            <v>29.8</v>
          </cell>
          <cell r="B464" t="str">
            <v>Grafema em vinil adesivo jateado</v>
          </cell>
          <cell r="C464">
            <v>158</v>
          </cell>
          <cell r="D464" t="str">
            <v>UN</v>
          </cell>
        </row>
        <row r="465">
          <cell r="A465" t="str">
            <v>29.9</v>
          </cell>
          <cell r="B465" t="str">
            <v>Placa interna - pictogramas diversos - em acrílico (e=8mm) fixados com pinos metálicos cromados - dim.13x30 cm</v>
          </cell>
          <cell r="C465">
            <v>1</v>
          </cell>
          <cell r="D465" t="str">
            <v>UN</v>
          </cell>
        </row>
        <row r="466">
          <cell r="A466" t="str">
            <v>29.10</v>
          </cell>
          <cell r="B466" t="str">
            <v>Placa interna - pictogramas diversos - em acrílico (e=8mm) fixados com pinos metálicos cromados - dim.20x20cm</v>
          </cell>
          <cell r="C466">
            <v>221</v>
          </cell>
          <cell r="D466" t="str">
            <v>UN</v>
          </cell>
        </row>
        <row r="467">
          <cell r="A467" t="str">
            <v>29.11</v>
          </cell>
          <cell r="B467" t="str">
            <v>Fita adesiva de piso (amarela / preta / vermelha)</v>
          </cell>
          <cell r="C467">
            <v>5972</v>
          </cell>
          <cell r="D467" t="str">
            <v>M</v>
          </cell>
        </row>
        <row r="468">
          <cell r="A468" t="str">
            <v>29.12</v>
          </cell>
          <cell r="B468" t="str">
            <v>Fita antiderrapante para degraus de escada ou rampas</v>
          </cell>
          <cell r="C468">
            <v>268</v>
          </cell>
          <cell r="D468" t="str">
            <v>M</v>
          </cell>
        </row>
        <row r="469">
          <cell r="A469" t="str">
            <v>29.13</v>
          </cell>
          <cell r="B469" t="str">
            <v>Sinalização externa - substituição de película (para medalhão, bandeira, letreiros, pórticos de acesso, tótens e similares).</v>
          </cell>
          <cell r="C469">
            <v>592</v>
          </cell>
          <cell r="D469" t="str">
            <v>M²</v>
          </cell>
        </row>
        <row r="470">
          <cell r="A470" t="str">
            <v>29.14</v>
          </cell>
          <cell r="B470" t="str">
            <v>Sinalização externa - substituição de policarbonato e película, inclusive montagem da marca e instalação (para medalhão, bandeira, letreiros, pórticos de acesso e similares)</v>
          </cell>
          <cell r="C470">
            <v>449</v>
          </cell>
          <cell r="D470" t="str">
            <v>M²</v>
          </cell>
        </row>
        <row r="471">
          <cell r="A471" t="str">
            <v>29.15</v>
          </cell>
          <cell r="B471" t="str">
            <v>Sinalização externa - substituição de policarbonato e película, inclusive montagem da marca e instalação (para TOTENS)</v>
          </cell>
          <cell r="C471">
            <v>90</v>
          </cell>
          <cell r="D471" t="str">
            <v>M²</v>
          </cell>
        </row>
        <row r="472">
          <cell r="A472" t="str">
            <v>29.16</v>
          </cell>
          <cell r="B472" t="str">
            <v>Caixa de passagem de Massas Metálicas-CPMM, em policarbonato.</v>
          </cell>
          <cell r="C472">
            <v>15</v>
          </cell>
          <cell r="D472" t="str">
            <v>UN</v>
          </cell>
        </row>
        <row r="473">
          <cell r="A473" t="str">
            <v>29.17</v>
          </cell>
          <cell r="B473" t="str">
            <v>Desfixação de terminais de TAA/TTE</v>
          </cell>
          <cell r="C473">
            <v>50</v>
          </cell>
          <cell r="D473" t="str">
            <v>UN</v>
          </cell>
        </row>
        <row r="474">
          <cell r="A474" t="str">
            <v>29.18</v>
          </cell>
          <cell r="B474" t="str">
            <v>Fixação de terminais de TAA/TTE</v>
          </cell>
          <cell r="C474">
            <v>45</v>
          </cell>
          <cell r="D474" t="str">
            <v>UN</v>
          </cell>
        </row>
        <row r="475">
          <cell r="A475" t="str">
            <v>29.19</v>
          </cell>
          <cell r="B475" t="str">
            <v>Sinalização externa - retirada de letreiros, totem, bandeira, medalhão, pórtico de acesso.</v>
          </cell>
          <cell r="C475">
            <v>1</v>
          </cell>
          <cell r="D475" t="str">
            <v>UN</v>
          </cell>
        </row>
        <row r="476">
          <cell r="A476" t="str">
            <v>29.20</v>
          </cell>
          <cell r="B476" t="str">
            <v>Sinalização interna  - retirada de toda a caracterização interna própria</v>
          </cell>
          <cell r="C476">
            <v>8</v>
          </cell>
          <cell r="D476" t="str">
            <v>UN</v>
          </cell>
        </row>
        <row r="477">
          <cell r="A477" t="str">
            <v>29.21</v>
          </cell>
          <cell r="B477" t="str">
            <v>Fornecimento e instalação de divisória de privacidade de TAA em policarbonato para carenagem</v>
          </cell>
          <cell r="C477">
            <v>1</v>
          </cell>
          <cell r="D477" t="str">
            <v xml:space="preserve">un </v>
          </cell>
        </row>
        <row r="478">
          <cell r="A478" t="str">
            <v>29.22</v>
          </cell>
          <cell r="B478" t="str">
            <v>Ajuste de biombo, divisórias, carenagens e mobiliário em geral</v>
          </cell>
          <cell r="C478">
            <v>171</v>
          </cell>
          <cell r="D478" t="str">
            <v xml:space="preserve">un </v>
          </cell>
        </row>
        <row r="479">
          <cell r="A479" t="str">
            <v>29.23</v>
          </cell>
          <cell r="B479" t="str">
            <v>Fornecimento e instalação de biombo de privacidade em policarbonato</v>
          </cell>
          <cell r="C479">
            <v>42</v>
          </cell>
          <cell r="D479" t="str">
            <v>m²</v>
          </cell>
        </row>
        <row r="480">
          <cell r="A480" t="str">
            <v>29.24</v>
          </cell>
          <cell r="B480" t="str">
            <v>Remoção de adesivos e limpeza</v>
          </cell>
          <cell r="C480">
            <v>45</v>
          </cell>
          <cell r="D480" t="str">
            <v>m²</v>
          </cell>
        </row>
        <row r="481">
          <cell r="A481" t="str">
            <v>29.25</v>
          </cell>
          <cell r="B481" t="str">
            <v>Reparo de carenagens - Padrões BB</v>
          </cell>
          <cell r="C481">
            <v>1</v>
          </cell>
          <cell r="D481" t="str">
            <v xml:space="preserve">un </v>
          </cell>
        </row>
        <row r="482">
          <cell r="A482" t="str">
            <v>29.26</v>
          </cell>
          <cell r="B482" t="str">
            <v>Recolagem de piso tátil de borracha - direcional ou alerta (por placa)</v>
          </cell>
          <cell r="C482">
            <v>118</v>
          </cell>
          <cell r="D482" t="str">
            <v>UN</v>
          </cell>
        </row>
        <row r="483">
          <cell r="A483" t="str">
            <v>29.27</v>
          </cell>
          <cell r="B483" t="str">
            <v>Sinalização tátil para corrimão - Plaqueta em braile</v>
          </cell>
          <cell r="C483">
            <v>1</v>
          </cell>
          <cell r="D483" t="str">
            <v xml:space="preserve">un </v>
          </cell>
        </row>
        <row r="484">
          <cell r="A484" t="str">
            <v>29.28</v>
          </cell>
          <cell r="B484" t="str">
            <v>Sinalização tátil para corrimão - Anel de borracha</v>
          </cell>
          <cell r="C484">
            <v>1</v>
          </cell>
          <cell r="D484" t="str">
            <v xml:space="preserve">un </v>
          </cell>
        </row>
        <row r="485">
          <cell r="A485" t="str">
            <v>29.29</v>
          </cell>
          <cell r="B485" t="str">
            <v>Instalação de kit de ar condicionado</v>
          </cell>
          <cell r="C485">
            <v>1</v>
          </cell>
          <cell r="D485" t="str">
            <v>m</v>
          </cell>
        </row>
        <row r="486">
          <cell r="A486" t="str">
            <v>29.30</v>
          </cell>
          <cell r="B486" t="str">
            <v>Piso tátil de concreto - direcional ou alerta (por placa)</v>
          </cell>
          <cell r="C486">
            <v>1</v>
          </cell>
          <cell r="D486" t="str">
            <v>un</v>
          </cell>
        </row>
        <row r="487">
          <cell r="A487" t="str">
            <v>29.31</v>
          </cell>
          <cell r="B487" t="str">
            <v>Caminhão Munck</v>
          </cell>
          <cell r="C487">
            <v>1</v>
          </cell>
          <cell r="D487" t="str">
            <v>H</v>
          </cell>
        </row>
        <row r="488">
          <cell r="A488" t="str">
            <v>29.32</v>
          </cell>
          <cell r="B488" t="str">
            <v>Sinalização Externa - Bandeira</v>
          </cell>
          <cell r="C488">
            <v>1</v>
          </cell>
          <cell r="D488" t="str">
            <v>un</v>
          </cell>
        </row>
        <row r="489">
          <cell r="A489" t="str">
            <v>29.33</v>
          </cell>
          <cell r="B489" t="str">
            <v>Sinalização Externa - Medalhão com logotipo BB</v>
          </cell>
          <cell r="C489">
            <v>1</v>
          </cell>
          <cell r="D489" t="str">
            <v>un</v>
          </cell>
        </row>
        <row r="490">
          <cell r="A490" t="str">
            <v>29.34</v>
          </cell>
          <cell r="B490" t="str">
            <v>Sinalização Externa - Letreiro (módulo padrão básico de 4,10 m)</v>
          </cell>
          <cell r="C490">
            <v>1</v>
          </cell>
          <cell r="D490" t="str">
            <v>un</v>
          </cell>
        </row>
        <row r="491">
          <cell r="A491" t="str">
            <v>29.35</v>
          </cell>
          <cell r="B491" t="str">
            <v>Sinalização Externa - Letreiro (módulo padrão básico de 4,10 m com redução de até 2/3)</v>
          </cell>
          <cell r="C491">
            <v>1</v>
          </cell>
          <cell r="D491" t="str">
            <v>un</v>
          </cell>
        </row>
        <row r="492">
          <cell r="A492" t="str">
            <v>29.36</v>
          </cell>
          <cell r="B492" t="str">
            <v>Sinalização Externa - Letreiro (módulo padrão estendido de 5,80 m)</v>
          </cell>
          <cell r="C492">
            <v>1</v>
          </cell>
          <cell r="D492" t="str">
            <v>un</v>
          </cell>
        </row>
        <row r="493">
          <cell r="A493" t="str">
            <v>29.37</v>
          </cell>
          <cell r="B493" t="str">
            <v>Sinalização Externa - Letreiro (módulo padrão estendido de 7,50 m)</v>
          </cell>
          <cell r="C493">
            <v>1</v>
          </cell>
          <cell r="D493" t="str">
            <v>un</v>
          </cell>
        </row>
        <row r="494">
          <cell r="A494" t="str">
            <v>29.38</v>
          </cell>
          <cell r="B494" t="str">
            <v>Sinalização Externa - Letreiro (módulo padrão básico com bandeira de 7,75 m)</v>
          </cell>
          <cell r="C494">
            <v>1</v>
          </cell>
          <cell r="D494" t="str">
            <v>un</v>
          </cell>
        </row>
        <row r="495">
          <cell r="A495" t="str">
            <v>29.39</v>
          </cell>
          <cell r="B495" t="str">
            <v>Sinalização Externa - Letreiro (módulo padrão estendido com bandeira de 10,30 m)</v>
          </cell>
          <cell r="C495">
            <v>1</v>
          </cell>
          <cell r="D495" t="str">
            <v>un</v>
          </cell>
        </row>
        <row r="496">
          <cell r="A496" t="str">
            <v>29.40</v>
          </cell>
          <cell r="B496" t="str">
            <v>Sinalização Externa - Totem externo 4,10 m</v>
          </cell>
          <cell r="C496">
            <v>1</v>
          </cell>
          <cell r="D496" t="str">
            <v>un</v>
          </cell>
        </row>
        <row r="497">
          <cell r="A497" t="str">
            <v>29.41</v>
          </cell>
          <cell r="B497" t="str">
            <v>Sinalização Externa - Totem externo 7,50 m</v>
          </cell>
          <cell r="C497">
            <v>1</v>
          </cell>
          <cell r="D497" t="str">
            <v>un</v>
          </cell>
        </row>
        <row r="498">
          <cell r="A498" t="str">
            <v>29.42</v>
          </cell>
          <cell r="B498" t="str">
            <v>Sinalização Externa - Totem externo 12,00 m</v>
          </cell>
          <cell r="C498">
            <v>1</v>
          </cell>
          <cell r="D498" t="str">
            <v>un</v>
          </cell>
        </row>
        <row r="499">
          <cell r="A499" t="str">
            <v>29.43</v>
          </cell>
          <cell r="B499" t="str">
            <v>Vedações em geral (janelas, portas, pias e similares)</v>
          </cell>
          <cell r="C499">
            <v>1</v>
          </cell>
          <cell r="D499" t="str">
            <v>un</v>
          </cell>
        </row>
        <row r="500">
          <cell r="A500" t="str">
            <v>29.44</v>
          </cell>
          <cell r="B500" t="str">
            <v>Piso tátil de Inox - direcional (pinos) ou alerta (faixas)</v>
          </cell>
          <cell r="C500">
            <v>1</v>
          </cell>
          <cell r="D500" t="str">
            <v>m</v>
          </cell>
        </row>
        <row r="501">
          <cell r="A501" t="str">
            <v>29.45</v>
          </cell>
          <cell r="B501" t="str">
            <v>Piso tátil de PVC - direcional (pinos) ou alerta (faixas)</v>
          </cell>
          <cell r="C501">
            <v>1</v>
          </cell>
          <cell r="D501" t="str">
            <v>m</v>
          </cell>
        </row>
        <row r="502">
          <cell r="A502" t="str">
            <v>29.46</v>
          </cell>
          <cell r="B502" t="str">
            <v>Sinalização visual e tátil no acesso - PLACA 12x18 cm</v>
          </cell>
          <cell r="C502">
            <v>1</v>
          </cell>
          <cell r="D502" t="str">
            <v>UN</v>
          </cell>
        </row>
        <row r="503">
          <cell r="A503" t="str">
            <v>29.47</v>
          </cell>
          <cell r="B503" t="str">
            <v>Sinalização visual e tátil no acesso - PLACA 40x18 cm</v>
          </cell>
          <cell r="C503">
            <v>1</v>
          </cell>
          <cell r="D503" t="str">
            <v>UN</v>
          </cell>
        </row>
        <row r="504">
          <cell r="A504" t="str">
            <v>29.48</v>
          </cell>
          <cell r="B504" t="str">
            <v>Sinalização visual e tátil no acesso - PLACA 44x18 cm</v>
          </cell>
          <cell r="C504">
            <v>1</v>
          </cell>
          <cell r="D504" t="str">
            <v>UN</v>
          </cell>
        </row>
        <row r="505">
          <cell r="A505" t="str">
            <v>29.49</v>
          </cell>
          <cell r="B505" t="str">
            <v>Proteção/Ocultação Sinalização Externa - Letreiros, totem, bandeira, medalhão, pórtico de acesso.</v>
          </cell>
          <cell r="C505">
            <v>1</v>
          </cell>
          <cell r="D505" t="str">
            <v>UN</v>
          </cell>
        </row>
        <row r="506">
          <cell r="A506" t="str">
            <v>29.50</v>
          </cell>
          <cell r="B506" t="str">
            <v>Caminhão com Cesto Aereo Isolado</v>
          </cell>
          <cell r="C506">
            <v>1</v>
          </cell>
          <cell r="D506" t="str">
            <v>h</v>
          </cell>
        </row>
        <row r="507">
          <cell r="A507" t="str">
            <v>29.51</v>
          </cell>
          <cell r="B507" t="str">
            <v>Manutenção Preventiva de Elementos de Sinalização - Padrão BB</v>
          </cell>
          <cell r="C507">
            <v>1</v>
          </cell>
          <cell r="D507" t="str">
            <v>UN</v>
          </cell>
        </row>
        <row r="508">
          <cell r="A508">
            <v>30</v>
          </cell>
          <cell r="B508" t="str">
            <v>LIMPEZA E VERIFICAÇÃO FINAL</v>
          </cell>
        </row>
        <row r="509">
          <cell r="B509" t="str">
            <v>TOTAL DO ORÇAMENTO COM BDI INCLUSO: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F84CA08-82F8-43CF-A0EF-F8EE525EBC06}">
  <we:reference id="wa200009404" version="1.0.0.8" store="pt-BR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0143138-25D7-4FFF-8625-0B36371F1E62}">
  <we:reference id="wa200005502" version="1.0.0.12" store="pt-BR" storeType="OMEX"/>
  <we:alternateReferences>
    <we:reference id="wa200005502" version="1.0.0.12" store="wa200005502" storeType="OMEX"/>
  </we:alternateReferences>
  <we:properties>
    <we:property name="docId" value="&quot;jw_MSp2oAyoc-QxhQ3DVJ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2554-719F-49D2-AB7E-24CB4869FA0B}">
  <sheetPr codeName="Planilha1"/>
  <dimension ref="A1:E1048555"/>
  <sheetViews>
    <sheetView topLeftCell="A23" zoomScaleNormal="100" workbookViewId="0">
      <selection activeCell="B15" sqref="B15:E23"/>
    </sheetView>
  </sheetViews>
  <sheetFormatPr defaultRowHeight="14.4" x14ac:dyDescent="0.3"/>
  <cols>
    <col min="1" max="1" width="62.77734375" customWidth="1"/>
    <col min="2" max="2" width="13.44140625" customWidth="1"/>
    <col min="3" max="3" width="16.6640625" customWidth="1"/>
    <col min="4" max="4" width="22.44140625" customWidth="1"/>
    <col min="5" max="5" width="44.33203125" customWidth="1"/>
  </cols>
  <sheetData>
    <row r="1" spans="1:5" ht="30" customHeight="1" x14ac:dyDescent="0.3">
      <c r="A1" s="48" t="s">
        <v>991</v>
      </c>
      <c r="B1" s="67"/>
      <c r="C1" s="68"/>
      <c r="D1" s="68"/>
      <c r="E1" s="69"/>
    </row>
    <row r="2" spans="1:5" x14ac:dyDescent="0.3">
      <c r="B2" s="1" t="s">
        <v>962</v>
      </c>
      <c r="C2" s="1" t="s">
        <v>963</v>
      </c>
      <c r="D2" s="36" t="s">
        <v>966</v>
      </c>
      <c r="E2" s="1" t="s">
        <v>965</v>
      </c>
    </row>
    <row r="3" spans="1:5" x14ac:dyDescent="0.3">
      <c r="B3" s="4" t="s">
        <v>990</v>
      </c>
      <c r="C3" s="2">
        <v>1.4</v>
      </c>
      <c r="D3" s="2">
        <v>2.1</v>
      </c>
      <c r="E3" s="2">
        <f>C3*D3</f>
        <v>2.94</v>
      </c>
    </row>
    <row r="4" spans="1:5" ht="14.7" hidden="1" customHeight="1" x14ac:dyDescent="0.3">
      <c r="B4" s="4"/>
      <c r="C4" s="2"/>
      <c r="D4" s="2"/>
      <c r="E4" s="2">
        <f t="shared" ref="E4:E5" si="0">C4*D4</f>
        <v>0</v>
      </c>
    </row>
    <row r="5" spans="1:5" ht="14.7" hidden="1" customHeight="1" x14ac:dyDescent="0.3">
      <c r="B5" s="4"/>
      <c r="C5" s="2"/>
      <c r="D5" s="2"/>
      <c r="E5" s="2">
        <f t="shared" si="0"/>
        <v>0</v>
      </c>
    </row>
    <row r="6" spans="1:5" ht="14.7" hidden="1" customHeight="1" x14ac:dyDescent="0.3">
      <c r="B6" s="4"/>
      <c r="C6" s="2"/>
      <c r="D6" s="2"/>
      <c r="E6" s="2">
        <f t="shared" ref="E6:E8" si="1">C6*D6</f>
        <v>0</v>
      </c>
    </row>
    <row r="7" spans="1:5" ht="14.7" hidden="1" customHeight="1" x14ac:dyDescent="0.3">
      <c r="B7" s="4"/>
      <c r="C7" s="2"/>
      <c r="D7" s="2"/>
      <c r="E7" s="2">
        <f t="shared" si="1"/>
        <v>0</v>
      </c>
    </row>
    <row r="8" spans="1:5" ht="14.7" hidden="1" customHeight="1" x14ac:dyDescent="0.3">
      <c r="B8" s="4"/>
      <c r="C8" s="2"/>
      <c r="D8" s="2"/>
      <c r="E8" s="2">
        <f t="shared" si="1"/>
        <v>0</v>
      </c>
    </row>
    <row r="9" spans="1:5" x14ac:dyDescent="0.3">
      <c r="B9" s="64" t="s">
        <v>957</v>
      </c>
      <c r="C9" s="65"/>
      <c r="D9" s="66"/>
      <c r="E9" s="3">
        <f>SUM(E3:E8)*3</f>
        <v>8.82</v>
      </c>
    </row>
    <row r="15" spans="1:5" ht="21" x14ac:dyDescent="0.3">
      <c r="A15" s="48" t="s">
        <v>992</v>
      </c>
      <c r="B15" s="67"/>
      <c r="C15" s="68"/>
      <c r="D15" s="68"/>
      <c r="E15" s="69"/>
    </row>
    <row r="16" spans="1:5" x14ac:dyDescent="0.3">
      <c r="B16" s="1" t="s">
        <v>962</v>
      </c>
      <c r="C16" s="1" t="s">
        <v>963</v>
      </c>
      <c r="D16" s="36" t="s">
        <v>966</v>
      </c>
      <c r="E16" s="1" t="s">
        <v>965</v>
      </c>
    </row>
    <row r="17" spans="2:5" x14ac:dyDescent="0.3">
      <c r="B17" s="4" t="s">
        <v>999</v>
      </c>
      <c r="C17" s="2">
        <v>0.8</v>
      </c>
      <c r="D17" s="2">
        <v>3.2</v>
      </c>
      <c r="E17" s="2">
        <f>C17*D17</f>
        <v>2.5600000000000005</v>
      </c>
    </row>
    <row r="18" spans="2:5" x14ac:dyDescent="0.3">
      <c r="B18" s="4" t="s">
        <v>1000</v>
      </c>
      <c r="C18" s="2">
        <v>1.4</v>
      </c>
      <c r="D18" s="2">
        <v>3.2</v>
      </c>
      <c r="E18" s="2">
        <f t="shared" ref="E18:E22" si="2">C18*D18</f>
        <v>4.4799999999999995</v>
      </c>
    </row>
    <row r="19" spans="2:5" x14ac:dyDescent="0.3">
      <c r="B19" s="4" t="s">
        <v>1001</v>
      </c>
      <c r="C19" s="2">
        <v>1.4</v>
      </c>
      <c r="D19" s="2">
        <v>3.2</v>
      </c>
      <c r="E19" s="2">
        <f t="shared" si="2"/>
        <v>4.4799999999999995</v>
      </c>
    </row>
    <row r="20" spans="2:5" hidden="1" x14ac:dyDescent="0.3">
      <c r="B20" s="4"/>
      <c r="C20" s="2"/>
      <c r="D20" s="2"/>
      <c r="E20" s="2">
        <f t="shared" si="2"/>
        <v>0</v>
      </c>
    </row>
    <row r="21" spans="2:5" hidden="1" x14ac:dyDescent="0.3">
      <c r="B21" s="4"/>
      <c r="C21" s="2"/>
      <c r="D21" s="2"/>
      <c r="E21" s="2">
        <f t="shared" si="2"/>
        <v>0</v>
      </c>
    </row>
    <row r="22" spans="2:5" hidden="1" x14ac:dyDescent="0.3">
      <c r="B22" s="4"/>
      <c r="C22" s="2"/>
      <c r="D22" s="2"/>
      <c r="E22" s="2">
        <f t="shared" si="2"/>
        <v>0</v>
      </c>
    </row>
    <row r="23" spans="2:5" x14ac:dyDescent="0.3">
      <c r="B23" s="64" t="s">
        <v>957</v>
      </c>
      <c r="C23" s="65"/>
      <c r="D23" s="66"/>
      <c r="E23" s="3">
        <f>SUM(E17:E22)*3</f>
        <v>34.56</v>
      </c>
    </row>
    <row r="1048555" spans="4:4" x14ac:dyDescent="0.3">
      <c r="D1048555" s="2"/>
    </row>
  </sheetData>
  <mergeCells count="4">
    <mergeCell ref="B23:D23"/>
    <mergeCell ref="B1:E1"/>
    <mergeCell ref="B9:D9"/>
    <mergeCell ref="B15:E15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F17D-74D1-426D-8C3E-30E583EDC194}">
  <sheetPr>
    <tabColor theme="9" tint="-0.499984740745262"/>
  </sheetPr>
  <dimension ref="A1:F73"/>
  <sheetViews>
    <sheetView zoomScale="74" zoomScaleNormal="130" workbookViewId="0">
      <selection activeCell="B1" sqref="B1:F35"/>
    </sheetView>
  </sheetViews>
  <sheetFormatPr defaultColWidth="8.6640625" defaultRowHeight="14.4" x14ac:dyDescent="0.3"/>
  <cols>
    <col min="1" max="1" width="62.77734375" style="5" customWidth="1"/>
    <col min="2" max="2" width="41.77734375" style="5" customWidth="1"/>
    <col min="3" max="3" width="18.88671875" style="49" hidden="1" customWidth="1"/>
    <col min="4" max="4" width="18" style="5" hidden="1" customWidth="1"/>
    <col min="5" max="5" width="7.5546875" style="5" hidden="1" customWidth="1"/>
    <col min="6" max="6" width="55.33203125" style="5" customWidth="1"/>
    <col min="7" max="8" width="8.6640625" style="5"/>
    <col min="9" max="9" width="15.21875" style="5" customWidth="1"/>
    <col min="10" max="16384" width="8.6640625" style="5"/>
  </cols>
  <sheetData>
    <row r="1" spans="1:6" ht="30" customHeight="1" x14ac:dyDescent="0.3">
      <c r="A1" s="48" t="s">
        <v>994</v>
      </c>
      <c r="B1" s="70"/>
      <c r="C1" s="71"/>
      <c r="D1" s="71"/>
      <c r="E1" s="71"/>
      <c r="F1" s="71"/>
    </row>
    <row r="2" spans="1:6" ht="15.6" customHeight="1" x14ac:dyDescent="0.3">
      <c r="A2" s="56"/>
      <c r="B2" s="6" t="s">
        <v>962</v>
      </c>
      <c r="C2" s="6" t="s">
        <v>962</v>
      </c>
      <c r="D2" s="6" t="s">
        <v>962</v>
      </c>
      <c r="E2" s="6" t="s">
        <v>962</v>
      </c>
      <c r="F2" s="6" t="s">
        <v>995</v>
      </c>
    </row>
    <row r="3" spans="1:6" x14ac:dyDescent="0.3">
      <c r="A3" s="56"/>
      <c r="B3" s="34" t="s">
        <v>1008</v>
      </c>
      <c r="C3" s="34" t="s">
        <v>990</v>
      </c>
      <c r="D3" s="34" t="s">
        <v>990</v>
      </c>
      <c r="E3" s="34" t="s">
        <v>990</v>
      </c>
      <c r="F3" s="8">
        <v>4</v>
      </c>
    </row>
    <row r="4" spans="1:6" hidden="1" x14ac:dyDescent="0.3">
      <c r="B4" s="34" t="s">
        <v>990</v>
      </c>
      <c r="C4" s="8"/>
      <c r="D4" s="37"/>
      <c r="E4" s="8"/>
      <c r="F4" s="8">
        <v>0</v>
      </c>
    </row>
    <row r="5" spans="1:6" hidden="1" x14ac:dyDescent="0.3">
      <c r="B5" s="34" t="s">
        <v>990</v>
      </c>
      <c r="C5" s="8"/>
      <c r="D5" s="37"/>
      <c r="E5" s="8"/>
      <c r="F5" s="8">
        <v>0</v>
      </c>
    </row>
    <row r="6" spans="1:6" hidden="1" x14ac:dyDescent="0.3">
      <c r="B6" s="34" t="s">
        <v>990</v>
      </c>
      <c r="C6" s="8"/>
      <c r="D6" s="37"/>
      <c r="E6" s="8"/>
      <c r="F6" s="8">
        <v>0</v>
      </c>
    </row>
    <row r="7" spans="1:6" hidden="1" x14ac:dyDescent="0.3">
      <c r="B7" s="34" t="s">
        <v>990</v>
      </c>
      <c r="C7" s="8"/>
      <c r="D7" s="37"/>
      <c r="E7" s="8"/>
      <c r="F7" s="8">
        <v>0</v>
      </c>
    </row>
    <row r="8" spans="1:6" hidden="1" x14ac:dyDescent="0.3">
      <c r="B8" s="34" t="s">
        <v>990</v>
      </c>
      <c r="C8" s="8"/>
      <c r="D8" s="37"/>
      <c r="E8" s="8"/>
      <c r="F8" s="8">
        <v>0</v>
      </c>
    </row>
    <row r="9" spans="1:6" hidden="1" x14ac:dyDescent="0.3">
      <c r="B9" s="34" t="s">
        <v>990</v>
      </c>
      <c r="C9" s="8"/>
      <c r="D9" s="37"/>
      <c r="E9" s="8"/>
      <c r="F9" s="8">
        <v>0</v>
      </c>
    </row>
    <row r="10" spans="1:6" hidden="1" x14ac:dyDescent="0.3">
      <c r="B10" s="34" t="s">
        <v>990</v>
      </c>
      <c r="C10" s="8"/>
      <c r="D10" s="37"/>
      <c r="E10" s="8"/>
      <c r="F10" s="8">
        <v>0</v>
      </c>
    </row>
    <row r="11" spans="1:6" hidden="1" x14ac:dyDescent="0.3">
      <c r="B11" s="34" t="s">
        <v>990</v>
      </c>
      <c r="C11" s="8"/>
      <c r="D11" s="37"/>
      <c r="E11" s="8"/>
      <c r="F11" s="8">
        <v>0</v>
      </c>
    </row>
    <row r="12" spans="1:6" hidden="1" x14ac:dyDescent="0.3">
      <c r="B12" s="34" t="s">
        <v>990</v>
      </c>
      <c r="C12" s="37"/>
      <c r="D12" s="37"/>
      <c r="E12" s="8"/>
      <c r="F12" s="8">
        <v>0</v>
      </c>
    </row>
    <row r="13" spans="1:6" hidden="1" x14ac:dyDescent="0.3">
      <c r="B13" s="34" t="s">
        <v>990</v>
      </c>
      <c r="C13" s="37"/>
      <c r="D13" s="37"/>
      <c r="E13" s="8"/>
      <c r="F13" s="8">
        <v>0</v>
      </c>
    </row>
    <row r="14" spans="1:6" hidden="1" x14ac:dyDescent="0.3">
      <c r="B14" s="34" t="s">
        <v>990</v>
      </c>
      <c r="C14" s="37"/>
      <c r="D14" s="37"/>
      <c r="E14" s="8"/>
      <c r="F14" s="8">
        <v>0</v>
      </c>
    </row>
    <row r="15" spans="1:6" hidden="1" x14ac:dyDescent="0.3">
      <c r="B15" s="34" t="s">
        <v>990</v>
      </c>
      <c r="C15" s="37"/>
      <c r="D15" s="37"/>
      <c r="E15" s="8"/>
      <c r="F15" s="8">
        <v>0</v>
      </c>
    </row>
    <row r="16" spans="1:6" hidden="1" x14ac:dyDescent="0.3">
      <c r="B16" s="34" t="s">
        <v>990</v>
      </c>
      <c r="C16" s="8"/>
      <c r="D16" s="37"/>
      <c r="E16" s="8"/>
      <c r="F16" s="8">
        <v>0</v>
      </c>
    </row>
    <row r="17" spans="2:6" hidden="1" x14ac:dyDescent="0.3">
      <c r="B17" s="34" t="s">
        <v>990</v>
      </c>
      <c r="C17" s="8"/>
      <c r="D17" s="37"/>
      <c r="E17" s="8"/>
      <c r="F17" s="8">
        <v>0</v>
      </c>
    </row>
    <row r="18" spans="2:6" hidden="1" x14ac:dyDescent="0.3">
      <c r="B18" s="34" t="s">
        <v>990</v>
      </c>
      <c r="C18" s="8"/>
      <c r="D18" s="37"/>
      <c r="E18" s="8"/>
      <c r="F18" s="8">
        <v>0</v>
      </c>
    </row>
    <row r="19" spans="2:6" hidden="1" x14ac:dyDescent="0.3">
      <c r="B19" s="34" t="s">
        <v>990</v>
      </c>
      <c r="C19" s="8"/>
      <c r="D19" s="37"/>
      <c r="E19" s="8"/>
      <c r="F19" s="8">
        <v>0</v>
      </c>
    </row>
    <row r="20" spans="2:6" hidden="1" x14ac:dyDescent="0.3">
      <c r="B20" s="34" t="s">
        <v>990</v>
      </c>
      <c r="C20" s="8"/>
      <c r="D20" s="37"/>
      <c r="E20" s="8"/>
      <c r="F20" s="8">
        <v>0</v>
      </c>
    </row>
    <row r="21" spans="2:6" hidden="1" x14ac:dyDescent="0.3">
      <c r="B21" s="34" t="s">
        <v>990</v>
      </c>
      <c r="C21" s="8"/>
      <c r="D21" s="37"/>
      <c r="E21" s="8"/>
      <c r="F21" s="8">
        <v>0</v>
      </c>
    </row>
    <row r="22" spans="2:6" hidden="1" x14ac:dyDescent="0.3">
      <c r="B22" s="34" t="s">
        <v>990</v>
      </c>
      <c r="C22" s="8"/>
      <c r="D22" s="37"/>
      <c r="E22" s="8"/>
      <c r="F22" s="8">
        <v>0</v>
      </c>
    </row>
    <row r="23" spans="2:6" hidden="1" x14ac:dyDescent="0.3">
      <c r="B23" s="34" t="s">
        <v>990</v>
      </c>
      <c r="C23" s="8"/>
      <c r="D23" s="37"/>
      <c r="E23" s="8"/>
      <c r="F23" s="8">
        <v>0</v>
      </c>
    </row>
    <row r="24" spans="2:6" hidden="1" x14ac:dyDescent="0.3">
      <c r="B24" s="34" t="s">
        <v>990</v>
      </c>
      <c r="C24" s="8"/>
      <c r="D24" s="37"/>
      <c r="E24" s="8"/>
      <c r="F24" s="8">
        <v>0</v>
      </c>
    </row>
    <row r="25" spans="2:6" hidden="1" x14ac:dyDescent="0.3">
      <c r="B25" s="34" t="s">
        <v>990</v>
      </c>
      <c r="C25" s="8"/>
      <c r="D25" s="37"/>
      <c r="E25" s="8"/>
      <c r="F25" s="8">
        <v>0</v>
      </c>
    </row>
    <row r="26" spans="2:6" hidden="1" x14ac:dyDescent="0.3">
      <c r="B26" s="34" t="s">
        <v>990</v>
      </c>
      <c r="C26" s="8"/>
      <c r="D26" s="37"/>
      <c r="E26" s="8"/>
      <c r="F26" s="8">
        <v>0</v>
      </c>
    </row>
    <row r="27" spans="2:6" hidden="1" x14ac:dyDescent="0.3">
      <c r="B27" s="34" t="s">
        <v>990</v>
      </c>
      <c r="C27" s="8"/>
      <c r="D27" s="37"/>
      <c r="E27" s="8"/>
      <c r="F27" s="8">
        <v>0</v>
      </c>
    </row>
    <row r="28" spans="2:6" hidden="1" x14ac:dyDescent="0.3">
      <c r="B28" s="34" t="s">
        <v>990</v>
      </c>
      <c r="C28" s="8"/>
      <c r="D28" s="37"/>
      <c r="E28" s="8"/>
      <c r="F28" s="8">
        <v>0</v>
      </c>
    </row>
    <row r="29" spans="2:6" hidden="1" x14ac:dyDescent="0.3">
      <c r="B29" s="34" t="s">
        <v>990</v>
      </c>
      <c r="C29" s="37"/>
      <c r="D29" s="37"/>
      <c r="E29" s="8"/>
      <c r="F29" s="8">
        <v>0</v>
      </c>
    </row>
    <row r="30" spans="2:6" hidden="1" x14ac:dyDescent="0.3">
      <c r="B30" s="34" t="s">
        <v>990</v>
      </c>
      <c r="C30" s="37"/>
      <c r="D30" s="37"/>
      <c r="E30" s="8"/>
      <c r="F30" s="8">
        <v>0</v>
      </c>
    </row>
    <row r="31" spans="2:6" hidden="1" x14ac:dyDescent="0.3">
      <c r="B31" s="34" t="s">
        <v>990</v>
      </c>
      <c r="C31" s="37"/>
      <c r="D31" s="37"/>
      <c r="E31" s="8"/>
      <c r="F31" s="8">
        <v>0</v>
      </c>
    </row>
    <row r="32" spans="2:6" hidden="1" x14ac:dyDescent="0.3">
      <c r="B32" s="34" t="s">
        <v>990</v>
      </c>
      <c r="C32" s="37"/>
      <c r="D32" s="37"/>
      <c r="E32" s="8"/>
      <c r="F32" s="8">
        <v>0</v>
      </c>
    </row>
    <row r="33" spans="1:6" hidden="1" x14ac:dyDescent="0.3">
      <c r="B33" s="34" t="s">
        <v>990</v>
      </c>
      <c r="C33" s="8"/>
      <c r="D33" s="37"/>
      <c r="E33" s="8"/>
      <c r="F33" s="8">
        <v>0</v>
      </c>
    </row>
    <row r="34" spans="1:6" hidden="1" x14ac:dyDescent="0.3">
      <c r="B34" s="34" t="s">
        <v>990</v>
      </c>
      <c r="C34" s="8"/>
      <c r="D34" s="37"/>
      <c r="E34" s="8"/>
      <c r="F34" s="8">
        <v>0</v>
      </c>
    </row>
    <row r="35" spans="1:6" x14ac:dyDescent="0.3">
      <c r="B35" s="72" t="s">
        <v>959</v>
      </c>
      <c r="C35" s="73"/>
      <c r="D35" s="74"/>
      <c r="E35" s="38"/>
      <c r="F35" s="10">
        <f>(SUM(F3:F34))</f>
        <v>4</v>
      </c>
    </row>
    <row r="37" spans="1:6" ht="21" customHeight="1" x14ac:dyDescent="0.3"/>
    <row r="39" spans="1:6" ht="30" customHeight="1" x14ac:dyDescent="0.3">
      <c r="A39" s="48" t="s">
        <v>993</v>
      </c>
      <c r="B39" s="70"/>
      <c r="C39" s="71"/>
      <c r="D39" s="71"/>
      <c r="E39" s="71"/>
      <c r="F39" s="71"/>
    </row>
    <row r="40" spans="1:6" ht="28.8" x14ac:dyDescent="0.3">
      <c r="A40" s="56"/>
      <c r="B40" s="6" t="s">
        <v>962</v>
      </c>
      <c r="C40" s="60" t="s">
        <v>963</v>
      </c>
      <c r="D40" s="7" t="s">
        <v>966</v>
      </c>
      <c r="E40" s="7" t="s">
        <v>964</v>
      </c>
      <c r="F40" s="6" t="s">
        <v>965</v>
      </c>
    </row>
    <row r="41" spans="1:6" x14ac:dyDescent="0.3">
      <c r="A41" s="56"/>
      <c r="B41" s="34"/>
      <c r="C41" s="37"/>
      <c r="D41" s="37"/>
      <c r="E41" s="37"/>
      <c r="F41" s="8">
        <v>0</v>
      </c>
    </row>
    <row r="42" spans="1:6" hidden="1" x14ac:dyDescent="0.3">
      <c r="B42" s="34"/>
      <c r="C42" s="8"/>
      <c r="D42" s="37"/>
      <c r="E42" s="8"/>
      <c r="F42" s="8">
        <v>0</v>
      </c>
    </row>
    <row r="43" spans="1:6" hidden="1" x14ac:dyDescent="0.3">
      <c r="B43" s="34"/>
      <c r="C43" s="8"/>
      <c r="D43" s="37"/>
      <c r="E43" s="8"/>
      <c r="F43" s="8">
        <v>0</v>
      </c>
    </row>
    <row r="44" spans="1:6" hidden="1" x14ac:dyDescent="0.3">
      <c r="B44" s="34"/>
      <c r="C44" s="8"/>
      <c r="D44" s="37"/>
      <c r="E44" s="8"/>
      <c r="F44" s="8">
        <v>0</v>
      </c>
    </row>
    <row r="45" spans="1:6" hidden="1" x14ac:dyDescent="0.3">
      <c r="B45" s="34"/>
      <c r="C45" s="8"/>
      <c r="D45" s="37"/>
      <c r="E45" s="8"/>
      <c r="F45" s="8">
        <v>0</v>
      </c>
    </row>
    <row r="46" spans="1:6" hidden="1" x14ac:dyDescent="0.3">
      <c r="B46" s="34"/>
      <c r="C46" s="8"/>
      <c r="D46" s="37"/>
      <c r="E46" s="8"/>
      <c r="F46" s="8">
        <v>0</v>
      </c>
    </row>
    <row r="47" spans="1:6" hidden="1" x14ac:dyDescent="0.3">
      <c r="B47" s="34"/>
      <c r="C47" s="8"/>
      <c r="D47" s="37"/>
      <c r="E47" s="8"/>
      <c r="F47" s="8">
        <v>0</v>
      </c>
    </row>
    <row r="48" spans="1:6" hidden="1" x14ac:dyDescent="0.3">
      <c r="B48" s="34"/>
      <c r="C48" s="8"/>
      <c r="D48" s="37"/>
      <c r="E48" s="8"/>
      <c r="F48" s="8">
        <v>0</v>
      </c>
    </row>
    <row r="49" spans="2:6" hidden="1" x14ac:dyDescent="0.3">
      <c r="B49" s="34"/>
      <c r="C49" s="8"/>
      <c r="D49" s="37"/>
      <c r="E49" s="8"/>
      <c r="F49" s="8">
        <v>0</v>
      </c>
    </row>
    <row r="50" spans="2:6" hidden="1" x14ac:dyDescent="0.3">
      <c r="B50" s="34"/>
      <c r="C50" s="37"/>
      <c r="D50" s="37"/>
      <c r="E50" s="8"/>
      <c r="F50" s="8">
        <v>0</v>
      </c>
    </row>
    <row r="51" spans="2:6" hidden="1" x14ac:dyDescent="0.3">
      <c r="B51" s="34"/>
      <c r="C51" s="37"/>
      <c r="D51" s="37"/>
      <c r="E51" s="8"/>
      <c r="F51" s="8">
        <v>0</v>
      </c>
    </row>
    <row r="52" spans="2:6" hidden="1" x14ac:dyDescent="0.3">
      <c r="B52" s="34"/>
      <c r="C52" s="37"/>
      <c r="D52" s="37"/>
      <c r="E52" s="8"/>
      <c r="F52" s="8">
        <v>0</v>
      </c>
    </row>
    <row r="53" spans="2:6" hidden="1" x14ac:dyDescent="0.3">
      <c r="B53" s="34"/>
      <c r="C53" s="37"/>
      <c r="D53" s="37"/>
      <c r="E53" s="8"/>
      <c r="F53" s="8">
        <v>0</v>
      </c>
    </row>
    <row r="54" spans="2:6" hidden="1" x14ac:dyDescent="0.3">
      <c r="B54" s="34"/>
      <c r="C54" s="8"/>
      <c r="D54" s="37"/>
      <c r="E54" s="8"/>
      <c r="F54" s="8">
        <v>0</v>
      </c>
    </row>
    <row r="55" spans="2:6" hidden="1" x14ac:dyDescent="0.3">
      <c r="B55" s="34"/>
      <c r="C55" s="8"/>
      <c r="D55" s="37"/>
      <c r="E55" s="8"/>
      <c r="F55" s="8">
        <v>0</v>
      </c>
    </row>
    <row r="56" spans="2:6" hidden="1" x14ac:dyDescent="0.3">
      <c r="B56" s="34"/>
      <c r="C56" s="8"/>
      <c r="D56" s="37"/>
      <c r="E56" s="8"/>
      <c r="F56" s="8">
        <v>0</v>
      </c>
    </row>
    <row r="57" spans="2:6" hidden="1" x14ac:dyDescent="0.3">
      <c r="B57" s="34"/>
      <c r="C57" s="8"/>
      <c r="D57" s="37"/>
      <c r="E57" s="8"/>
      <c r="F57" s="8">
        <v>0</v>
      </c>
    </row>
    <row r="58" spans="2:6" hidden="1" x14ac:dyDescent="0.3">
      <c r="B58" s="34"/>
      <c r="C58" s="8"/>
      <c r="D58" s="37"/>
      <c r="E58" s="8"/>
      <c r="F58" s="8">
        <v>0</v>
      </c>
    </row>
    <row r="59" spans="2:6" hidden="1" x14ac:dyDescent="0.3">
      <c r="B59" s="34"/>
      <c r="C59" s="8"/>
      <c r="D59" s="37"/>
      <c r="E59" s="8"/>
      <c r="F59" s="8">
        <v>0</v>
      </c>
    </row>
    <row r="60" spans="2:6" hidden="1" x14ac:dyDescent="0.3">
      <c r="B60" s="34"/>
      <c r="C60" s="8"/>
      <c r="D60" s="37"/>
      <c r="E60" s="8"/>
      <c r="F60" s="8">
        <v>0</v>
      </c>
    </row>
    <row r="61" spans="2:6" hidden="1" x14ac:dyDescent="0.3">
      <c r="B61" s="34"/>
      <c r="C61" s="8"/>
      <c r="D61" s="37"/>
      <c r="E61" s="8"/>
      <c r="F61" s="8">
        <v>0</v>
      </c>
    </row>
    <row r="62" spans="2:6" hidden="1" x14ac:dyDescent="0.3">
      <c r="B62" s="34"/>
      <c r="C62" s="8"/>
      <c r="D62" s="37"/>
      <c r="E62" s="8"/>
      <c r="F62" s="8">
        <v>0</v>
      </c>
    </row>
    <row r="63" spans="2:6" hidden="1" x14ac:dyDescent="0.3">
      <c r="B63" s="34"/>
      <c r="C63" s="8"/>
      <c r="D63" s="37"/>
      <c r="E63" s="8"/>
      <c r="F63" s="8">
        <v>0</v>
      </c>
    </row>
    <row r="64" spans="2:6" hidden="1" x14ac:dyDescent="0.3">
      <c r="B64" s="34"/>
      <c r="C64" s="8"/>
      <c r="D64" s="37"/>
      <c r="E64" s="8"/>
      <c r="F64" s="8">
        <v>0</v>
      </c>
    </row>
    <row r="65" spans="2:6" hidden="1" x14ac:dyDescent="0.3">
      <c r="B65" s="34"/>
      <c r="C65" s="8"/>
      <c r="D65" s="37"/>
      <c r="E65" s="8"/>
      <c r="F65" s="8">
        <v>0</v>
      </c>
    </row>
    <row r="66" spans="2:6" hidden="1" x14ac:dyDescent="0.3">
      <c r="B66" s="34"/>
      <c r="C66" s="8"/>
      <c r="D66" s="37"/>
      <c r="E66" s="8"/>
      <c r="F66" s="8">
        <v>0</v>
      </c>
    </row>
    <row r="67" spans="2:6" hidden="1" x14ac:dyDescent="0.3">
      <c r="B67" s="34"/>
      <c r="C67" s="37"/>
      <c r="D67" s="37"/>
      <c r="E67" s="8"/>
      <c r="F67" s="8">
        <v>0</v>
      </c>
    </row>
    <row r="68" spans="2:6" hidden="1" x14ac:dyDescent="0.3">
      <c r="B68" s="34"/>
      <c r="C68" s="37"/>
      <c r="D68" s="37"/>
      <c r="E68" s="8"/>
      <c r="F68" s="8">
        <v>0</v>
      </c>
    </row>
    <row r="69" spans="2:6" hidden="1" x14ac:dyDescent="0.3">
      <c r="B69" s="34"/>
      <c r="C69" s="37"/>
      <c r="D69" s="37"/>
      <c r="E69" s="8"/>
      <c r="F69" s="8">
        <v>0</v>
      </c>
    </row>
    <row r="70" spans="2:6" hidden="1" x14ac:dyDescent="0.3">
      <c r="B70" s="34"/>
      <c r="C70" s="37"/>
      <c r="D70" s="37"/>
      <c r="E70" s="8"/>
      <c r="F70" s="8">
        <v>0</v>
      </c>
    </row>
    <row r="71" spans="2:6" hidden="1" x14ac:dyDescent="0.3">
      <c r="B71" s="34"/>
      <c r="C71" s="8"/>
      <c r="D71" s="37"/>
      <c r="E71" s="8"/>
      <c r="F71" s="8">
        <v>0</v>
      </c>
    </row>
    <row r="72" spans="2:6" hidden="1" x14ac:dyDescent="0.3">
      <c r="B72" s="34"/>
      <c r="C72" s="8"/>
      <c r="D72" s="37"/>
      <c r="E72" s="8"/>
      <c r="F72" s="8">
        <v>0</v>
      </c>
    </row>
    <row r="73" spans="2:6" x14ac:dyDescent="0.3">
      <c r="B73" s="72" t="s">
        <v>959</v>
      </c>
      <c r="C73" s="73"/>
      <c r="D73" s="74"/>
      <c r="E73" s="38"/>
      <c r="F73" s="10">
        <f>(SUM(F41:F72))</f>
        <v>0</v>
      </c>
    </row>
  </sheetData>
  <mergeCells count="4">
    <mergeCell ref="B1:F1"/>
    <mergeCell ref="B39:F39"/>
    <mergeCell ref="B73:D73"/>
    <mergeCell ref="B35:D3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7411-D9CE-461D-8349-85E4D5DEAB5C}">
  <sheetPr codeName="Planilha3">
    <tabColor rgb="FFFFFF00"/>
  </sheetPr>
  <dimension ref="A1:F80"/>
  <sheetViews>
    <sheetView zoomScale="115" zoomScaleNormal="115" workbookViewId="0">
      <selection activeCell="B1" sqref="B1:F33"/>
    </sheetView>
  </sheetViews>
  <sheetFormatPr defaultColWidth="8.6640625" defaultRowHeight="14.4" x14ac:dyDescent="0.3"/>
  <cols>
    <col min="1" max="1" width="62.77734375" style="5" customWidth="1"/>
    <col min="2" max="2" width="21.33203125" style="5" customWidth="1"/>
    <col min="3" max="3" width="18.88671875" style="49" customWidth="1"/>
    <col min="4" max="4" width="18" style="5" customWidth="1"/>
    <col min="5" max="5" width="15.77734375" style="5" customWidth="1"/>
    <col min="6" max="6" width="23.33203125" style="5" customWidth="1"/>
    <col min="7" max="8" width="8.6640625" style="5"/>
    <col min="9" max="9" width="15.21875" style="5" customWidth="1"/>
    <col min="10" max="16384" width="8.6640625" style="5"/>
  </cols>
  <sheetData>
    <row r="1" spans="1:6" ht="30" customHeight="1" x14ac:dyDescent="0.3">
      <c r="A1" s="48" t="s">
        <v>996</v>
      </c>
      <c r="B1" s="70"/>
      <c r="C1" s="71"/>
      <c r="D1" s="71"/>
      <c r="E1" s="71"/>
      <c r="F1" s="71"/>
    </row>
    <row r="2" spans="1:6" x14ac:dyDescent="0.3">
      <c r="A2" s="56"/>
      <c r="B2" s="6" t="s">
        <v>962</v>
      </c>
      <c r="C2" s="60" t="s">
        <v>963</v>
      </c>
      <c r="D2" s="7" t="s">
        <v>966</v>
      </c>
      <c r="E2" s="7" t="s">
        <v>964</v>
      </c>
      <c r="F2" s="6" t="s">
        <v>965</v>
      </c>
    </row>
    <row r="3" spans="1:6" x14ac:dyDescent="0.3">
      <c r="A3" s="56"/>
      <c r="B3" s="34" t="s">
        <v>1003</v>
      </c>
      <c r="C3" s="37">
        <v>2</v>
      </c>
      <c r="D3" s="37">
        <v>4.5</v>
      </c>
      <c r="E3" s="37">
        <v>0</v>
      </c>
      <c r="F3" s="8">
        <f t="shared" ref="F3:F4" si="0">C3*D3</f>
        <v>9</v>
      </c>
    </row>
    <row r="4" spans="1:6" ht="14.4" customHeight="1" x14ac:dyDescent="0.3">
      <c r="A4" s="56"/>
      <c r="B4" s="34" t="s">
        <v>1004</v>
      </c>
      <c r="C4" s="37">
        <v>5.7</v>
      </c>
      <c r="D4" s="37">
        <v>3</v>
      </c>
      <c r="E4" s="37">
        <v>7.56</v>
      </c>
      <c r="F4" s="8">
        <f t="shared" si="0"/>
        <v>17.100000000000001</v>
      </c>
    </row>
    <row r="5" spans="1:6" x14ac:dyDescent="0.3">
      <c r="B5" s="34" t="s">
        <v>1005</v>
      </c>
      <c r="C5" s="8">
        <v>6.58</v>
      </c>
      <c r="D5" s="37">
        <v>3</v>
      </c>
      <c r="E5" s="37">
        <v>0</v>
      </c>
      <c r="F5" s="8">
        <f>C5*D5</f>
        <v>19.740000000000002</v>
      </c>
    </row>
    <row r="6" spans="1:6" x14ac:dyDescent="0.3">
      <c r="B6" s="34" t="s">
        <v>1006</v>
      </c>
      <c r="C6" s="8">
        <v>7.1</v>
      </c>
      <c r="D6" s="37">
        <v>3</v>
      </c>
      <c r="E6" s="37">
        <v>11.66</v>
      </c>
      <c r="F6" s="8">
        <f t="shared" ref="F6:F11" si="1">C6*D6</f>
        <v>21.299999999999997</v>
      </c>
    </row>
    <row r="7" spans="1:6" x14ac:dyDescent="0.3">
      <c r="B7" s="34" t="s">
        <v>1007</v>
      </c>
      <c r="C7" s="8">
        <v>7.1</v>
      </c>
      <c r="D7" s="37">
        <v>3</v>
      </c>
      <c r="E7" s="37">
        <v>1.89</v>
      </c>
      <c r="F7" s="8">
        <f>C7*D7</f>
        <v>21.299999999999997</v>
      </c>
    </row>
    <row r="8" spans="1:6" hidden="1" x14ac:dyDescent="0.3">
      <c r="B8" s="34"/>
      <c r="C8" s="8"/>
      <c r="D8" s="37"/>
      <c r="E8" s="37"/>
      <c r="F8" s="8">
        <f t="shared" si="1"/>
        <v>0</v>
      </c>
    </row>
    <row r="9" spans="1:6" hidden="1" x14ac:dyDescent="0.3">
      <c r="B9" s="34"/>
      <c r="C9" s="8"/>
      <c r="D9" s="37"/>
      <c r="E9" s="37"/>
      <c r="F9" s="8">
        <f t="shared" si="1"/>
        <v>0</v>
      </c>
    </row>
    <row r="10" spans="1:6" hidden="1" x14ac:dyDescent="0.3">
      <c r="B10" s="34"/>
      <c r="C10" s="8"/>
      <c r="D10" s="37"/>
      <c r="E10" s="37"/>
      <c r="F10" s="8">
        <f t="shared" si="1"/>
        <v>0</v>
      </c>
    </row>
    <row r="11" spans="1:6" hidden="1" x14ac:dyDescent="0.3">
      <c r="B11" s="34"/>
      <c r="C11" s="8"/>
      <c r="D11" s="37"/>
      <c r="E11" s="37"/>
      <c r="F11" s="8">
        <f t="shared" si="1"/>
        <v>0</v>
      </c>
    </row>
    <row r="12" spans="1:6" hidden="1" x14ac:dyDescent="0.3">
      <c r="B12" s="34"/>
      <c r="C12" s="8"/>
      <c r="D12" s="37"/>
      <c r="E12" s="37"/>
      <c r="F12" s="8">
        <f t="shared" ref="F12:F17" si="2">C12*D12</f>
        <v>0</v>
      </c>
    </row>
    <row r="13" spans="1:6" hidden="1" x14ac:dyDescent="0.3">
      <c r="B13" s="34"/>
      <c r="C13" s="37"/>
      <c r="D13" s="37"/>
      <c r="E13" s="37"/>
      <c r="F13" s="8">
        <f t="shared" si="2"/>
        <v>0</v>
      </c>
    </row>
    <row r="14" spans="1:6" hidden="1" x14ac:dyDescent="0.3">
      <c r="B14" s="34"/>
      <c r="C14" s="37"/>
      <c r="D14" s="37"/>
      <c r="E14" s="37"/>
      <c r="F14" s="8">
        <f t="shared" si="2"/>
        <v>0</v>
      </c>
    </row>
    <row r="15" spans="1:6" hidden="1" x14ac:dyDescent="0.3">
      <c r="B15" s="34"/>
      <c r="C15" s="37"/>
      <c r="D15" s="37"/>
      <c r="E15" s="37"/>
      <c r="F15" s="8">
        <f t="shared" si="2"/>
        <v>0</v>
      </c>
    </row>
    <row r="16" spans="1:6" hidden="1" x14ac:dyDescent="0.3">
      <c r="B16" s="34"/>
      <c r="C16" s="37"/>
      <c r="D16" s="37"/>
      <c r="E16" s="37"/>
      <c r="F16" s="8">
        <f t="shared" si="2"/>
        <v>0</v>
      </c>
    </row>
    <row r="17" spans="2:6" hidden="1" x14ac:dyDescent="0.3">
      <c r="B17" s="34"/>
      <c r="C17" s="8"/>
      <c r="D17" s="37"/>
      <c r="E17" s="37"/>
      <c r="F17" s="8">
        <f t="shared" si="2"/>
        <v>0</v>
      </c>
    </row>
    <row r="18" spans="2:6" hidden="1" x14ac:dyDescent="0.3">
      <c r="B18" s="34"/>
      <c r="C18" s="8"/>
      <c r="D18" s="37"/>
      <c r="E18" s="37"/>
      <c r="F18" s="8">
        <f t="shared" ref="F18:F19" si="3">C18*D18</f>
        <v>0</v>
      </c>
    </row>
    <row r="19" spans="2:6" hidden="1" x14ac:dyDescent="0.3">
      <c r="B19" s="34"/>
      <c r="C19" s="8"/>
      <c r="D19" s="37"/>
      <c r="E19" s="37"/>
      <c r="F19" s="8">
        <f t="shared" si="3"/>
        <v>0</v>
      </c>
    </row>
    <row r="20" spans="2:6" hidden="1" x14ac:dyDescent="0.3">
      <c r="B20" s="34"/>
      <c r="C20" s="8"/>
      <c r="D20" s="37"/>
      <c r="E20" s="37"/>
      <c r="F20" s="8">
        <f t="shared" ref="F20:F23" si="4">C20*D20</f>
        <v>0</v>
      </c>
    </row>
    <row r="21" spans="2:6" hidden="1" x14ac:dyDescent="0.3">
      <c r="B21" s="34"/>
      <c r="C21" s="8"/>
      <c r="D21" s="37"/>
      <c r="E21" s="37"/>
      <c r="F21" s="8">
        <f t="shared" si="4"/>
        <v>0</v>
      </c>
    </row>
    <row r="22" spans="2:6" hidden="1" x14ac:dyDescent="0.3">
      <c r="B22" s="34"/>
      <c r="C22" s="8"/>
      <c r="D22" s="37"/>
      <c r="E22" s="37"/>
      <c r="F22" s="8">
        <f t="shared" si="4"/>
        <v>0</v>
      </c>
    </row>
    <row r="23" spans="2:6" hidden="1" x14ac:dyDescent="0.3">
      <c r="B23" s="34"/>
      <c r="C23" s="8"/>
      <c r="D23" s="37"/>
      <c r="E23" s="37"/>
      <c r="F23" s="8">
        <f t="shared" si="4"/>
        <v>0</v>
      </c>
    </row>
    <row r="24" spans="2:6" hidden="1" x14ac:dyDescent="0.3">
      <c r="B24" s="34"/>
      <c r="C24" s="8"/>
      <c r="D24" s="37"/>
      <c r="E24" s="37"/>
      <c r="F24" s="8">
        <f t="shared" ref="F24:F25" si="5">C24*D24</f>
        <v>0</v>
      </c>
    </row>
    <row r="25" spans="2:6" hidden="1" x14ac:dyDescent="0.3">
      <c r="B25" s="34"/>
      <c r="C25" s="8"/>
      <c r="D25" s="37"/>
      <c r="E25" s="37"/>
      <c r="F25" s="8">
        <f t="shared" si="5"/>
        <v>0</v>
      </c>
    </row>
    <row r="26" spans="2:6" hidden="1" x14ac:dyDescent="0.3">
      <c r="B26" s="34"/>
      <c r="C26" s="8"/>
      <c r="D26" s="37"/>
      <c r="E26" s="37"/>
      <c r="F26" s="8">
        <f t="shared" ref="F26:F29" si="6">C26*D26</f>
        <v>0</v>
      </c>
    </row>
    <row r="27" spans="2:6" hidden="1" x14ac:dyDescent="0.3">
      <c r="B27" s="34"/>
      <c r="C27" s="8"/>
      <c r="D27" s="37"/>
      <c r="E27" s="37"/>
      <c r="F27" s="8">
        <f t="shared" si="6"/>
        <v>0</v>
      </c>
    </row>
    <row r="28" spans="2:6" hidden="1" x14ac:dyDescent="0.3">
      <c r="B28" s="34"/>
      <c r="C28" s="8"/>
      <c r="D28" s="37"/>
      <c r="E28" s="37"/>
      <c r="F28" s="8">
        <f t="shared" si="6"/>
        <v>0</v>
      </c>
    </row>
    <row r="29" spans="2:6" hidden="1" x14ac:dyDescent="0.3">
      <c r="B29" s="34"/>
      <c r="C29" s="8"/>
      <c r="D29" s="37"/>
      <c r="E29" s="37"/>
      <c r="F29" s="8">
        <f t="shared" si="6"/>
        <v>0</v>
      </c>
    </row>
    <row r="30" spans="2:6" hidden="1" x14ac:dyDescent="0.3">
      <c r="B30" s="34"/>
      <c r="C30" s="8"/>
      <c r="D30" s="37"/>
      <c r="E30" s="37"/>
      <c r="F30" s="8">
        <f t="shared" ref="F30" si="7">C30*D30</f>
        <v>0</v>
      </c>
    </row>
    <row r="31" spans="2:6" ht="14.4" hidden="1" customHeight="1" x14ac:dyDescent="0.3">
      <c r="B31" s="34"/>
      <c r="C31" s="8"/>
      <c r="D31" s="37"/>
      <c r="E31" s="37"/>
      <c r="F31" s="8">
        <f t="shared" ref="F31" si="8">C31*D31</f>
        <v>0</v>
      </c>
    </row>
    <row r="32" spans="2:6" x14ac:dyDescent="0.3">
      <c r="B32" s="72" t="s">
        <v>958</v>
      </c>
      <c r="C32" s="73"/>
      <c r="D32" s="74"/>
      <c r="E32" s="9">
        <f>SUM(E3:E31)</f>
        <v>21.11</v>
      </c>
      <c r="F32" s="8">
        <f>SUM(F3:F31)</f>
        <v>88.44</v>
      </c>
    </row>
    <row r="33" spans="1:6" x14ac:dyDescent="0.3">
      <c r="B33" s="72" t="s">
        <v>959</v>
      </c>
      <c r="C33" s="73"/>
      <c r="D33" s="74"/>
      <c r="E33" s="38"/>
      <c r="F33" s="10">
        <f>(SUM((F32)-(E32)))</f>
        <v>67.33</v>
      </c>
    </row>
    <row r="35" spans="1:6" ht="30" customHeight="1" x14ac:dyDescent="0.3">
      <c r="A35" s="48" t="s">
        <v>997</v>
      </c>
      <c r="B35" s="70"/>
      <c r="C35" s="71"/>
      <c r="D35" s="71"/>
      <c r="E35" s="71"/>
      <c r="F35" s="71"/>
    </row>
    <row r="36" spans="1:6" x14ac:dyDescent="0.3">
      <c r="A36" s="56"/>
      <c r="B36" s="6" t="s">
        <v>962</v>
      </c>
      <c r="C36" s="60" t="s">
        <v>963</v>
      </c>
      <c r="D36" s="58" t="s">
        <v>966</v>
      </c>
      <c r="E36" s="7" t="s">
        <v>964</v>
      </c>
      <c r="F36" s="6" t="s">
        <v>989</v>
      </c>
    </row>
    <row r="37" spans="1:6" x14ac:dyDescent="0.3">
      <c r="A37" s="56"/>
      <c r="B37" s="34" t="s">
        <v>1002</v>
      </c>
      <c r="C37" s="37">
        <v>15</v>
      </c>
      <c r="D37" s="37">
        <v>1</v>
      </c>
      <c r="E37" s="57">
        <v>0</v>
      </c>
      <c r="F37" s="8">
        <f>C37*D37</f>
        <v>15</v>
      </c>
    </row>
    <row r="38" spans="1:6" hidden="1" x14ac:dyDescent="0.3">
      <c r="A38" s="56"/>
      <c r="B38" s="34"/>
      <c r="C38" s="59"/>
      <c r="D38" s="59"/>
      <c r="E38" s="8">
        <v>0</v>
      </c>
      <c r="F38" s="8">
        <f>C38*D38</f>
        <v>0</v>
      </c>
    </row>
    <row r="39" spans="1:6" hidden="1" x14ac:dyDescent="0.3">
      <c r="B39" s="34" t="s">
        <v>990</v>
      </c>
      <c r="C39" s="37"/>
      <c r="D39" s="37"/>
      <c r="E39" s="47">
        <v>0</v>
      </c>
      <c r="F39" s="8">
        <f t="shared" ref="F39:F40" si="9">C39*D39</f>
        <v>0</v>
      </c>
    </row>
    <row r="40" spans="1:6" hidden="1" x14ac:dyDescent="0.3">
      <c r="B40" s="34" t="s">
        <v>990</v>
      </c>
      <c r="C40" s="37"/>
      <c r="D40" s="37"/>
      <c r="E40" s="8">
        <v>0</v>
      </c>
      <c r="F40" s="8">
        <f t="shared" si="9"/>
        <v>0</v>
      </c>
    </row>
    <row r="41" spans="1:6" hidden="1" x14ac:dyDescent="0.3">
      <c r="B41" s="34" t="s">
        <v>990</v>
      </c>
      <c r="C41" s="8"/>
      <c r="D41" s="37"/>
      <c r="E41" s="8">
        <v>0</v>
      </c>
      <c r="F41" s="8">
        <f>C41*D41</f>
        <v>0</v>
      </c>
    </row>
    <row r="42" spans="1:6" hidden="1" x14ac:dyDescent="0.3">
      <c r="B42" s="34" t="s">
        <v>990</v>
      </c>
      <c r="C42" s="37"/>
      <c r="D42" s="37"/>
      <c r="E42" s="8">
        <v>0</v>
      </c>
      <c r="F42" s="8">
        <f>C42*D42</f>
        <v>0</v>
      </c>
    </row>
    <row r="43" spans="1:6" hidden="1" x14ac:dyDescent="0.3">
      <c r="B43" s="34" t="s">
        <v>990</v>
      </c>
      <c r="C43" s="8"/>
      <c r="D43" s="37"/>
      <c r="E43" s="8">
        <v>0</v>
      </c>
      <c r="F43" s="8">
        <f t="shared" ref="F43:F44" si="10">C43*D43</f>
        <v>0</v>
      </c>
    </row>
    <row r="44" spans="1:6" hidden="1" x14ac:dyDescent="0.3">
      <c r="B44" s="34" t="s">
        <v>990</v>
      </c>
      <c r="C44" s="8"/>
      <c r="D44" s="37"/>
      <c r="E44" s="8">
        <v>0</v>
      </c>
      <c r="F44" s="8">
        <f t="shared" si="10"/>
        <v>0</v>
      </c>
    </row>
    <row r="45" spans="1:6" x14ac:dyDescent="0.3">
      <c r="B45" s="72" t="s">
        <v>958</v>
      </c>
      <c r="C45" s="73"/>
      <c r="D45" s="74"/>
      <c r="E45" s="9">
        <f>SUM(E37:E44)</f>
        <v>0</v>
      </c>
      <c r="F45" s="8">
        <f>SUM(F37:F44)</f>
        <v>15</v>
      </c>
    </row>
    <row r="46" spans="1:6" x14ac:dyDescent="0.3">
      <c r="B46" s="72" t="s">
        <v>988</v>
      </c>
      <c r="C46" s="73"/>
      <c r="D46" s="74"/>
      <c r="E46" s="38"/>
      <c r="F46" s="10">
        <f>(SUM((F45)-(E45)))/10</f>
        <v>1.5</v>
      </c>
    </row>
    <row r="49" spans="1:6" x14ac:dyDescent="0.3">
      <c r="C49" s="49">
        <f>0.8*0.8*2</f>
        <v>1.2800000000000002</v>
      </c>
      <c r="E49" s="5">
        <f>8.25/10</f>
        <v>0.82499999999999996</v>
      </c>
    </row>
    <row r="54" spans="1:6" ht="30" customHeight="1" x14ac:dyDescent="0.3">
      <c r="A54" s="48" t="s">
        <v>998</v>
      </c>
      <c r="B54" s="70"/>
      <c r="C54" s="71"/>
      <c r="D54" s="71"/>
      <c r="E54" s="71"/>
      <c r="F54" s="71"/>
    </row>
    <row r="55" spans="1:6" x14ac:dyDescent="0.3">
      <c r="A55" s="56"/>
      <c r="B55" s="6" t="s">
        <v>962</v>
      </c>
      <c r="C55" s="60" t="s">
        <v>967</v>
      </c>
      <c r="D55" s="7" t="s">
        <v>966</v>
      </c>
      <c r="E55" s="7" t="s">
        <v>964</v>
      </c>
      <c r="F55" s="6" t="s">
        <v>965</v>
      </c>
    </row>
    <row r="56" spans="1:6" x14ac:dyDescent="0.3">
      <c r="A56" s="56"/>
      <c r="B56" s="34"/>
      <c r="C56" s="37"/>
      <c r="D56" s="37"/>
      <c r="E56" s="37">
        <v>0</v>
      </c>
      <c r="F56" s="8">
        <f>C56*D56</f>
        <v>0</v>
      </c>
    </row>
    <row r="57" spans="1:6" x14ac:dyDescent="0.3">
      <c r="A57" s="56"/>
      <c r="B57" s="34"/>
      <c r="C57" s="37"/>
      <c r="D57" s="37"/>
      <c r="E57" s="8">
        <v>0</v>
      </c>
      <c r="F57" s="8">
        <f>C57*D57</f>
        <v>0</v>
      </c>
    </row>
    <row r="58" spans="1:6" x14ac:dyDescent="0.3">
      <c r="B58" s="34"/>
      <c r="C58" s="37"/>
      <c r="D58" s="37"/>
      <c r="E58" s="8">
        <v>0</v>
      </c>
      <c r="F58" s="8">
        <f t="shared" ref="F58:F78" si="11">C58*D58</f>
        <v>0</v>
      </c>
    </row>
    <row r="59" spans="1:6" x14ac:dyDescent="0.3">
      <c r="B59" s="34"/>
      <c r="C59" s="37"/>
      <c r="D59" s="37"/>
      <c r="E59" s="8">
        <v>0</v>
      </c>
      <c r="F59" s="8">
        <f t="shared" si="11"/>
        <v>0</v>
      </c>
    </row>
    <row r="60" spans="1:6" x14ac:dyDescent="0.3">
      <c r="B60" s="34"/>
      <c r="C60" s="8"/>
      <c r="D60" s="37"/>
      <c r="E60" s="8">
        <v>0</v>
      </c>
      <c r="F60" s="8">
        <f t="shared" si="11"/>
        <v>0</v>
      </c>
    </row>
    <row r="61" spans="1:6" x14ac:dyDescent="0.3">
      <c r="B61" s="34"/>
      <c r="C61" s="8"/>
      <c r="D61" s="37"/>
      <c r="E61" s="8">
        <v>0</v>
      </c>
      <c r="F61" s="8">
        <f t="shared" si="11"/>
        <v>0</v>
      </c>
    </row>
    <row r="62" spans="1:6" x14ac:dyDescent="0.3">
      <c r="B62" s="34"/>
      <c r="C62" s="8"/>
      <c r="D62" s="37"/>
      <c r="E62" s="8">
        <v>0</v>
      </c>
      <c r="F62" s="8">
        <f t="shared" si="11"/>
        <v>0</v>
      </c>
    </row>
    <row r="63" spans="1:6" x14ac:dyDescent="0.3">
      <c r="B63" s="34"/>
      <c r="C63" s="8"/>
      <c r="D63" s="37"/>
      <c r="E63" s="8">
        <v>0</v>
      </c>
      <c r="F63" s="8">
        <f t="shared" si="11"/>
        <v>0</v>
      </c>
    </row>
    <row r="64" spans="1:6" x14ac:dyDescent="0.3">
      <c r="B64" s="34"/>
      <c r="C64" s="8"/>
      <c r="D64" s="37"/>
      <c r="E64" s="8">
        <v>0</v>
      </c>
      <c r="F64" s="8">
        <f t="shared" si="11"/>
        <v>0</v>
      </c>
    </row>
    <row r="65" spans="2:6" x14ac:dyDescent="0.3">
      <c r="B65" s="34"/>
      <c r="C65" s="8"/>
      <c r="D65" s="37"/>
      <c r="E65" s="8">
        <v>0</v>
      </c>
      <c r="F65" s="8">
        <f t="shared" si="11"/>
        <v>0</v>
      </c>
    </row>
    <row r="66" spans="2:6" x14ac:dyDescent="0.3">
      <c r="B66" s="34"/>
      <c r="C66" s="8"/>
      <c r="D66" s="37"/>
      <c r="E66" s="8">
        <v>0</v>
      </c>
      <c r="F66" s="8">
        <f t="shared" si="11"/>
        <v>0</v>
      </c>
    </row>
    <row r="67" spans="2:6" x14ac:dyDescent="0.3">
      <c r="B67" s="34"/>
      <c r="C67" s="8"/>
      <c r="D67" s="37"/>
      <c r="E67" s="8">
        <v>0</v>
      </c>
      <c r="F67" s="8">
        <f t="shared" si="11"/>
        <v>0</v>
      </c>
    </row>
    <row r="68" spans="2:6" x14ac:dyDescent="0.3">
      <c r="B68" s="34"/>
      <c r="C68" s="8"/>
      <c r="D68" s="37"/>
      <c r="E68" s="8">
        <v>0</v>
      </c>
      <c r="F68" s="8">
        <f t="shared" si="11"/>
        <v>0</v>
      </c>
    </row>
    <row r="69" spans="2:6" x14ac:dyDescent="0.3">
      <c r="B69" s="34"/>
      <c r="C69" s="8"/>
      <c r="D69" s="37"/>
      <c r="E69" s="8">
        <v>0</v>
      </c>
      <c r="F69" s="8">
        <f t="shared" si="11"/>
        <v>0</v>
      </c>
    </row>
    <row r="70" spans="2:6" x14ac:dyDescent="0.3">
      <c r="B70" s="34"/>
      <c r="C70" s="8"/>
      <c r="D70" s="37"/>
      <c r="E70" s="8">
        <v>0</v>
      </c>
      <c r="F70" s="8">
        <f t="shared" si="11"/>
        <v>0</v>
      </c>
    </row>
    <row r="71" spans="2:6" x14ac:dyDescent="0.3">
      <c r="B71" s="34"/>
      <c r="C71" s="8"/>
      <c r="D71" s="37"/>
      <c r="E71" s="8">
        <v>0</v>
      </c>
      <c r="F71" s="8">
        <f t="shared" si="11"/>
        <v>0</v>
      </c>
    </row>
    <row r="72" spans="2:6" x14ac:dyDescent="0.3">
      <c r="B72" s="34"/>
      <c r="C72" s="8"/>
      <c r="D72" s="37"/>
      <c r="E72" s="8">
        <v>0</v>
      </c>
      <c r="F72" s="8">
        <f t="shared" si="11"/>
        <v>0</v>
      </c>
    </row>
    <row r="73" spans="2:6" x14ac:dyDescent="0.3">
      <c r="B73" s="34"/>
      <c r="C73" s="37"/>
      <c r="D73" s="37"/>
      <c r="E73" s="8">
        <v>0</v>
      </c>
      <c r="F73" s="8">
        <f t="shared" si="11"/>
        <v>0</v>
      </c>
    </row>
    <row r="74" spans="2:6" x14ac:dyDescent="0.3">
      <c r="B74" s="34"/>
      <c r="C74" s="37"/>
      <c r="D74" s="37"/>
      <c r="E74" s="8">
        <v>0</v>
      </c>
      <c r="F74" s="8">
        <f t="shared" si="11"/>
        <v>0</v>
      </c>
    </row>
    <row r="75" spans="2:6" x14ac:dyDescent="0.3">
      <c r="B75" s="34"/>
      <c r="C75" s="37"/>
      <c r="D75" s="37"/>
      <c r="E75" s="8">
        <v>0</v>
      </c>
      <c r="F75" s="8">
        <f t="shared" si="11"/>
        <v>0</v>
      </c>
    </row>
    <row r="76" spans="2:6" x14ac:dyDescent="0.3">
      <c r="B76" s="34"/>
      <c r="C76" s="37"/>
      <c r="D76" s="37"/>
      <c r="E76" s="8">
        <v>0</v>
      </c>
      <c r="F76" s="8">
        <f t="shared" si="11"/>
        <v>0</v>
      </c>
    </row>
    <row r="77" spans="2:6" x14ac:dyDescent="0.3">
      <c r="B77" s="34"/>
      <c r="C77" s="8"/>
      <c r="D77" s="37"/>
      <c r="E77" s="8">
        <v>0</v>
      </c>
      <c r="F77" s="8">
        <f t="shared" si="11"/>
        <v>0</v>
      </c>
    </row>
    <row r="78" spans="2:6" x14ac:dyDescent="0.3">
      <c r="B78" s="34"/>
      <c r="C78" s="8"/>
      <c r="D78" s="37"/>
      <c r="E78" s="8">
        <v>0</v>
      </c>
      <c r="F78" s="8">
        <f t="shared" si="11"/>
        <v>0</v>
      </c>
    </row>
    <row r="79" spans="2:6" x14ac:dyDescent="0.3">
      <c r="B79" s="72" t="s">
        <v>958</v>
      </c>
      <c r="C79" s="73"/>
      <c r="D79" s="74"/>
      <c r="E79" s="9">
        <f>SUM(E56:E78)</f>
        <v>0</v>
      </c>
      <c r="F79" s="8">
        <f>SUM(F56:F78)</f>
        <v>0</v>
      </c>
    </row>
    <row r="80" spans="2:6" x14ac:dyDescent="0.3">
      <c r="B80" s="72" t="s">
        <v>959</v>
      </c>
      <c r="C80" s="73"/>
      <c r="D80" s="74"/>
      <c r="E80" s="38"/>
      <c r="F80" s="10">
        <f>(SUM((F79)-(E79)))</f>
        <v>0</v>
      </c>
    </row>
  </sheetData>
  <mergeCells count="9">
    <mergeCell ref="B1:F1"/>
    <mergeCell ref="B32:D32"/>
    <mergeCell ref="B79:D79"/>
    <mergeCell ref="B80:D80"/>
    <mergeCell ref="B33:D33"/>
    <mergeCell ref="B35:F35"/>
    <mergeCell ref="B45:D45"/>
    <mergeCell ref="B46:D46"/>
    <mergeCell ref="B54:F54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7D10-E5DD-4311-9439-35F691D13CF4}">
  <sheetPr codeName="Planilha4">
    <tabColor rgb="FFFF0000"/>
  </sheetPr>
  <dimension ref="A1:V12"/>
  <sheetViews>
    <sheetView tabSelected="1" zoomScale="130" zoomScaleNormal="130" workbookViewId="0">
      <selection activeCell="C7" sqref="A1:D7"/>
    </sheetView>
  </sheetViews>
  <sheetFormatPr defaultRowHeight="14.4" x14ac:dyDescent="0.3"/>
  <cols>
    <col min="1" max="1" width="13.77734375" customWidth="1"/>
    <col min="2" max="2" width="56.6640625" customWidth="1"/>
    <col min="3" max="3" width="14.77734375" customWidth="1"/>
    <col min="4" max="4" width="11.77734375" customWidth="1"/>
    <col min="8" max="8" width="13.77734375" customWidth="1"/>
    <col min="9" max="9" width="56.6640625" customWidth="1"/>
    <col min="10" max="10" width="14.77734375" customWidth="1"/>
    <col min="11" max="11" width="11.77734375" customWidth="1"/>
    <col min="12" max="12" width="16.6640625" style="45" bestFit="1" customWidth="1"/>
    <col min="13" max="13" width="15.44140625" style="45" bestFit="1" customWidth="1"/>
    <col min="14" max="14" width="8.5546875" style="45" bestFit="1" customWidth="1"/>
    <col min="15" max="15" width="12.5546875" style="45" bestFit="1" customWidth="1"/>
    <col min="16" max="16" width="16.109375" style="45" bestFit="1" customWidth="1"/>
    <col min="17" max="17" width="19.109375" style="45" bestFit="1" customWidth="1"/>
    <col min="18" max="18" width="9.44140625" style="45" bestFit="1" customWidth="1"/>
    <col min="19" max="19" width="6.6640625" style="45" bestFit="1" customWidth="1"/>
    <col min="20" max="20" width="11" style="45" customWidth="1"/>
    <col min="21" max="21" width="12.21875" style="42" bestFit="1" customWidth="1"/>
  </cols>
  <sheetData>
    <row r="1" spans="1:22" x14ac:dyDescent="0.3">
      <c r="A1" s="61" t="s">
        <v>956</v>
      </c>
      <c r="B1" s="62"/>
      <c r="C1" s="62"/>
      <c r="D1" s="63"/>
      <c r="H1" s="61" t="s">
        <v>956</v>
      </c>
      <c r="I1" s="62"/>
      <c r="J1" s="62"/>
      <c r="K1" s="63"/>
      <c r="L1" s="42"/>
      <c r="M1" s="42"/>
      <c r="N1" s="42"/>
      <c r="O1" s="42"/>
      <c r="P1" s="42"/>
      <c r="Q1" s="42"/>
      <c r="R1" s="42"/>
      <c r="S1" s="42"/>
      <c r="T1" s="42"/>
    </row>
    <row r="2" spans="1:22" ht="55.05" customHeight="1" x14ac:dyDescent="0.3">
      <c r="A2" s="39" t="s">
        <v>231</v>
      </c>
      <c r="B2" s="35" t="str">
        <f>VLOOKUP(A2,[1]Valores!$A$1:$D$509,2,0)</f>
        <v>Porta de divisória, Inclui  batente e guarnições.</v>
      </c>
      <c r="C2" s="2">
        <v>1</v>
      </c>
      <c r="D2" s="2" t="str">
        <f>VLOOKUP(A2,[1]Valores!$A$1:$D$509,4,0)</f>
        <v>un</v>
      </c>
      <c r="F2" s="41"/>
      <c r="H2" s="39" t="s">
        <v>153</v>
      </c>
      <c r="I2" s="35" t="str">
        <f>VLOOKUP(H2,[1]Valores!$A$1:$D$509,2,0)</f>
        <v>Impermeabilização de superfície com impermeabilizante flexível à base acrílica</v>
      </c>
      <c r="J2" s="2">
        <v>36</v>
      </c>
      <c r="K2" s="2" t="str">
        <f>VLOOKUP(H2,[1]Valores!$A$1:$D$509,4,0)</f>
        <v>m²</v>
      </c>
      <c r="L2" s="44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spans="1:22" ht="54" customHeight="1" x14ac:dyDescent="0.3">
      <c r="A3" s="39" t="s">
        <v>377</v>
      </c>
      <c r="B3" s="35" t="str">
        <f>VLOOKUP(A3,[1]Valores!$A$1:$D$509,2,0)</f>
        <v>Fechadura tubular para porta em divisória cega</v>
      </c>
      <c r="C3" s="2">
        <v>1</v>
      </c>
      <c r="D3" s="2" t="str">
        <f>VLOOKUP(A3,[1]Valores!$A$1:$D$509,4,0)</f>
        <v>un</v>
      </c>
      <c r="F3" s="41"/>
      <c r="H3" s="39" t="s">
        <v>157</v>
      </c>
      <c r="I3" s="35" t="str">
        <f>VLOOKUP(H3,[1]Valores!$A$1:$D$509,2,0)</f>
        <v>Impermeabilização com membrana de poliuretano (PU)</v>
      </c>
      <c r="J3" s="2">
        <v>1.5</v>
      </c>
      <c r="K3" s="2" t="str">
        <f>VLOOKUP(H3,[1]Valores!$A$1:$D$509,4,0)</f>
        <v>m²</v>
      </c>
      <c r="L3" s="44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ht="54" customHeight="1" x14ac:dyDescent="0.3">
      <c r="A4" s="39" t="s">
        <v>262</v>
      </c>
      <c r="B4" s="35" t="str">
        <f>VLOOKUP(A4,[1]Valores!$A$1:$D$509,2,0)</f>
        <v>Desmontagem de divisórias (cega, vidro ou tecido)</v>
      </c>
      <c r="C4" s="2">
        <v>7.43</v>
      </c>
      <c r="D4" s="2" t="str">
        <f>VLOOKUP(A4,[1]Valores!$A$1:$D$509,4,0)</f>
        <v>m²</v>
      </c>
      <c r="F4" s="41"/>
      <c r="H4" s="39"/>
      <c r="I4" s="35" t="e">
        <f>VLOOKUP(H4,[1]Valores!$A$1:$D$509,2,0)</f>
        <v>#N/A</v>
      </c>
      <c r="J4" s="2">
        <v>4.25</v>
      </c>
      <c r="K4" s="2" t="e">
        <f>VLOOKUP(H4,[1]Valores!$A$1:$D$509,4,0)</f>
        <v>#N/A</v>
      </c>
      <c r="S4" s="46"/>
      <c r="U4" s="45"/>
    </row>
    <row r="5" spans="1:22" ht="54" customHeight="1" x14ac:dyDescent="0.3">
      <c r="A5" s="39" t="s">
        <v>274</v>
      </c>
      <c r="B5" s="35" t="str">
        <f>VLOOKUP(A5,[1]Valores!$A$1:$D$509,2,0)</f>
        <v>Montagem de divisórias (cega, vidro ou tecido)</v>
      </c>
      <c r="C5" s="2">
        <v>7.43</v>
      </c>
      <c r="D5" s="2" t="str">
        <f>VLOOKUP(A5,[1]Valores!$A$1:$D$509,4,0)</f>
        <v>m²</v>
      </c>
      <c r="F5" s="41"/>
      <c r="H5" s="39"/>
      <c r="I5" s="35" t="e">
        <f>VLOOKUP(H5,[1]Valores!$A$1:$D$509,2,0)</f>
        <v>#N/A</v>
      </c>
      <c r="J5" s="2">
        <v>4.25</v>
      </c>
      <c r="K5" s="2" t="e">
        <f>VLOOKUP(H5,[1]Valores!$A$1:$D$509,4,0)</f>
        <v>#N/A</v>
      </c>
      <c r="U5" s="45"/>
    </row>
    <row r="6" spans="1:22" ht="54" customHeight="1" x14ac:dyDescent="0.3">
      <c r="A6" s="39" t="s">
        <v>227</v>
      </c>
      <c r="B6" s="35" t="str">
        <f>VLOOKUP(A6,[1]Valores!$A$1:$D$509,2,0)</f>
        <v>Divisória texturizada cega</v>
      </c>
      <c r="C6" s="2">
        <v>7.43</v>
      </c>
      <c r="D6" s="2" t="str">
        <f>VLOOKUP(A6,[1]Valores!$A$1:$D$509,4,0)</f>
        <v>m²</v>
      </c>
      <c r="F6" s="41"/>
      <c r="H6" s="39"/>
      <c r="I6" s="35" t="e">
        <f>VLOOKUP(H6,[1]Valores!$A$1:$D$509,2,0)</f>
        <v>#N/A</v>
      </c>
      <c r="J6" s="2">
        <f>4.25/10</f>
        <v>0.42499999999999999</v>
      </c>
      <c r="K6" s="2" t="e">
        <f>VLOOKUP(H6,[1]Valores!$A$1:$D$509,4,0)</f>
        <v>#N/A</v>
      </c>
      <c r="U6" s="45"/>
    </row>
    <row r="7" spans="1:22" ht="54" customHeight="1" x14ac:dyDescent="0.3">
      <c r="A7" s="39" t="s">
        <v>55</v>
      </c>
      <c r="B7" s="35" t="str">
        <f>VLOOKUP(A7,[1]Valores!$A$1:$D$509,2,0)</f>
        <v>Remoção de entulho com caçamba metálica, inclusive limpeza, transporte, carga, descarga e descarte conforme legislação ambiental - Material de descarte (alvenaria, estruturas metálicas, madeiramento, revestimentos cerâmicos, gesso, dry-wall, entre outros)</v>
      </c>
      <c r="C7" s="2">
        <v>0.93</v>
      </c>
      <c r="D7" s="2" t="str">
        <f>VLOOKUP(A7,[1]Valores!$A$1:$D$509,4,0)</f>
        <v>m³</v>
      </c>
      <c r="F7" s="41"/>
      <c r="H7" s="39"/>
      <c r="I7" s="35" t="e">
        <f>VLOOKUP(H7,[1]Valores!$A$1:$D$509,2,0)</f>
        <v>#N/A</v>
      </c>
      <c r="J7" s="2"/>
      <c r="K7" s="2" t="e">
        <f>VLOOKUP(H7,[1]Valores!$A$1:$D$509,4,0)</f>
        <v>#N/A</v>
      </c>
      <c r="U7" s="45"/>
    </row>
    <row r="8" spans="1:22" ht="54" customHeight="1" x14ac:dyDescent="0.3">
      <c r="A8" s="39"/>
      <c r="B8" s="35" t="e">
        <f>VLOOKUP(A8,[1]Valores!$A$1:$D$509,2,0)</f>
        <v>#N/A</v>
      </c>
      <c r="C8" s="2"/>
      <c r="D8" s="2" t="e">
        <f>VLOOKUP(A8,[1]Valores!$A$1:$D$509,4,0)</f>
        <v>#N/A</v>
      </c>
      <c r="F8" s="41"/>
      <c r="H8" s="39"/>
      <c r="I8" s="35" t="e">
        <f>VLOOKUP(H8,[1]Valores!$A$1:$D$509,2,0)</f>
        <v>#N/A</v>
      </c>
      <c r="J8" s="2"/>
      <c r="K8" s="2" t="e">
        <f>VLOOKUP(H8,[1]Valores!$A$1:$D$509,4,0)</f>
        <v>#N/A</v>
      </c>
      <c r="U8" s="45"/>
    </row>
    <row r="9" spans="1:22" ht="54" customHeight="1" x14ac:dyDescent="0.3">
      <c r="A9" s="39"/>
      <c r="B9" s="35" t="e">
        <f>VLOOKUP(A9,[1]Valores!$A$1:$D$509,2,0)</f>
        <v>#N/A</v>
      </c>
      <c r="C9" s="2"/>
      <c r="D9" s="2" t="e">
        <f>VLOOKUP(A9,[1]Valores!$A$1:$D$509,4,0)</f>
        <v>#N/A</v>
      </c>
      <c r="F9" s="41"/>
      <c r="H9" s="39"/>
      <c r="I9" s="35" t="e">
        <f>VLOOKUP(H9,[1]Valores!$A$1:$D$509,2,0)</f>
        <v>#N/A</v>
      </c>
      <c r="J9" s="2"/>
      <c r="K9" s="2" t="e">
        <f>VLOOKUP(H9,[1]Valores!$A$1:$D$509,4,0)</f>
        <v>#N/A</v>
      </c>
      <c r="U9" s="45"/>
    </row>
    <row r="10" spans="1:22" ht="54" customHeight="1" x14ac:dyDescent="0.3">
      <c r="A10" s="39"/>
      <c r="B10" s="35" t="e">
        <f>VLOOKUP(A10,[1]Valores!$A$1:$D$509,2,0)</f>
        <v>#N/A</v>
      </c>
      <c r="C10" s="2"/>
      <c r="D10" s="2" t="e">
        <f>VLOOKUP(A10,[1]Valores!$A$1:$D$509,4,0)</f>
        <v>#N/A</v>
      </c>
      <c r="F10" s="41"/>
      <c r="H10" s="39"/>
      <c r="I10" s="35" t="e">
        <f>VLOOKUP(H10,[1]Valores!$A$1:$D$509,2,0)</f>
        <v>#N/A</v>
      </c>
      <c r="J10" s="2"/>
      <c r="K10" s="2" t="e">
        <f>VLOOKUP(H10,[1]Valores!$A$1:$D$509,4,0)</f>
        <v>#N/A</v>
      </c>
    </row>
    <row r="11" spans="1:22" ht="54" customHeight="1" x14ac:dyDescent="0.3">
      <c r="A11" s="39"/>
      <c r="B11" s="35" t="e">
        <f>VLOOKUP(A11,[1]Valores!$A$1:$D$509,2,0)</f>
        <v>#N/A</v>
      </c>
      <c r="C11" s="2"/>
      <c r="D11" s="2" t="e">
        <f>VLOOKUP(A11,[1]Valores!$A$1:$D$509,4,0)</f>
        <v>#N/A</v>
      </c>
      <c r="F11" s="41"/>
      <c r="H11" s="39"/>
      <c r="I11" s="35" t="e">
        <f>VLOOKUP(H11,[1]Valores!$A$1:$D$509,2,0)</f>
        <v>#N/A</v>
      </c>
      <c r="J11" s="2"/>
      <c r="K11" s="2" t="e">
        <f>VLOOKUP(H11,[1]Valores!$A$1:$D$509,4,0)</f>
        <v>#N/A</v>
      </c>
    </row>
    <row r="12" spans="1:22" x14ac:dyDescent="0.3">
      <c r="V12" t="s">
        <v>961</v>
      </c>
    </row>
  </sheetData>
  <mergeCells count="2">
    <mergeCell ref="A1:D1"/>
    <mergeCell ref="H1:K1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7951-2D63-4806-BB4F-664D403F40F9}">
  <sheetPr codeName="Planilha5"/>
  <dimension ref="A1:L529"/>
  <sheetViews>
    <sheetView topLeftCell="A117" zoomScale="85" zoomScaleNormal="85" workbookViewId="0">
      <selection activeCell="B118" sqref="B118"/>
    </sheetView>
  </sheetViews>
  <sheetFormatPr defaultRowHeight="14.4" x14ac:dyDescent="0.3"/>
  <cols>
    <col min="1" max="1" width="7.33203125" bestFit="1" customWidth="1"/>
    <col min="2" max="2" width="48.44140625" customWidth="1"/>
    <col min="3" max="3" width="10.6640625" hidden="1" customWidth="1"/>
    <col min="4" max="4" width="17.6640625" customWidth="1"/>
  </cols>
  <sheetData>
    <row r="1" spans="1:12" ht="15" thickBot="1" x14ac:dyDescent="0.35">
      <c r="A1" s="11" t="s">
        <v>0</v>
      </c>
      <c r="B1" s="12" t="s">
        <v>968</v>
      </c>
      <c r="C1" s="13" t="s">
        <v>1</v>
      </c>
      <c r="D1" s="50" t="s">
        <v>2</v>
      </c>
    </row>
    <row r="2" spans="1:12" x14ac:dyDescent="0.3">
      <c r="A2" s="14">
        <v>1</v>
      </c>
      <c r="B2" s="15" t="s">
        <v>3</v>
      </c>
      <c r="C2" s="16"/>
      <c r="D2" s="17"/>
    </row>
    <row r="3" spans="1:12" x14ac:dyDescent="0.3">
      <c r="A3" s="18" t="s">
        <v>4</v>
      </c>
      <c r="B3" s="19" t="s">
        <v>5</v>
      </c>
      <c r="C3" s="20">
        <v>382</v>
      </c>
      <c r="D3" s="21" t="s">
        <v>6</v>
      </c>
    </row>
    <row r="4" spans="1:12" x14ac:dyDescent="0.3">
      <c r="A4" s="18" t="s">
        <v>7</v>
      </c>
      <c r="B4" s="19" t="s">
        <v>8</v>
      </c>
      <c r="C4" s="20">
        <v>71526</v>
      </c>
      <c r="D4" s="21" t="s">
        <v>9</v>
      </c>
    </row>
    <row r="5" spans="1:12" x14ac:dyDescent="0.3">
      <c r="A5" s="18" t="s">
        <v>10</v>
      </c>
      <c r="B5" s="19" t="s">
        <v>11</v>
      </c>
      <c r="C5" s="20">
        <v>91</v>
      </c>
      <c r="D5" s="21" t="s">
        <v>6</v>
      </c>
    </row>
    <row r="6" spans="1:12" x14ac:dyDescent="0.3">
      <c r="A6" s="18" t="s">
        <v>12</v>
      </c>
      <c r="B6" s="19" t="s">
        <v>13</v>
      </c>
      <c r="C6" s="20">
        <v>50</v>
      </c>
      <c r="D6" s="21" t="s">
        <v>6</v>
      </c>
    </row>
    <row r="7" spans="1:12" x14ac:dyDescent="0.3">
      <c r="A7" s="18" t="s">
        <v>14</v>
      </c>
      <c r="B7" s="19" t="s">
        <v>969</v>
      </c>
      <c r="C7" s="20">
        <v>91</v>
      </c>
      <c r="D7" s="21" t="s">
        <v>6</v>
      </c>
    </row>
    <row r="8" spans="1:12" x14ac:dyDescent="0.3">
      <c r="A8" s="18" t="s">
        <v>15</v>
      </c>
      <c r="B8" s="19" t="s">
        <v>970</v>
      </c>
      <c r="C8" s="20">
        <v>8</v>
      </c>
      <c r="D8" s="21" t="s">
        <v>971</v>
      </c>
    </row>
    <row r="9" spans="1:12" ht="28.8" x14ac:dyDescent="0.3">
      <c r="A9" s="18" t="s">
        <v>972</v>
      </c>
      <c r="B9" s="19" t="s">
        <v>973</v>
      </c>
      <c r="C9" s="20">
        <v>1</v>
      </c>
      <c r="D9" s="21" t="s">
        <v>16</v>
      </c>
      <c r="G9" s="55"/>
    </row>
    <row r="10" spans="1:12" x14ac:dyDescent="0.3">
      <c r="A10" s="22">
        <v>2</v>
      </c>
      <c r="B10" s="23" t="s">
        <v>17</v>
      </c>
      <c r="C10" s="24"/>
      <c r="D10" s="25"/>
    </row>
    <row r="11" spans="1:12" x14ac:dyDescent="0.3">
      <c r="A11" s="18" t="s">
        <v>18</v>
      </c>
      <c r="B11" s="19" t="s">
        <v>19</v>
      </c>
      <c r="C11" s="20">
        <v>9</v>
      </c>
      <c r="D11" s="21" t="s">
        <v>20</v>
      </c>
    </row>
    <row r="12" spans="1:12" ht="28.8" x14ac:dyDescent="0.3">
      <c r="A12" s="18" t="s">
        <v>21</v>
      </c>
      <c r="B12" s="19" t="s">
        <v>22</v>
      </c>
      <c r="C12" s="20">
        <v>29</v>
      </c>
      <c r="D12" s="21" t="s">
        <v>20</v>
      </c>
    </row>
    <row r="13" spans="1:12" ht="28.8" x14ac:dyDescent="0.3">
      <c r="A13" s="18" t="s">
        <v>23</v>
      </c>
      <c r="B13" s="19" t="s">
        <v>24</v>
      </c>
      <c r="C13" s="20">
        <v>146</v>
      </c>
      <c r="D13" s="21" t="s">
        <v>20</v>
      </c>
    </row>
    <row r="14" spans="1:12" ht="43.2" x14ac:dyDescent="0.3">
      <c r="A14" s="18" t="s">
        <v>25</v>
      </c>
      <c r="B14" s="19" t="s">
        <v>26</v>
      </c>
      <c r="C14" s="20">
        <v>44</v>
      </c>
      <c r="D14" s="21" t="s">
        <v>27</v>
      </c>
    </row>
    <row r="15" spans="1:12" ht="43.2" x14ac:dyDescent="0.3">
      <c r="A15" s="18" t="s">
        <v>28</v>
      </c>
      <c r="B15" s="19" t="s">
        <v>29</v>
      </c>
      <c r="C15" s="20">
        <v>92</v>
      </c>
      <c r="D15" s="21" t="s">
        <v>27</v>
      </c>
      <c r="L15" t="s">
        <v>960</v>
      </c>
    </row>
    <row r="16" spans="1:12" ht="28.8" x14ac:dyDescent="0.3">
      <c r="A16" s="18" t="s">
        <v>30</v>
      </c>
      <c r="B16" s="19" t="s">
        <v>31</v>
      </c>
      <c r="C16" s="20">
        <v>7</v>
      </c>
      <c r="D16" s="21" t="s">
        <v>27</v>
      </c>
    </row>
    <row r="17" spans="1:9" x14ac:dyDescent="0.3">
      <c r="A17" s="18" t="s">
        <v>32</v>
      </c>
      <c r="B17" s="19" t="s">
        <v>33</v>
      </c>
      <c r="C17" s="20">
        <v>10</v>
      </c>
      <c r="D17" s="21" t="s">
        <v>27</v>
      </c>
    </row>
    <row r="18" spans="1:9" ht="28.8" x14ac:dyDescent="0.3">
      <c r="A18" s="18" t="s">
        <v>34</v>
      </c>
      <c r="B18" s="19" t="s">
        <v>35</v>
      </c>
      <c r="C18" s="20">
        <v>1070</v>
      </c>
      <c r="D18" s="21" t="s">
        <v>27</v>
      </c>
    </row>
    <row r="19" spans="1:9" ht="28.8" x14ac:dyDescent="0.3">
      <c r="A19" s="18" t="s">
        <v>36</v>
      </c>
      <c r="B19" s="19" t="s">
        <v>37</v>
      </c>
      <c r="C19" s="20">
        <v>7</v>
      </c>
      <c r="D19" s="21" t="s">
        <v>27</v>
      </c>
    </row>
    <row r="20" spans="1:9" x14ac:dyDescent="0.3">
      <c r="A20" s="18" t="s">
        <v>38</v>
      </c>
      <c r="B20" s="19" t="s">
        <v>39</v>
      </c>
      <c r="C20" s="20">
        <v>12</v>
      </c>
      <c r="D20" s="21" t="s">
        <v>27</v>
      </c>
    </row>
    <row r="21" spans="1:9" ht="28.8" x14ac:dyDescent="0.3">
      <c r="A21" s="18" t="s">
        <v>40</v>
      </c>
      <c r="B21" s="19" t="s">
        <v>41</v>
      </c>
      <c r="C21" s="20">
        <v>255</v>
      </c>
      <c r="D21" s="21" t="s">
        <v>42</v>
      </c>
    </row>
    <row r="22" spans="1:9" x14ac:dyDescent="0.3">
      <c r="A22" s="18" t="s">
        <v>43</v>
      </c>
      <c r="B22" s="19" t="s">
        <v>44</v>
      </c>
      <c r="C22" s="20">
        <v>4280</v>
      </c>
      <c r="D22" s="21" t="s">
        <v>27</v>
      </c>
    </row>
    <row r="23" spans="1:9" ht="28.8" x14ac:dyDescent="0.3">
      <c r="A23" s="18" t="s">
        <v>45</v>
      </c>
      <c r="B23" s="19" t="s">
        <v>46</v>
      </c>
      <c r="C23" s="20">
        <v>2408</v>
      </c>
      <c r="D23" s="21" t="s">
        <v>27</v>
      </c>
    </row>
    <row r="24" spans="1:9" ht="28.8" x14ac:dyDescent="0.3">
      <c r="A24" s="18" t="s">
        <v>47</v>
      </c>
      <c r="B24" s="19" t="s">
        <v>48</v>
      </c>
      <c r="C24" s="20">
        <v>472</v>
      </c>
      <c r="D24" s="21" t="s">
        <v>27</v>
      </c>
    </row>
    <row r="25" spans="1:9" ht="28.8" x14ac:dyDescent="0.3">
      <c r="A25" s="18" t="s">
        <v>49</v>
      </c>
      <c r="B25" s="19" t="s">
        <v>50</v>
      </c>
      <c r="C25" s="20">
        <v>516</v>
      </c>
      <c r="D25" s="21" t="s">
        <v>27</v>
      </c>
    </row>
    <row r="26" spans="1:9" ht="28.8" x14ac:dyDescent="0.3">
      <c r="A26" s="18" t="s">
        <v>51</v>
      </c>
      <c r="B26" s="19" t="s">
        <v>52</v>
      </c>
      <c r="C26" s="20">
        <v>1</v>
      </c>
      <c r="D26" s="21" t="s">
        <v>27</v>
      </c>
    </row>
    <row r="27" spans="1:9" x14ac:dyDescent="0.3">
      <c r="A27" s="18" t="s">
        <v>53</v>
      </c>
      <c r="B27" s="19" t="s">
        <v>54</v>
      </c>
      <c r="C27" s="20">
        <v>296</v>
      </c>
      <c r="D27" s="21" t="s">
        <v>27</v>
      </c>
    </row>
    <row r="28" spans="1:9" ht="72" x14ac:dyDescent="0.3">
      <c r="A28" s="18" t="s">
        <v>55</v>
      </c>
      <c r="B28" s="19" t="s">
        <v>56</v>
      </c>
      <c r="C28" s="20">
        <v>22</v>
      </c>
      <c r="D28" s="21" t="s">
        <v>20</v>
      </c>
      <c r="I28" t="s">
        <v>115</v>
      </c>
    </row>
    <row r="29" spans="1:9" x14ac:dyDescent="0.3">
      <c r="A29" s="18" t="s">
        <v>57</v>
      </c>
      <c r="B29" s="19" t="s">
        <v>58</v>
      </c>
      <c r="C29" s="20">
        <v>90</v>
      </c>
      <c r="D29" s="21" t="s">
        <v>6</v>
      </c>
    </row>
    <row r="30" spans="1:9" x14ac:dyDescent="0.3">
      <c r="A30" s="18" t="s">
        <v>59</v>
      </c>
      <c r="B30" s="19" t="s">
        <v>60</v>
      </c>
      <c r="C30" s="20">
        <v>1300</v>
      </c>
      <c r="D30" s="21" t="s">
        <v>61</v>
      </c>
    </row>
    <row r="31" spans="1:9" x14ac:dyDescent="0.3">
      <c r="A31" s="18" t="s">
        <v>62</v>
      </c>
      <c r="B31" s="19" t="s">
        <v>63</v>
      </c>
      <c r="C31" s="20">
        <v>255</v>
      </c>
      <c r="D31" s="21" t="s">
        <v>64</v>
      </c>
    </row>
    <row r="32" spans="1:9" ht="28.8" x14ac:dyDescent="0.3">
      <c r="A32" s="18" t="s">
        <v>65</v>
      </c>
      <c r="B32" s="19" t="s">
        <v>66</v>
      </c>
      <c r="C32" s="20">
        <v>1080</v>
      </c>
      <c r="D32" s="21" t="s">
        <v>27</v>
      </c>
    </row>
    <row r="33" spans="1:4" ht="28.8" x14ac:dyDescent="0.3">
      <c r="A33" s="18" t="s">
        <v>67</v>
      </c>
      <c r="B33" s="19" t="s">
        <v>68</v>
      </c>
      <c r="C33" s="20">
        <v>106</v>
      </c>
      <c r="D33" s="21" t="s">
        <v>27</v>
      </c>
    </row>
    <row r="34" spans="1:4" x14ac:dyDescent="0.3">
      <c r="A34" s="18" t="s">
        <v>69</v>
      </c>
      <c r="B34" s="19" t="s">
        <v>70</v>
      </c>
      <c r="C34" s="20">
        <v>1</v>
      </c>
      <c r="D34" s="21" t="s">
        <v>71</v>
      </c>
    </row>
    <row r="35" spans="1:4" x14ac:dyDescent="0.3">
      <c r="A35" s="18" t="s">
        <v>72</v>
      </c>
      <c r="B35" s="19" t="s">
        <v>73</v>
      </c>
      <c r="C35" s="20">
        <v>20</v>
      </c>
      <c r="D35" s="21" t="s">
        <v>27</v>
      </c>
    </row>
    <row r="36" spans="1:4" x14ac:dyDescent="0.3">
      <c r="A36" s="18" t="s">
        <v>74</v>
      </c>
      <c r="B36" s="19" t="s">
        <v>75</v>
      </c>
      <c r="C36" s="20">
        <v>1</v>
      </c>
      <c r="D36" s="21" t="s">
        <v>76</v>
      </c>
    </row>
    <row r="37" spans="1:4" x14ac:dyDescent="0.3">
      <c r="A37" s="18" t="s">
        <v>77</v>
      </c>
      <c r="B37" s="19" t="s">
        <v>78</v>
      </c>
      <c r="C37" s="20">
        <v>1</v>
      </c>
      <c r="D37" s="21" t="s">
        <v>42</v>
      </c>
    </row>
    <row r="38" spans="1:4" x14ac:dyDescent="0.3">
      <c r="A38" s="18" t="s">
        <v>79</v>
      </c>
      <c r="B38" s="19" t="s">
        <v>80</v>
      </c>
      <c r="C38" s="20">
        <v>46</v>
      </c>
      <c r="D38" s="21" t="s">
        <v>6</v>
      </c>
    </row>
    <row r="39" spans="1:4" x14ac:dyDescent="0.3">
      <c r="A39" s="18" t="s">
        <v>81</v>
      </c>
      <c r="B39" s="19" t="s">
        <v>82</v>
      </c>
      <c r="C39" s="20">
        <v>1</v>
      </c>
      <c r="D39" s="21" t="s">
        <v>27</v>
      </c>
    </row>
    <row r="40" spans="1:4" ht="28.8" x14ac:dyDescent="0.3">
      <c r="A40" s="18" t="s">
        <v>83</v>
      </c>
      <c r="B40" s="19" t="s">
        <v>84</v>
      </c>
      <c r="C40" s="20">
        <v>1</v>
      </c>
      <c r="D40" s="21" t="s">
        <v>27</v>
      </c>
    </row>
    <row r="41" spans="1:4" x14ac:dyDescent="0.3">
      <c r="A41" s="18" t="s">
        <v>85</v>
      </c>
      <c r="B41" s="19" t="s">
        <v>86</v>
      </c>
      <c r="C41" s="20">
        <v>1</v>
      </c>
      <c r="D41" s="21" t="s">
        <v>6</v>
      </c>
    </row>
    <row r="42" spans="1:4" x14ac:dyDescent="0.3">
      <c r="A42" s="18" t="s">
        <v>87</v>
      </c>
      <c r="B42" s="19" t="s">
        <v>88</v>
      </c>
      <c r="C42" s="20">
        <v>1</v>
      </c>
      <c r="D42" s="21" t="s">
        <v>27</v>
      </c>
    </row>
    <row r="43" spans="1:4" ht="57.6" x14ac:dyDescent="0.3">
      <c r="A43" s="18" t="s">
        <v>89</v>
      </c>
      <c r="B43" s="19" t="s">
        <v>90</v>
      </c>
      <c r="C43" s="20">
        <v>1</v>
      </c>
      <c r="D43" s="21" t="s">
        <v>27</v>
      </c>
    </row>
    <row r="44" spans="1:4" ht="57.6" x14ac:dyDescent="0.3">
      <c r="A44" s="18" t="s">
        <v>91</v>
      </c>
      <c r="B44" s="19" t="s">
        <v>92</v>
      </c>
      <c r="C44" s="20">
        <v>1</v>
      </c>
      <c r="D44" s="21" t="s">
        <v>27</v>
      </c>
    </row>
    <row r="45" spans="1:4" x14ac:dyDescent="0.3">
      <c r="A45" s="18" t="s">
        <v>93</v>
      </c>
      <c r="B45" s="19" t="s">
        <v>94</v>
      </c>
      <c r="C45" s="20">
        <v>1</v>
      </c>
      <c r="D45" s="21" t="s">
        <v>6</v>
      </c>
    </row>
    <row r="46" spans="1:4" x14ac:dyDescent="0.3">
      <c r="A46" s="18" t="s">
        <v>95</v>
      </c>
      <c r="B46" s="19" t="s">
        <v>96</v>
      </c>
      <c r="C46" s="20">
        <v>1</v>
      </c>
      <c r="D46" s="21" t="s">
        <v>27</v>
      </c>
    </row>
    <row r="47" spans="1:4" x14ac:dyDescent="0.3">
      <c r="A47" s="22">
        <v>3</v>
      </c>
      <c r="B47" s="23" t="s">
        <v>97</v>
      </c>
      <c r="C47" s="16"/>
      <c r="D47" s="17"/>
    </row>
    <row r="48" spans="1:4" x14ac:dyDescent="0.3">
      <c r="A48" s="22">
        <v>4</v>
      </c>
      <c r="B48" s="23" t="s">
        <v>98</v>
      </c>
      <c r="C48" s="16"/>
      <c r="D48" s="17"/>
    </row>
    <row r="49" spans="1:4" x14ac:dyDescent="0.3">
      <c r="A49" s="22">
        <v>5</v>
      </c>
      <c r="B49" s="23" t="s">
        <v>99</v>
      </c>
      <c r="C49" s="16"/>
      <c r="D49" s="17"/>
    </row>
    <row r="50" spans="1:4" x14ac:dyDescent="0.3">
      <c r="A50" s="26" t="s">
        <v>100</v>
      </c>
      <c r="B50" s="19" t="s">
        <v>101</v>
      </c>
      <c r="C50" s="20">
        <v>1</v>
      </c>
      <c r="D50" s="21" t="s">
        <v>20</v>
      </c>
    </row>
    <row r="51" spans="1:4" ht="28.8" x14ac:dyDescent="0.3">
      <c r="A51" s="26" t="s">
        <v>102</v>
      </c>
      <c r="B51" s="19" t="s">
        <v>103</v>
      </c>
      <c r="C51" s="20">
        <v>1</v>
      </c>
      <c r="D51" s="21" t="s">
        <v>27</v>
      </c>
    </row>
    <row r="52" spans="1:4" x14ac:dyDescent="0.3">
      <c r="A52" s="26" t="s">
        <v>104</v>
      </c>
      <c r="B52" s="19" t="s">
        <v>105</v>
      </c>
      <c r="C52" s="20">
        <v>1</v>
      </c>
      <c r="D52" s="21" t="s">
        <v>27</v>
      </c>
    </row>
    <row r="53" spans="1:4" ht="28.8" x14ac:dyDescent="0.3">
      <c r="A53" s="26" t="s">
        <v>106</v>
      </c>
      <c r="B53" s="19" t="s">
        <v>974</v>
      </c>
      <c r="C53" s="20">
        <v>18</v>
      </c>
      <c r="D53" s="21" t="s">
        <v>27</v>
      </c>
    </row>
    <row r="54" spans="1:4" x14ac:dyDescent="0.3">
      <c r="A54" s="22">
        <v>6</v>
      </c>
      <c r="B54" s="23" t="s">
        <v>107</v>
      </c>
      <c r="C54" s="16"/>
      <c r="D54" s="17"/>
    </row>
    <row r="55" spans="1:4" x14ac:dyDescent="0.3">
      <c r="A55" s="26" t="s">
        <v>108</v>
      </c>
      <c r="B55" s="19" t="s">
        <v>109</v>
      </c>
      <c r="C55" s="20">
        <v>54</v>
      </c>
      <c r="D55" s="21" t="s">
        <v>27</v>
      </c>
    </row>
    <row r="56" spans="1:4" ht="28.8" x14ac:dyDescent="0.3">
      <c r="A56" s="26" t="s">
        <v>110</v>
      </c>
      <c r="B56" s="19" t="s">
        <v>111</v>
      </c>
      <c r="C56" s="20">
        <v>88</v>
      </c>
      <c r="D56" s="21" t="s">
        <v>27</v>
      </c>
    </row>
    <row r="57" spans="1:4" x14ac:dyDescent="0.3">
      <c r="A57" s="26" t="s">
        <v>112</v>
      </c>
      <c r="B57" s="19" t="s">
        <v>113</v>
      </c>
      <c r="C57" s="20">
        <v>60</v>
      </c>
      <c r="D57" s="21" t="s">
        <v>42</v>
      </c>
    </row>
    <row r="58" spans="1:4" x14ac:dyDescent="0.3">
      <c r="A58" s="22">
        <v>7</v>
      </c>
      <c r="B58" s="23" t="s">
        <v>114</v>
      </c>
      <c r="C58" s="16"/>
      <c r="D58" s="17"/>
    </row>
    <row r="59" spans="1:4" ht="28.8" x14ac:dyDescent="0.3">
      <c r="A59" s="26" t="s">
        <v>115</v>
      </c>
      <c r="B59" s="19" t="s">
        <v>116</v>
      </c>
      <c r="C59" s="20">
        <v>50</v>
      </c>
      <c r="D59" s="21" t="s">
        <v>27</v>
      </c>
    </row>
    <row r="60" spans="1:4" ht="28.8" x14ac:dyDescent="0.3">
      <c r="A60" s="26" t="s">
        <v>117</v>
      </c>
      <c r="B60" s="19" t="s">
        <v>118</v>
      </c>
      <c r="C60" s="20">
        <v>48</v>
      </c>
      <c r="D60" s="21" t="s">
        <v>27</v>
      </c>
    </row>
    <row r="61" spans="1:4" x14ac:dyDescent="0.3">
      <c r="A61" s="26" t="s">
        <v>119</v>
      </c>
      <c r="B61" s="19" t="s">
        <v>120</v>
      </c>
      <c r="C61" s="20">
        <v>1</v>
      </c>
      <c r="D61" s="21" t="s">
        <v>42</v>
      </c>
    </row>
    <row r="62" spans="1:4" ht="28.8" x14ac:dyDescent="0.3">
      <c r="A62" s="26" t="s">
        <v>121</v>
      </c>
      <c r="B62" s="19" t="s">
        <v>122</v>
      </c>
      <c r="C62" s="20">
        <v>90</v>
      </c>
      <c r="D62" s="21" t="s">
        <v>27</v>
      </c>
    </row>
    <row r="63" spans="1:4" ht="28.8" x14ac:dyDescent="0.3">
      <c r="A63" s="26" t="s">
        <v>123</v>
      </c>
      <c r="B63" s="19" t="s">
        <v>124</v>
      </c>
      <c r="C63" s="20">
        <v>26</v>
      </c>
      <c r="D63" s="21" t="s">
        <v>42</v>
      </c>
    </row>
    <row r="64" spans="1:4" ht="28.8" x14ac:dyDescent="0.3">
      <c r="A64" s="26" t="s">
        <v>125</v>
      </c>
      <c r="B64" s="19" t="s">
        <v>126</v>
      </c>
      <c r="C64" s="20">
        <v>72</v>
      </c>
      <c r="D64" s="21" t="s">
        <v>42</v>
      </c>
    </row>
    <row r="65" spans="1:4" x14ac:dyDescent="0.3">
      <c r="A65" s="26" t="s">
        <v>127</v>
      </c>
      <c r="B65" s="19" t="s">
        <v>128</v>
      </c>
      <c r="C65" s="20">
        <v>342</v>
      </c>
      <c r="D65" s="21" t="s">
        <v>27</v>
      </c>
    </row>
    <row r="66" spans="1:4" ht="28.8" x14ac:dyDescent="0.3">
      <c r="A66" s="26" t="s">
        <v>129</v>
      </c>
      <c r="B66" s="19" t="s">
        <v>130</v>
      </c>
      <c r="C66" s="20">
        <v>86</v>
      </c>
      <c r="D66" s="21" t="s">
        <v>42</v>
      </c>
    </row>
    <row r="67" spans="1:4" ht="28.8" x14ac:dyDescent="0.3">
      <c r="A67" s="26" t="s">
        <v>131</v>
      </c>
      <c r="B67" s="19" t="s">
        <v>132</v>
      </c>
      <c r="C67" s="20">
        <v>232</v>
      </c>
      <c r="D67" s="21" t="s">
        <v>42</v>
      </c>
    </row>
    <row r="68" spans="1:4" ht="28.8" x14ac:dyDescent="0.3">
      <c r="A68" s="26" t="s">
        <v>133</v>
      </c>
      <c r="B68" s="19" t="s">
        <v>134</v>
      </c>
      <c r="C68" s="20">
        <v>1</v>
      </c>
      <c r="D68" s="21" t="s">
        <v>42</v>
      </c>
    </row>
    <row r="69" spans="1:4" ht="28.8" x14ac:dyDescent="0.3">
      <c r="A69" s="26" t="s">
        <v>135</v>
      </c>
      <c r="B69" s="19" t="s">
        <v>136</v>
      </c>
      <c r="C69" s="20">
        <v>21</v>
      </c>
      <c r="D69" s="21" t="s">
        <v>27</v>
      </c>
    </row>
    <row r="70" spans="1:4" ht="28.8" x14ac:dyDescent="0.3">
      <c r="A70" s="26" t="s">
        <v>137</v>
      </c>
      <c r="B70" s="19" t="s">
        <v>138</v>
      </c>
      <c r="C70" s="20">
        <v>6</v>
      </c>
      <c r="D70" s="21" t="s">
        <v>27</v>
      </c>
    </row>
    <row r="71" spans="1:4" x14ac:dyDescent="0.3">
      <c r="A71" s="26" t="s">
        <v>139</v>
      </c>
      <c r="B71" s="19" t="s">
        <v>140</v>
      </c>
      <c r="C71" s="20">
        <v>1</v>
      </c>
      <c r="D71" s="21" t="s">
        <v>27</v>
      </c>
    </row>
    <row r="72" spans="1:4" x14ac:dyDescent="0.3">
      <c r="A72" s="26" t="s">
        <v>141</v>
      </c>
      <c r="B72" s="19" t="s">
        <v>142</v>
      </c>
      <c r="C72" s="20">
        <v>1</v>
      </c>
      <c r="D72" s="21" t="s">
        <v>27</v>
      </c>
    </row>
    <row r="73" spans="1:4" x14ac:dyDescent="0.3">
      <c r="A73" s="26" t="s">
        <v>143</v>
      </c>
      <c r="B73" s="19" t="s">
        <v>144</v>
      </c>
      <c r="C73" s="20">
        <v>1</v>
      </c>
      <c r="D73" s="21" t="s">
        <v>6</v>
      </c>
    </row>
    <row r="74" spans="1:4" x14ac:dyDescent="0.3">
      <c r="A74" s="22">
        <v>8</v>
      </c>
      <c r="B74" s="23" t="s">
        <v>145</v>
      </c>
      <c r="C74" s="16"/>
      <c r="D74" s="17"/>
    </row>
    <row r="75" spans="1:4" ht="28.8" x14ac:dyDescent="0.3">
      <c r="A75" s="26" t="s">
        <v>146</v>
      </c>
      <c r="B75" s="19" t="s">
        <v>147</v>
      </c>
      <c r="C75" s="20">
        <v>67</v>
      </c>
      <c r="D75" s="21" t="s">
        <v>27</v>
      </c>
    </row>
    <row r="76" spans="1:4" ht="28.8" x14ac:dyDescent="0.3">
      <c r="A76" s="26" t="s">
        <v>148</v>
      </c>
      <c r="B76" s="19" t="s">
        <v>975</v>
      </c>
      <c r="C76" s="20">
        <v>9</v>
      </c>
      <c r="D76" s="21" t="s">
        <v>27</v>
      </c>
    </row>
    <row r="77" spans="1:4" ht="43.2" x14ac:dyDescent="0.3">
      <c r="A77" s="26" t="s">
        <v>149</v>
      </c>
      <c r="B77" s="19" t="s">
        <v>150</v>
      </c>
      <c r="C77" s="20">
        <v>328</v>
      </c>
      <c r="D77" s="21" t="s">
        <v>27</v>
      </c>
    </row>
    <row r="78" spans="1:4" ht="43.2" x14ac:dyDescent="0.3">
      <c r="A78" s="26" t="s">
        <v>151</v>
      </c>
      <c r="B78" s="19" t="s">
        <v>152</v>
      </c>
      <c r="C78" s="20">
        <v>56</v>
      </c>
      <c r="D78" s="21" t="s">
        <v>27</v>
      </c>
    </row>
    <row r="79" spans="1:4" ht="28.8" x14ac:dyDescent="0.3">
      <c r="A79" s="26" t="s">
        <v>153</v>
      </c>
      <c r="B79" s="19" t="s">
        <v>154</v>
      </c>
      <c r="C79" s="20">
        <v>91</v>
      </c>
      <c r="D79" s="21" t="s">
        <v>27</v>
      </c>
    </row>
    <row r="80" spans="1:4" ht="28.8" x14ac:dyDescent="0.3">
      <c r="A80" s="26" t="s">
        <v>155</v>
      </c>
      <c r="B80" s="19" t="s">
        <v>156</v>
      </c>
      <c r="C80" s="20">
        <v>232</v>
      </c>
      <c r="D80" s="21" t="s">
        <v>27</v>
      </c>
    </row>
    <row r="81" spans="1:4" x14ac:dyDescent="0.3">
      <c r="A81" s="26" t="s">
        <v>157</v>
      </c>
      <c r="B81" s="19" t="s">
        <v>158</v>
      </c>
      <c r="C81" s="20">
        <v>1</v>
      </c>
      <c r="D81" s="21" t="s">
        <v>27</v>
      </c>
    </row>
    <row r="82" spans="1:4" x14ac:dyDescent="0.3">
      <c r="A82" s="22">
        <v>9</v>
      </c>
      <c r="B82" s="23" t="s">
        <v>159</v>
      </c>
      <c r="C82" s="16"/>
      <c r="D82" s="17"/>
    </row>
    <row r="83" spans="1:4" x14ac:dyDescent="0.3">
      <c r="A83" s="22">
        <v>10</v>
      </c>
      <c r="B83" s="23" t="s">
        <v>160</v>
      </c>
      <c r="C83" s="16"/>
      <c r="D83" s="17"/>
    </row>
    <row r="84" spans="1:4" x14ac:dyDescent="0.3">
      <c r="A84" s="26" t="s">
        <v>161</v>
      </c>
      <c r="B84" s="19" t="s">
        <v>162</v>
      </c>
      <c r="C84" s="20">
        <v>174</v>
      </c>
      <c r="D84" s="21" t="s">
        <v>27</v>
      </c>
    </row>
    <row r="85" spans="1:4" ht="28.8" x14ac:dyDescent="0.3">
      <c r="A85" s="26" t="s">
        <v>163</v>
      </c>
      <c r="B85" s="19" t="s">
        <v>164</v>
      </c>
      <c r="C85" s="20">
        <v>7</v>
      </c>
      <c r="D85" s="21" t="s">
        <v>27</v>
      </c>
    </row>
    <row r="86" spans="1:4" ht="28.8" x14ac:dyDescent="0.3">
      <c r="A86" s="26" t="s">
        <v>165</v>
      </c>
      <c r="B86" s="19" t="s">
        <v>166</v>
      </c>
      <c r="C86" s="20">
        <v>10</v>
      </c>
      <c r="D86" s="21" t="s">
        <v>27</v>
      </c>
    </row>
    <row r="87" spans="1:4" ht="28.8" x14ac:dyDescent="0.3">
      <c r="A87" s="26" t="s">
        <v>167</v>
      </c>
      <c r="B87" s="19" t="s">
        <v>168</v>
      </c>
      <c r="C87" s="20">
        <v>52</v>
      </c>
      <c r="D87" s="21" t="s">
        <v>42</v>
      </c>
    </row>
    <row r="88" spans="1:4" x14ac:dyDescent="0.3">
      <c r="A88" s="26" t="s">
        <v>169</v>
      </c>
      <c r="B88" s="19" t="s">
        <v>170</v>
      </c>
      <c r="C88" s="20">
        <v>13</v>
      </c>
      <c r="D88" s="21" t="s">
        <v>42</v>
      </c>
    </row>
    <row r="89" spans="1:4" ht="28.8" x14ac:dyDescent="0.3">
      <c r="A89" s="26" t="s">
        <v>171</v>
      </c>
      <c r="B89" s="19" t="s">
        <v>172</v>
      </c>
      <c r="C89" s="20">
        <v>1</v>
      </c>
      <c r="D89" s="21" t="s">
        <v>27</v>
      </c>
    </row>
    <row r="90" spans="1:4" x14ac:dyDescent="0.3">
      <c r="A90" s="26" t="s">
        <v>173</v>
      </c>
      <c r="B90" s="19" t="s">
        <v>174</v>
      </c>
      <c r="C90" s="20">
        <v>1</v>
      </c>
      <c r="D90" s="21" t="s">
        <v>42</v>
      </c>
    </row>
    <row r="91" spans="1:4" x14ac:dyDescent="0.3">
      <c r="A91" s="26" t="s">
        <v>175</v>
      </c>
      <c r="B91" s="19" t="s">
        <v>176</v>
      </c>
      <c r="C91" s="20">
        <v>1</v>
      </c>
      <c r="D91" s="21" t="s">
        <v>27</v>
      </c>
    </row>
    <row r="92" spans="1:4" ht="28.8" x14ac:dyDescent="0.3">
      <c r="A92" s="26" t="s">
        <v>177</v>
      </c>
      <c r="B92" s="19" t="s">
        <v>178</v>
      </c>
      <c r="C92" s="20">
        <v>14</v>
      </c>
      <c r="D92" s="21" t="s">
        <v>27</v>
      </c>
    </row>
    <row r="93" spans="1:4" x14ac:dyDescent="0.3">
      <c r="A93" s="26" t="s">
        <v>179</v>
      </c>
      <c r="B93" s="19" t="s">
        <v>180</v>
      </c>
      <c r="C93" s="20">
        <v>1</v>
      </c>
      <c r="D93" s="21" t="s">
        <v>27</v>
      </c>
    </row>
    <row r="94" spans="1:4" x14ac:dyDescent="0.3">
      <c r="A94" s="26" t="s">
        <v>181</v>
      </c>
      <c r="B94" s="19" t="s">
        <v>182</v>
      </c>
      <c r="C94" s="20">
        <v>6</v>
      </c>
      <c r="D94" s="21" t="s">
        <v>27</v>
      </c>
    </row>
    <row r="95" spans="1:4" ht="28.8" x14ac:dyDescent="0.3">
      <c r="A95" s="26" t="s">
        <v>183</v>
      </c>
      <c r="B95" s="19" t="s">
        <v>184</v>
      </c>
      <c r="C95" s="20">
        <v>34</v>
      </c>
      <c r="D95" s="21" t="s">
        <v>27</v>
      </c>
    </row>
    <row r="96" spans="1:4" ht="28.8" x14ac:dyDescent="0.3">
      <c r="A96" s="26" t="s">
        <v>185</v>
      </c>
      <c r="B96" s="27" t="s">
        <v>186</v>
      </c>
      <c r="C96" s="20">
        <v>95</v>
      </c>
      <c r="D96" s="21" t="s">
        <v>27</v>
      </c>
    </row>
    <row r="97" spans="1:4" x14ac:dyDescent="0.3">
      <c r="A97" s="26" t="s">
        <v>187</v>
      </c>
      <c r="B97" s="19" t="s">
        <v>188</v>
      </c>
      <c r="C97" s="20">
        <v>36</v>
      </c>
      <c r="D97" s="21" t="s">
        <v>27</v>
      </c>
    </row>
    <row r="98" spans="1:4" ht="28.8" x14ac:dyDescent="0.3">
      <c r="A98" s="26" t="s">
        <v>189</v>
      </c>
      <c r="B98" s="19" t="s">
        <v>190</v>
      </c>
      <c r="C98" s="20">
        <v>119</v>
      </c>
      <c r="D98" s="21" t="s">
        <v>27</v>
      </c>
    </row>
    <row r="99" spans="1:4" x14ac:dyDescent="0.3">
      <c r="A99" s="26" t="s">
        <v>191</v>
      </c>
      <c r="B99" s="19" t="s">
        <v>192</v>
      </c>
      <c r="C99" s="20">
        <v>129</v>
      </c>
      <c r="D99" s="21" t="s">
        <v>27</v>
      </c>
    </row>
    <row r="100" spans="1:4" x14ac:dyDescent="0.3">
      <c r="A100" s="26" t="s">
        <v>193</v>
      </c>
      <c r="B100" s="19" t="s">
        <v>194</v>
      </c>
      <c r="C100" s="20">
        <v>7</v>
      </c>
      <c r="D100" s="21" t="s">
        <v>27</v>
      </c>
    </row>
    <row r="101" spans="1:4" x14ac:dyDescent="0.3">
      <c r="A101" s="26" t="s">
        <v>195</v>
      </c>
      <c r="B101" s="19" t="s">
        <v>196</v>
      </c>
      <c r="C101" s="20">
        <v>2446</v>
      </c>
      <c r="D101" s="21" t="s">
        <v>27</v>
      </c>
    </row>
    <row r="102" spans="1:4" x14ac:dyDescent="0.3">
      <c r="A102" s="26" t="s">
        <v>197</v>
      </c>
      <c r="B102" s="19" t="s">
        <v>198</v>
      </c>
      <c r="C102" s="20">
        <v>43</v>
      </c>
      <c r="D102" s="21" t="s">
        <v>42</v>
      </c>
    </row>
    <row r="103" spans="1:4" x14ac:dyDescent="0.3">
      <c r="A103" s="26" t="s">
        <v>199</v>
      </c>
      <c r="B103" s="19" t="s">
        <v>200</v>
      </c>
      <c r="C103" s="20">
        <v>11</v>
      </c>
      <c r="D103" s="21" t="s">
        <v>27</v>
      </c>
    </row>
    <row r="104" spans="1:4" x14ac:dyDescent="0.3">
      <c r="A104" s="26" t="s">
        <v>201</v>
      </c>
      <c r="B104" s="19" t="s">
        <v>202</v>
      </c>
      <c r="C104" s="20">
        <v>1</v>
      </c>
      <c r="D104" s="21" t="s">
        <v>42</v>
      </c>
    </row>
    <row r="105" spans="1:4" ht="28.8" x14ac:dyDescent="0.3">
      <c r="A105" s="26" t="s">
        <v>203</v>
      </c>
      <c r="B105" s="19" t="s">
        <v>204</v>
      </c>
      <c r="C105" s="20">
        <v>1</v>
      </c>
      <c r="D105" s="21" t="s">
        <v>27</v>
      </c>
    </row>
    <row r="106" spans="1:4" x14ac:dyDescent="0.3">
      <c r="A106" s="26" t="s">
        <v>205</v>
      </c>
      <c r="B106" s="19" t="s">
        <v>206</v>
      </c>
      <c r="C106" s="20">
        <v>1</v>
      </c>
      <c r="D106" s="21" t="s">
        <v>27</v>
      </c>
    </row>
    <row r="107" spans="1:4" x14ac:dyDescent="0.3">
      <c r="A107" s="22">
        <v>11</v>
      </c>
      <c r="B107" s="23" t="s">
        <v>207</v>
      </c>
      <c r="C107" s="16"/>
      <c r="D107" s="17"/>
    </row>
    <row r="108" spans="1:4" x14ac:dyDescent="0.3">
      <c r="A108" s="26" t="s">
        <v>208</v>
      </c>
      <c r="B108" s="19" t="s">
        <v>209</v>
      </c>
      <c r="C108" s="20">
        <v>1</v>
      </c>
      <c r="D108" s="21" t="s">
        <v>27</v>
      </c>
    </row>
    <row r="109" spans="1:4" ht="28.8" x14ac:dyDescent="0.3">
      <c r="A109" s="26" t="s">
        <v>210</v>
      </c>
      <c r="B109" s="19" t="s">
        <v>211</v>
      </c>
      <c r="C109" s="20">
        <v>362</v>
      </c>
      <c r="D109" s="21" t="s">
        <v>27</v>
      </c>
    </row>
    <row r="110" spans="1:4" ht="28.8" x14ac:dyDescent="0.3">
      <c r="A110" s="26" t="s">
        <v>212</v>
      </c>
      <c r="B110" s="19" t="s">
        <v>213</v>
      </c>
      <c r="C110" s="20">
        <v>404</v>
      </c>
      <c r="D110" s="21" t="s">
        <v>27</v>
      </c>
    </row>
    <row r="111" spans="1:4" ht="28.8" x14ac:dyDescent="0.3">
      <c r="A111" s="26" t="s">
        <v>214</v>
      </c>
      <c r="B111" s="19" t="s">
        <v>215</v>
      </c>
      <c r="C111" s="20">
        <v>40</v>
      </c>
      <c r="D111" s="21" t="s">
        <v>27</v>
      </c>
    </row>
    <row r="112" spans="1:4" ht="28.8" x14ac:dyDescent="0.3">
      <c r="A112" s="26" t="s">
        <v>216</v>
      </c>
      <c r="B112" s="19" t="s">
        <v>217</v>
      </c>
      <c r="C112" s="20">
        <v>6</v>
      </c>
      <c r="D112" s="21" t="s">
        <v>27</v>
      </c>
    </row>
    <row r="113" spans="1:4" ht="28.8" x14ac:dyDescent="0.3">
      <c r="A113" s="26" t="s">
        <v>218</v>
      </c>
      <c r="B113" s="19" t="s">
        <v>219</v>
      </c>
      <c r="C113" s="20">
        <v>61</v>
      </c>
      <c r="D113" s="21" t="s">
        <v>27</v>
      </c>
    </row>
    <row r="114" spans="1:4" ht="28.8" x14ac:dyDescent="0.3">
      <c r="A114" s="26" t="s">
        <v>220</v>
      </c>
      <c r="B114" s="19" t="s">
        <v>221</v>
      </c>
      <c r="C114" s="20">
        <v>1</v>
      </c>
      <c r="D114" s="21" t="s">
        <v>27</v>
      </c>
    </row>
    <row r="115" spans="1:4" ht="28.8" x14ac:dyDescent="0.3">
      <c r="A115" s="26" t="s">
        <v>222</v>
      </c>
      <c r="B115" s="19" t="s">
        <v>223</v>
      </c>
      <c r="C115" s="20">
        <v>1</v>
      </c>
      <c r="D115" s="21" t="s">
        <v>27</v>
      </c>
    </row>
    <row r="116" spans="1:4" ht="28.8" x14ac:dyDescent="0.3">
      <c r="A116" s="26" t="s">
        <v>224</v>
      </c>
      <c r="B116" s="19" t="s">
        <v>225</v>
      </c>
      <c r="C116" s="20">
        <v>1</v>
      </c>
      <c r="D116" s="21" t="s">
        <v>27</v>
      </c>
    </row>
    <row r="117" spans="1:4" x14ac:dyDescent="0.3">
      <c r="A117" s="22">
        <v>12</v>
      </c>
      <c r="B117" s="23" t="s">
        <v>226</v>
      </c>
      <c r="C117" s="16"/>
      <c r="D117" s="17"/>
    </row>
    <row r="118" spans="1:4" x14ac:dyDescent="0.3">
      <c r="A118" s="26" t="s">
        <v>227</v>
      </c>
      <c r="B118" s="19" t="s">
        <v>228</v>
      </c>
      <c r="C118" s="20">
        <v>368</v>
      </c>
      <c r="D118" s="21" t="s">
        <v>27</v>
      </c>
    </row>
    <row r="119" spans="1:4" x14ac:dyDescent="0.3">
      <c r="A119" s="26" t="s">
        <v>229</v>
      </c>
      <c r="B119" s="19" t="s">
        <v>230</v>
      </c>
      <c r="C119" s="20">
        <v>1</v>
      </c>
      <c r="D119" s="21" t="s">
        <v>27</v>
      </c>
    </row>
    <row r="120" spans="1:4" x14ac:dyDescent="0.3">
      <c r="A120" s="26" t="s">
        <v>231</v>
      </c>
      <c r="B120" s="19" t="s">
        <v>232</v>
      </c>
      <c r="C120" s="20">
        <v>24</v>
      </c>
      <c r="D120" s="21" t="s">
        <v>76</v>
      </c>
    </row>
    <row r="121" spans="1:4" x14ac:dyDescent="0.3">
      <c r="A121" s="26" t="s">
        <v>233</v>
      </c>
      <c r="B121" s="19" t="s">
        <v>234</v>
      </c>
      <c r="C121" s="20">
        <v>524</v>
      </c>
      <c r="D121" s="21" t="s">
        <v>27</v>
      </c>
    </row>
    <row r="122" spans="1:4" x14ac:dyDescent="0.3">
      <c r="A122" s="26" t="s">
        <v>235</v>
      </c>
      <c r="B122" s="19" t="s">
        <v>236</v>
      </c>
      <c r="C122" s="20">
        <v>732</v>
      </c>
      <c r="D122" s="21" t="s">
        <v>27</v>
      </c>
    </row>
    <row r="123" spans="1:4" x14ac:dyDescent="0.3">
      <c r="A123" s="26" t="s">
        <v>237</v>
      </c>
      <c r="B123" s="19" t="s">
        <v>238</v>
      </c>
      <c r="C123" s="20">
        <v>83</v>
      </c>
      <c r="D123" s="21" t="s">
        <v>27</v>
      </c>
    </row>
    <row r="124" spans="1:4" x14ac:dyDescent="0.3">
      <c r="A124" s="26" t="s">
        <v>239</v>
      </c>
      <c r="B124" s="19" t="s">
        <v>240</v>
      </c>
      <c r="C124" s="20">
        <v>13</v>
      </c>
      <c r="D124" s="21" t="s">
        <v>42</v>
      </c>
    </row>
    <row r="125" spans="1:4" x14ac:dyDescent="0.3">
      <c r="A125" s="26" t="s">
        <v>241</v>
      </c>
      <c r="B125" s="19" t="s">
        <v>242</v>
      </c>
      <c r="C125" s="20">
        <v>531</v>
      </c>
      <c r="D125" s="21" t="s">
        <v>27</v>
      </c>
    </row>
    <row r="126" spans="1:4" x14ac:dyDescent="0.3">
      <c r="A126" s="26" t="s">
        <v>243</v>
      </c>
      <c r="B126" s="19" t="s">
        <v>244</v>
      </c>
      <c r="C126" s="20">
        <v>209</v>
      </c>
      <c r="D126" s="21" t="s">
        <v>27</v>
      </c>
    </row>
    <row r="127" spans="1:4" x14ac:dyDescent="0.3">
      <c r="A127" s="26" t="s">
        <v>245</v>
      </c>
      <c r="B127" s="19" t="s">
        <v>246</v>
      </c>
      <c r="C127" s="20">
        <v>128</v>
      </c>
      <c r="D127" s="21" t="s">
        <v>27</v>
      </c>
    </row>
    <row r="128" spans="1:4" x14ac:dyDescent="0.3">
      <c r="A128" s="26" t="s">
        <v>247</v>
      </c>
      <c r="B128" s="19" t="s">
        <v>248</v>
      </c>
      <c r="C128" s="20">
        <v>1</v>
      </c>
      <c r="D128" s="21" t="s">
        <v>27</v>
      </c>
    </row>
    <row r="129" spans="1:4" x14ac:dyDescent="0.3">
      <c r="A129" s="26" t="s">
        <v>249</v>
      </c>
      <c r="B129" s="19" t="s">
        <v>250</v>
      </c>
      <c r="C129" s="20">
        <v>1</v>
      </c>
      <c r="D129" s="21" t="s">
        <v>27</v>
      </c>
    </row>
    <row r="130" spans="1:4" x14ac:dyDescent="0.3">
      <c r="A130" s="26" t="s">
        <v>251</v>
      </c>
      <c r="B130" s="19" t="s">
        <v>252</v>
      </c>
      <c r="C130" s="20">
        <v>1</v>
      </c>
      <c r="D130" s="21" t="s">
        <v>27</v>
      </c>
    </row>
    <row r="131" spans="1:4" x14ac:dyDescent="0.3">
      <c r="A131" s="26" t="s">
        <v>253</v>
      </c>
      <c r="B131" s="19" t="s">
        <v>254</v>
      </c>
      <c r="C131" s="20">
        <v>1</v>
      </c>
      <c r="D131" s="21" t="s">
        <v>27</v>
      </c>
    </row>
    <row r="132" spans="1:4" x14ac:dyDescent="0.3">
      <c r="A132" s="22">
        <v>13</v>
      </c>
      <c r="B132" s="23" t="s">
        <v>255</v>
      </c>
      <c r="C132" s="16"/>
      <c r="D132" s="17"/>
    </row>
    <row r="133" spans="1:4" x14ac:dyDescent="0.3">
      <c r="A133" s="26" t="s">
        <v>256</v>
      </c>
      <c r="B133" s="19" t="s">
        <v>257</v>
      </c>
      <c r="C133" s="20">
        <v>103</v>
      </c>
      <c r="D133" s="21" t="s">
        <v>76</v>
      </c>
    </row>
    <row r="134" spans="1:4" ht="28.8" x14ac:dyDescent="0.3">
      <c r="A134" s="26" t="s">
        <v>258</v>
      </c>
      <c r="B134" s="19" t="s">
        <v>259</v>
      </c>
      <c r="C134" s="20">
        <v>13</v>
      </c>
      <c r="D134" s="21" t="s">
        <v>76</v>
      </c>
    </row>
    <row r="135" spans="1:4" ht="28.8" x14ac:dyDescent="0.3">
      <c r="A135" s="26" t="s">
        <v>260</v>
      </c>
      <c r="B135" s="19" t="s">
        <v>261</v>
      </c>
      <c r="C135" s="20">
        <v>18</v>
      </c>
      <c r="D135" s="21" t="s">
        <v>76</v>
      </c>
    </row>
    <row r="136" spans="1:4" x14ac:dyDescent="0.3">
      <c r="A136" s="26" t="s">
        <v>262</v>
      </c>
      <c r="B136" s="27" t="s">
        <v>263</v>
      </c>
      <c r="C136" s="20">
        <v>340</v>
      </c>
      <c r="D136" s="21" t="s">
        <v>27</v>
      </c>
    </row>
    <row r="137" spans="1:4" ht="28.8" x14ac:dyDescent="0.3">
      <c r="A137" s="26" t="s">
        <v>264</v>
      </c>
      <c r="B137" s="19" t="s">
        <v>265</v>
      </c>
      <c r="C137" s="20">
        <v>45</v>
      </c>
      <c r="D137" s="21" t="s">
        <v>76</v>
      </c>
    </row>
    <row r="138" spans="1:4" x14ac:dyDescent="0.3">
      <c r="A138" s="26" t="s">
        <v>266</v>
      </c>
      <c r="B138" s="19" t="s">
        <v>267</v>
      </c>
      <c r="C138" s="20">
        <v>33</v>
      </c>
      <c r="D138" s="21" t="s">
        <v>76</v>
      </c>
    </row>
    <row r="139" spans="1:4" x14ac:dyDescent="0.3">
      <c r="A139" s="26" t="s">
        <v>268</v>
      </c>
      <c r="B139" s="19" t="s">
        <v>269</v>
      </c>
      <c r="C139" s="20">
        <v>46</v>
      </c>
      <c r="D139" s="21" t="s">
        <v>27</v>
      </c>
    </row>
    <row r="140" spans="1:4" x14ac:dyDescent="0.3">
      <c r="A140" s="26" t="s">
        <v>270</v>
      </c>
      <c r="B140" s="19" t="s">
        <v>271</v>
      </c>
      <c r="C140" s="20">
        <v>125</v>
      </c>
      <c r="D140" s="21" t="s">
        <v>6</v>
      </c>
    </row>
    <row r="141" spans="1:4" x14ac:dyDescent="0.3">
      <c r="A141" s="26" t="s">
        <v>272</v>
      </c>
      <c r="B141" s="27" t="s">
        <v>273</v>
      </c>
      <c r="C141" s="20">
        <v>41</v>
      </c>
      <c r="D141" s="21" t="s">
        <v>76</v>
      </c>
    </row>
    <row r="142" spans="1:4" x14ac:dyDescent="0.3">
      <c r="A142" s="26" t="s">
        <v>274</v>
      </c>
      <c r="B142" s="27" t="s">
        <v>275</v>
      </c>
      <c r="C142" s="20">
        <v>12</v>
      </c>
      <c r="D142" s="21" t="s">
        <v>27</v>
      </c>
    </row>
    <row r="143" spans="1:4" ht="28.8" x14ac:dyDescent="0.3">
      <c r="A143" s="26" t="s">
        <v>276</v>
      </c>
      <c r="B143" s="19" t="s">
        <v>277</v>
      </c>
      <c r="C143" s="20">
        <v>35</v>
      </c>
      <c r="D143" s="21" t="s">
        <v>76</v>
      </c>
    </row>
    <row r="144" spans="1:4" ht="28.8" x14ac:dyDescent="0.3">
      <c r="A144" s="26" t="s">
        <v>278</v>
      </c>
      <c r="B144" s="19" t="s">
        <v>279</v>
      </c>
      <c r="C144" s="20">
        <v>2797</v>
      </c>
      <c r="D144" s="21" t="s">
        <v>76</v>
      </c>
    </row>
    <row r="145" spans="1:4" x14ac:dyDescent="0.3">
      <c r="A145" s="26" t="s">
        <v>280</v>
      </c>
      <c r="B145" s="19" t="s">
        <v>281</v>
      </c>
      <c r="C145" s="20">
        <v>8</v>
      </c>
      <c r="D145" s="21" t="s">
        <v>27</v>
      </c>
    </row>
    <row r="146" spans="1:4" ht="28.8" x14ac:dyDescent="0.3">
      <c r="A146" s="26" t="s">
        <v>282</v>
      </c>
      <c r="B146" s="19" t="s">
        <v>283</v>
      </c>
      <c r="C146" s="20">
        <v>26</v>
      </c>
      <c r="D146" s="21" t="s">
        <v>76</v>
      </c>
    </row>
    <row r="147" spans="1:4" x14ac:dyDescent="0.3">
      <c r="A147" s="26" t="s">
        <v>284</v>
      </c>
      <c r="B147" s="19" t="s">
        <v>285</v>
      </c>
      <c r="C147" s="20">
        <v>30</v>
      </c>
      <c r="D147" s="21" t="s">
        <v>76</v>
      </c>
    </row>
    <row r="148" spans="1:4" x14ac:dyDescent="0.3">
      <c r="A148" s="26" t="s">
        <v>286</v>
      </c>
      <c r="B148" s="19" t="s">
        <v>287</v>
      </c>
      <c r="C148" s="20">
        <v>93</v>
      </c>
      <c r="D148" s="21" t="s">
        <v>27</v>
      </c>
    </row>
    <row r="149" spans="1:4" x14ac:dyDescent="0.3">
      <c r="A149" s="26" t="s">
        <v>288</v>
      </c>
      <c r="B149" s="19" t="s">
        <v>289</v>
      </c>
      <c r="C149" s="20">
        <v>33</v>
      </c>
      <c r="D149" s="21" t="s">
        <v>76</v>
      </c>
    </row>
    <row r="150" spans="1:4" ht="28.8" x14ac:dyDescent="0.3">
      <c r="A150" s="26" t="s">
        <v>290</v>
      </c>
      <c r="B150" s="19" t="s">
        <v>291</v>
      </c>
      <c r="C150" s="20">
        <v>64</v>
      </c>
      <c r="D150" s="21" t="s">
        <v>27</v>
      </c>
    </row>
    <row r="151" spans="1:4" ht="28.8" x14ac:dyDescent="0.3">
      <c r="A151" s="26" t="s">
        <v>292</v>
      </c>
      <c r="B151" s="19" t="s">
        <v>293</v>
      </c>
      <c r="C151" s="20">
        <v>1</v>
      </c>
      <c r="D151" s="21" t="s">
        <v>27</v>
      </c>
    </row>
    <row r="152" spans="1:4" x14ac:dyDescent="0.3">
      <c r="A152" s="26" t="s">
        <v>294</v>
      </c>
      <c r="B152" s="19" t="s">
        <v>295</v>
      </c>
      <c r="C152" s="20">
        <v>1</v>
      </c>
      <c r="D152" s="21" t="s">
        <v>6</v>
      </c>
    </row>
    <row r="153" spans="1:4" ht="28.8" x14ac:dyDescent="0.3">
      <c r="A153" s="26" t="s">
        <v>296</v>
      </c>
      <c r="B153" s="19" t="s">
        <v>297</v>
      </c>
      <c r="C153" s="20">
        <v>1</v>
      </c>
      <c r="D153" s="21" t="s">
        <v>6</v>
      </c>
    </row>
    <row r="154" spans="1:4" ht="28.8" x14ac:dyDescent="0.3">
      <c r="A154" s="26" t="s">
        <v>298</v>
      </c>
      <c r="B154" s="19" t="s">
        <v>299</v>
      </c>
      <c r="C154" s="20">
        <v>1</v>
      </c>
      <c r="D154" s="21" t="s">
        <v>76</v>
      </c>
    </row>
    <row r="155" spans="1:4" x14ac:dyDescent="0.3">
      <c r="A155" s="22">
        <v>14</v>
      </c>
      <c r="B155" s="23" t="s">
        <v>300</v>
      </c>
      <c r="C155" s="16"/>
      <c r="D155" s="17"/>
    </row>
    <row r="156" spans="1:4" ht="28.8" x14ac:dyDescent="0.3">
      <c r="A156" s="26" t="s">
        <v>301</v>
      </c>
      <c r="B156" s="19" t="s">
        <v>302</v>
      </c>
      <c r="C156" s="20">
        <v>1</v>
      </c>
      <c r="D156" s="21" t="s">
        <v>27</v>
      </c>
    </row>
    <row r="157" spans="1:4" ht="28.8" x14ac:dyDescent="0.3">
      <c r="A157" s="26" t="s">
        <v>303</v>
      </c>
      <c r="B157" s="19" t="s">
        <v>304</v>
      </c>
      <c r="C157" s="20">
        <v>1</v>
      </c>
      <c r="D157" s="21" t="s">
        <v>27</v>
      </c>
    </row>
    <row r="158" spans="1:4" ht="28.8" x14ac:dyDescent="0.3">
      <c r="A158" s="26" t="s">
        <v>305</v>
      </c>
      <c r="B158" s="19" t="s">
        <v>306</v>
      </c>
      <c r="C158" s="20">
        <v>73</v>
      </c>
      <c r="D158" s="21" t="s">
        <v>42</v>
      </c>
    </row>
    <row r="159" spans="1:4" ht="43.2" x14ac:dyDescent="0.3">
      <c r="A159" s="26" t="s">
        <v>307</v>
      </c>
      <c r="B159" s="19" t="s">
        <v>308</v>
      </c>
      <c r="C159" s="20">
        <v>13</v>
      </c>
      <c r="D159" s="21" t="s">
        <v>42</v>
      </c>
    </row>
    <row r="160" spans="1:4" ht="28.8" x14ac:dyDescent="0.3">
      <c r="A160" s="26" t="s">
        <v>309</v>
      </c>
      <c r="B160" s="19" t="s">
        <v>310</v>
      </c>
      <c r="C160" s="20">
        <v>41</v>
      </c>
      <c r="D160" s="21" t="s">
        <v>42</v>
      </c>
    </row>
    <row r="161" spans="1:4" ht="28.8" x14ac:dyDescent="0.3">
      <c r="A161" s="26" t="s">
        <v>311</v>
      </c>
      <c r="B161" s="19" t="s">
        <v>312</v>
      </c>
      <c r="C161" s="20">
        <v>344</v>
      </c>
      <c r="D161" s="21" t="s">
        <v>27</v>
      </c>
    </row>
    <row r="162" spans="1:4" ht="28.8" x14ac:dyDescent="0.3">
      <c r="A162" s="26" t="s">
        <v>313</v>
      </c>
      <c r="B162" s="19" t="s">
        <v>314</v>
      </c>
      <c r="C162" s="20">
        <v>13</v>
      </c>
      <c r="D162" s="21" t="s">
        <v>27</v>
      </c>
    </row>
    <row r="163" spans="1:4" x14ac:dyDescent="0.3">
      <c r="A163" s="26" t="s">
        <v>315</v>
      </c>
      <c r="B163" s="19" t="s">
        <v>316</v>
      </c>
      <c r="C163" s="20">
        <v>39</v>
      </c>
      <c r="D163" s="21" t="s">
        <v>27</v>
      </c>
    </row>
    <row r="164" spans="1:4" x14ac:dyDescent="0.3">
      <c r="A164" s="26" t="s">
        <v>317</v>
      </c>
      <c r="B164" s="19" t="s">
        <v>318</v>
      </c>
      <c r="C164" s="20">
        <v>1</v>
      </c>
      <c r="D164" s="21" t="s">
        <v>76</v>
      </c>
    </row>
    <row r="165" spans="1:4" x14ac:dyDescent="0.3">
      <c r="A165" s="26" t="s">
        <v>319</v>
      </c>
      <c r="B165" s="19" t="s">
        <v>320</v>
      </c>
      <c r="C165" s="20">
        <v>1</v>
      </c>
      <c r="D165" s="21" t="s">
        <v>76</v>
      </c>
    </row>
    <row r="166" spans="1:4" x14ac:dyDescent="0.3">
      <c r="A166" s="26" t="s">
        <v>321</v>
      </c>
      <c r="B166" s="19" t="s">
        <v>322</v>
      </c>
      <c r="C166" s="20">
        <v>75</v>
      </c>
      <c r="D166" s="21" t="s">
        <v>76</v>
      </c>
    </row>
    <row r="167" spans="1:4" x14ac:dyDescent="0.3">
      <c r="A167" s="26" t="s">
        <v>323</v>
      </c>
      <c r="B167" s="19" t="s">
        <v>324</v>
      </c>
      <c r="C167" s="20">
        <v>1</v>
      </c>
      <c r="D167" s="21" t="s">
        <v>27</v>
      </c>
    </row>
    <row r="168" spans="1:4" ht="28.8" x14ac:dyDescent="0.3">
      <c r="A168" s="26" t="s">
        <v>325</v>
      </c>
      <c r="B168" s="19" t="s">
        <v>326</v>
      </c>
      <c r="C168" s="20">
        <v>1</v>
      </c>
      <c r="D168" s="21" t="s">
        <v>76</v>
      </c>
    </row>
    <row r="169" spans="1:4" ht="28.8" x14ac:dyDescent="0.3">
      <c r="A169" s="26" t="s">
        <v>327</v>
      </c>
      <c r="B169" s="19" t="s">
        <v>328</v>
      </c>
      <c r="C169" s="20">
        <v>1</v>
      </c>
      <c r="D169" s="21" t="s">
        <v>76</v>
      </c>
    </row>
    <row r="170" spans="1:4" ht="28.8" x14ac:dyDescent="0.3">
      <c r="A170" s="26" t="s">
        <v>329</v>
      </c>
      <c r="B170" s="19" t="s">
        <v>330</v>
      </c>
      <c r="C170" s="20">
        <v>1</v>
      </c>
      <c r="D170" s="21" t="s">
        <v>76</v>
      </c>
    </row>
    <row r="171" spans="1:4" ht="28.8" x14ac:dyDescent="0.3">
      <c r="A171" s="26" t="s">
        <v>331</v>
      </c>
      <c r="B171" s="19" t="s">
        <v>332</v>
      </c>
      <c r="C171" s="20">
        <v>1</v>
      </c>
      <c r="D171" s="21" t="s">
        <v>76</v>
      </c>
    </row>
    <row r="172" spans="1:4" ht="28.8" x14ac:dyDescent="0.3">
      <c r="A172" s="26" t="s">
        <v>333</v>
      </c>
      <c r="B172" s="19" t="s">
        <v>334</v>
      </c>
      <c r="C172" s="20">
        <v>1</v>
      </c>
      <c r="D172" s="21" t="s">
        <v>27</v>
      </c>
    </row>
    <row r="173" spans="1:4" ht="28.8" x14ac:dyDescent="0.3">
      <c r="A173" s="26" t="s">
        <v>335</v>
      </c>
      <c r="B173" s="19" t="s">
        <v>336</v>
      </c>
      <c r="C173" s="20">
        <v>1</v>
      </c>
      <c r="D173" s="21" t="s">
        <v>27</v>
      </c>
    </row>
    <row r="174" spans="1:4" ht="28.8" x14ac:dyDescent="0.3">
      <c r="A174" s="26" t="s">
        <v>337</v>
      </c>
      <c r="B174" s="19" t="s">
        <v>338</v>
      </c>
      <c r="C174" s="20">
        <v>1</v>
      </c>
      <c r="D174" s="21" t="s">
        <v>27</v>
      </c>
    </row>
    <row r="175" spans="1:4" ht="28.8" x14ac:dyDescent="0.3">
      <c r="A175" s="26" t="s">
        <v>339</v>
      </c>
      <c r="B175" s="19" t="s">
        <v>340</v>
      </c>
      <c r="C175" s="20">
        <v>1</v>
      </c>
      <c r="D175" s="21" t="s">
        <v>42</v>
      </c>
    </row>
    <row r="176" spans="1:4" ht="28.8" x14ac:dyDescent="0.3">
      <c r="A176" s="26" t="s">
        <v>341</v>
      </c>
      <c r="B176" s="19" t="s">
        <v>342</v>
      </c>
      <c r="C176" s="20">
        <v>1</v>
      </c>
      <c r="D176" s="21" t="s">
        <v>42</v>
      </c>
    </row>
    <row r="177" spans="1:4" ht="28.8" x14ac:dyDescent="0.3">
      <c r="A177" s="26" t="s">
        <v>343</v>
      </c>
      <c r="B177" s="19" t="s">
        <v>344</v>
      </c>
      <c r="C177" s="20">
        <v>1</v>
      </c>
      <c r="D177" s="21" t="s">
        <v>42</v>
      </c>
    </row>
    <row r="178" spans="1:4" ht="28.8" x14ac:dyDescent="0.3">
      <c r="A178" s="26" t="s">
        <v>345</v>
      </c>
      <c r="B178" s="19" t="s">
        <v>346</v>
      </c>
      <c r="C178" s="20">
        <v>1</v>
      </c>
      <c r="D178" s="21" t="s">
        <v>76</v>
      </c>
    </row>
    <row r="179" spans="1:4" ht="28.8" x14ac:dyDescent="0.3">
      <c r="A179" s="26" t="s">
        <v>347</v>
      </c>
      <c r="B179" s="19" t="s">
        <v>348</v>
      </c>
      <c r="C179" s="20">
        <v>1</v>
      </c>
      <c r="D179" s="21" t="s">
        <v>76</v>
      </c>
    </row>
    <row r="180" spans="1:4" ht="28.8" x14ac:dyDescent="0.3">
      <c r="A180" s="26" t="s">
        <v>349</v>
      </c>
      <c r="B180" s="19" t="s">
        <v>350</v>
      </c>
      <c r="C180" s="20">
        <v>1</v>
      </c>
      <c r="D180" s="21" t="s">
        <v>76</v>
      </c>
    </row>
    <row r="181" spans="1:4" ht="28.8" x14ac:dyDescent="0.3">
      <c r="A181" s="26" t="s">
        <v>351</v>
      </c>
      <c r="B181" s="19" t="s">
        <v>352</v>
      </c>
      <c r="C181" s="20">
        <v>1</v>
      </c>
      <c r="D181" s="21" t="s">
        <v>76</v>
      </c>
    </row>
    <row r="182" spans="1:4" ht="28.8" x14ac:dyDescent="0.3">
      <c r="A182" s="26" t="s">
        <v>353</v>
      </c>
      <c r="B182" s="19" t="s">
        <v>354</v>
      </c>
      <c r="C182" s="20">
        <v>1</v>
      </c>
      <c r="D182" s="21" t="s">
        <v>76</v>
      </c>
    </row>
    <row r="183" spans="1:4" ht="28.8" x14ac:dyDescent="0.3">
      <c r="A183" s="26" t="s">
        <v>355</v>
      </c>
      <c r="B183" s="19" t="s">
        <v>356</v>
      </c>
      <c r="C183" s="20">
        <v>1</v>
      </c>
      <c r="D183" s="21" t="s">
        <v>27</v>
      </c>
    </row>
    <row r="184" spans="1:4" ht="28.8" x14ac:dyDescent="0.3">
      <c r="A184" s="26" t="s">
        <v>357</v>
      </c>
      <c r="B184" s="19" t="s">
        <v>358</v>
      </c>
      <c r="C184" s="20">
        <v>1</v>
      </c>
      <c r="D184" s="21" t="s">
        <v>76</v>
      </c>
    </row>
    <row r="185" spans="1:4" x14ac:dyDescent="0.3">
      <c r="A185" s="22">
        <v>15</v>
      </c>
      <c r="B185" s="23" t="s">
        <v>359</v>
      </c>
      <c r="C185" s="16"/>
      <c r="D185" s="17"/>
    </row>
    <row r="186" spans="1:4" ht="43.2" x14ac:dyDescent="0.3">
      <c r="A186" s="26" t="s">
        <v>360</v>
      </c>
      <c r="B186" s="19" t="s">
        <v>361</v>
      </c>
      <c r="C186" s="20">
        <v>22</v>
      </c>
      <c r="D186" s="21" t="s">
        <v>362</v>
      </c>
    </row>
    <row r="187" spans="1:4" ht="28.8" x14ac:dyDescent="0.3">
      <c r="A187" s="26" t="s">
        <v>363</v>
      </c>
      <c r="B187" s="19" t="s">
        <v>364</v>
      </c>
      <c r="C187" s="20">
        <v>450</v>
      </c>
      <c r="D187" s="21" t="s">
        <v>362</v>
      </c>
    </row>
    <row r="188" spans="1:4" ht="28.8" x14ac:dyDescent="0.3">
      <c r="A188" s="26" t="s">
        <v>365</v>
      </c>
      <c r="B188" s="19" t="s">
        <v>366</v>
      </c>
      <c r="C188" s="20">
        <v>247</v>
      </c>
      <c r="D188" s="21" t="s">
        <v>362</v>
      </c>
    </row>
    <row r="189" spans="1:4" x14ac:dyDescent="0.3">
      <c r="A189" s="26" t="s">
        <v>367</v>
      </c>
      <c r="B189" s="19" t="s">
        <v>368</v>
      </c>
      <c r="C189" s="20">
        <v>7</v>
      </c>
      <c r="D189" s="21" t="s">
        <v>76</v>
      </c>
    </row>
    <row r="190" spans="1:4" x14ac:dyDescent="0.3">
      <c r="A190" s="26" t="s">
        <v>369</v>
      </c>
      <c r="B190" s="19" t="s">
        <v>370</v>
      </c>
      <c r="C190" s="20">
        <v>82</v>
      </c>
      <c r="D190" s="21" t="s">
        <v>76</v>
      </c>
    </row>
    <row r="191" spans="1:4" ht="43.2" x14ac:dyDescent="0.3">
      <c r="A191" s="26" t="s">
        <v>371</v>
      </c>
      <c r="B191" s="19" t="s">
        <v>372</v>
      </c>
      <c r="C191" s="20">
        <v>307</v>
      </c>
      <c r="D191" s="21" t="s">
        <v>76</v>
      </c>
    </row>
    <row r="192" spans="1:4" ht="28.8" x14ac:dyDescent="0.3">
      <c r="A192" s="26" t="s">
        <v>373</v>
      </c>
      <c r="B192" s="19" t="s">
        <v>374</v>
      </c>
      <c r="C192" s="20">
        <v>174</v>
      </c>
      <c r="D192" s="21" t="s">
        <v>76</v>
      </c>
    </row>
    <row r="193" spans="1:4" ht="28.8" x14ac:dyDescent="0.3">
      <c r="A193" s="26" t="s">
        <v>375</v>
      </c>
      <c r="B193" s="19" t="s">
        <v>376</v>
      </c>
      <c r="C193" s="20">
        <v>99</v>
      </c>
      <c r="D193" s="21" t="s">
        <v>76</v>
      </c>
    </row>
    <row r="194" spans="1:4" x14ac:dyDescent="0.3">
      <c r="A194" s="26" t="s">
        <v>377</v>
      </c>
      <c r="B194" s="19" t="s">
        <v>378</v>
      </c>
      <c r="C194" s="20">
        <v>11</v>
      </c>
      <c r="D194" s="21" t="s">
        <v>76</v>
      </c>
    </row>
    <row r="195" spans="1:4" ht="28.8" x14ac:dyDescent="0.3">
      <c r="A195" s="26" t="s">
        <v>379</v>
      </c>
      <c r="B195" s="19" t="s">
        <v>380</v>
      </c>
      <c r="C195" s="20">
        <v>35</v>
      </c>
      <c r="D195" s="21" t="s">
        <v>42</v>
      </c>
    </row>
    <row r="196" spans="1:4" x14ac:dyDescent="0.3">
      <c r="A196" s="26" t="s">
        <v>381</v>
      </c>
      <c r="B196" s="19" t="s">
        <v>382</v>
      </c>
      <c r="C196" s="20">
        <v>1</v>
      </c>
      <c r="D196" s="21" t="s">
        <v>76</v>
      </c>
    </row>
    <row r="197" spans="1:4" x14ac:dyDescent="0.3">
      <c r="A197" s="26" t="s">
        <v>383</v>
      </c>
      <c r="B197" s="19" t="s">
        <v>384</v>
      </c>
      <c r="C197" s="20">
        <v>24</v>
      </c>
      <c r="D197" s="21" t="s">
        <v>76</v>
      </c>
    </row>
    <row r="198" spans="1:4" ht="28.8" x14ac:dyDescent="0.3">
      <c r="A198" s="26" t="s">
        <v>385</v>
      </c>
      <c r="B198" s="19" t="s">
        <v>386</v>
      </c>
      <c r="C198" s="20">
        <v>69</v>
      </c>
      <c r="D198" s="21" t="s">
        <v>76</v>
      </c>
    </row>
    <row r="199" spans="1:4" ht="28.8" x14ac:dyDescent="0.3">
      <c r="A199" s="26" t="s">
        <v>387</v>
      </c>
      <c r="B199" s="19" t="s">
        <v>388</v>
      </c>
      <c r="C199" s="20">
        <v>9</v>
      </c>
      <c r="D199" s="21" t="s">
        <v>76</v>
      </c>
    </row>
    <row r="200" spans="1:4" ht="28.8" x14ac:dyDescent="0.3">
      <c r="A200" s="26" t="s">
        <v>389</v>
      </c>
      <c r="B200" s="19" t="s">
        <v>390</v>
      </c>
      <c r="C200" s="20">
        <v>8</v>
      </c>
      <c r="D200" s="21" t="s">
        <v>76</v>
      </c>
    </row>
    <row r="201" spans="1:4" x14ac:dyDescent="0.3">
      <c r="A201" s="26" t="s">
        <v>391</v>
      </c>
      <c r="B201" s="19" t="s">
        <v>392</v>
      </c>
      <c r="C201" s="20">
        <v>39</v>
      </c>
      <c r="D201" s="21" t="s">
        <v>76</v>
      </c>
    </row>
    <row r="202" spans="1:4" x14ac:dyDescent="0.3">
      <c r="A202" s="26" t="s">
        <v>393</v>
      </c>
      <c r="B202" s="19" t="s">
        <v>394</v>
      </c>
      <c r="C202" s="20">
        <v>1</v>
      </c>
      <c r="D202" s="21" t="s">
        <v>76</v>
      </c>
    </row>
    <row r="203" spans="1:4" x14ac:dyDescent="0.3">
      <c r="A203" s="22">
        <v>16</v>
      </c>
      <c r="B203" s="23" t="s">
        <v>395</v>
      </c>
      <c r="C203" s="16"/>
      <c r="D203" s="17"/>
    </row>
    <row r="204" spans="1:4" x14ac:dyDescent="0.3">
      <c r="A204" s="26" t="s">
        <v>396</v>
      </c>
      <c r="B204" s="19" t="s">
        <v>397</v>
      </c>
      <c r="C204" s="20">
        <v>23</v>
      </c>
      <c r="D204" s="21" t="s">
        <v>27</v>
      </c>
    </row>
    <row r="205" spans="1:4" x14ac:dyDescent="0.3">
      <c r="A205" s="26" t="s">
        <v>398</v>
      </c>
      <c r="B205" s="19" t="s">
        <v>399</v>
      </c>
      <c r="C205" s="20">
        <v>1</v>
      </c>
      <c r="D205" s="21" t="s">
        <v>27</v>
      </c>
    </row>
    <row r="206" spans="1:4" x14ac:dyDescent="0.3">
      <c r="A206" s="26" t="s">
        <v>400</v>
      </c>
      <c r="B206" s="19" t="s">
        <v>401</v>
      </c>
      <c r="C206" s="20">
        <v>1</v>
      </c>
      <c r="D206" s="21" t="s">
        <v>27</v>
      </c>
    </row>
    <row r="207" spans="1:4" ht="28.8" x14ac:dyDescent="0.3">
      <c r="A207" s="26" t="s">
        <v>402</v>
      </c>
      <c r="B207" s="19" t="s">
        <v>403</v>
      </c>
      <c r="C207" s="20">
        <v>35</v>
      </c>
      <c r="D207" s="21" t="s">
        <v>27</v>
      </c>
    </row>
    <row r="208" spans="1:4" ht="28.8" x14ac:dyDescent="0.3">
      <c r="A208" s="26" t="s">
        <v>404</v>
      </c>
      <c r="B208" s="19" t="s">
        <v>405</v>
      </c>
      <c r="C208" s="20">
        <v>295</v>
      </c>
      <c r="D208" s="21" t="s">
        <v>27</v>
      </c>
    </row>
    <row r="209" spans="1:4" ht="28.8" x14ac:dyDescent="0.3">
      <c r="A209" s="26" t="s">
        <v>406</v>
      </c>
      <c r="B209" s="19" t="s">
        <v>407</v>
      </c>
      <c r="C209" s="20">
        <v>1</v>
      </c>
      <c r="D209" s="21" t="s">
        <v>27</v>
      </c>
    </row>
    <row r="210" spans="1:4" ht="28.8" x14ac:dyDescent="0.3">
      <c r="A210" s="26" t="s">
        <v>408</v>
      </c>
      <c r="B210" s="19" t="s">
        <v>409</v>
      </c>
      <c r="C210" s="20">
        <v>63</v>
      </c>
      <c r="D210" s="21" t="s">
        <v>27</v>
      </c>
    </row>
    <row r="211" spans="1:4" x14ac:dyDescent="0.3">
      <c r="A211" s="26" t="s">
        <v>410</v>
      </c>
      <c r="B211" s="19" t="s">
        <v>411</v>
      </c>
      <c r="C211" s="20">
        <v>1</v>
      </c>
      <c r="D211" s="21" t="s">
        <v>27</v>
      </c>
    </row>
    <row r="212" spans="1:4" ht="28.8" x14ac:dyDescent="0.3">
      <c r="A212" s="26" t="s">
        <v>412</v>
      </c>
      <c r="B212" s="19" t="s">
        <v>413</v>
      </c>
      <c r="C212" s="20">
        <v>58</v>
      </c>
      <c r="D212" s="21" t="s">
        <v>27</v>
      </c>
    </row>
    <row r="213" spans="1:4" ht="28.8" x14ac:dyDescent="0.3">
      <c r="A213" s="26" t="s">
        <v>414</v>
      </c>
      <c r="B213" s="19" t="s">
        <v>415</v>
      </c>
      <c r="C213" s="20">
        <v>396</v>
      </c>
      <c r="D213" s="21" t="s">
        <v>42</v>
      </c>
    </row>
    <row r="214" spans="1:4" ht="28.8" x14ac:dyDescent="0.3">
      <c r="A214" s="26" t="s">
        <v>416</v>
      </c>
      <c r="B214" s="19" t="s">
        <v>417</v>
      </c>
      <c r="C214" s="20">
        <v>1</v>
      </c>
      <c r="D214" s="21" t="s">
        <v>42</v>
      </c>
    </row>
    <row r="215" spans="1:4" x14ac:dyDescent="0.3">
      <c r="A215" s="26" t="s">
        <v>418</v>
      </c>
      <c r="B215" s="19" t="s">
        <v>419</v>
      </c>
      <c r="C215" s="20">
        <v>275</v>
      </c>
      <c r="D215" s="21" t="s">
        <v>27</v>
      </c>
    </row>
    <row r="216" spans="1:4" ht="28.8" x14ac:dyDescent="0.3">
      <c r="A216" s="26" t="s">
        <v>420</v>
      </c>
      <c r="B216" s="19" t="s">
        <v>421</v>
      </c>
      <c r="C216" s="20">
        <v>1</v>
      </c>
      <c r="D216" s="21" t="s">
        <v>27</v>
      </c>
    </row>
    <row r="217" spans="1:4" x14ac:dyDescent="0.3">
      <c r="A217" s="26" t="s">
        <v>422</v>
      </c>
      <c r="B217" s="19" t="s">
        <v>423</v>
      </c>
      <c r="C217" s="20">
        <v>13</v>
      </c>
      <c r="D217" s="21" t="s">
        <v>27</v>
      </c>
    </row>
    <row r="218" spans="1:4" ht="28.8" x14ac:dyDescent="0.3">
      <c r="A218" s="26" t="s">
        <v>424</v>
      </c>
      <c r="B218" s="19" t="s">
        <v>425</v>
      </c>
      <c r="C218" s="20">
        <v>11</v>
      </c>
      <c r="D218" s="21" t="s">
        <v>976</v>
      </c>
    </row>
    <row r="219" spans="1:4" x14ac:dyDescent="0.3">
      <c r="A219" s="26" t="s">
        <v>426</v>
      </c>
      <c r="B219" s="19" t="s">
        <v>427</v>
      </c>
      <c r="C219" s="20">
        <v>59</v>
      </c>
      <c r="D219" s="21" t="s">
        <v>27</v>
      </c>
    </row>
    <row r="220" spans="1:4" x14ac:dyDescent="0.3">
      <c r="A220" s="26" t="s">
        <v>428</v>
      </c>
      <c r="B220" s="19" t="s">
        <v>429</v>
      </c>
      <c r="C220" s="20">
        <v>1</v>
      </c>
      <c r="D220" s="21" t="s">
        <v>27</v>
      </c>
    </row>
    <row r="221" spans="1:4" x14ac:dyDescent="0.3">
      <c r="A221" s="26" t="s">
        <v>430</v>
      </c>
      <c r="B221" s="19" t="s">
        <v>431</v>
      </c>
      <c r="C221" s="20">
        <v>1</v>
      </c>
      <c r="D221" s="21" t="s">
        <v>976</v>
      </c>
    </row>
    <row r="222" spans="1:4" x14ac:dyDescent="0.3">
      <c r="A222" s="22">
        <v>17</v>
      </c>
      <c r="B222" s="23" t="s">
        <v>432</v>
      </c>
      <c r="C222" s="16"/>
      <c r="D222" s="17"/>
    </row>
    <row r="223" spans="1:4" ht="28.8" x14ac:dyDescent="0.3">
      <c r="A223" s="26" t="s">
        <v>433</v>
      </c>
      <c r="B223" s="19" t="s">
        <v>434</v>
      </c>
      <c r="C223" s="20">
        <v>2680</v>
      </c>
      <c r="D223" s="21" t="s">
        <v>27</v>
      </c>
    </row>
    <row r="224" spans="1:4" ht="28.8" x14ac:dyDescent="0.3">
      <c r="A224" s="26" t="s">
        <v>435</v>
      </c>
      <c r="B224" s="19" t="s">
        <v>436</v>
      </c>
      <c r="C224" s="20">
        <v>460</v>
      </c>
      <c r="D224" s="21" t="s">
        <v>27</v>
      </c>
    </row>
    <row r="225" spans="1:4" ht="28.8" x14ac:dyDescent="0.3">
      <c r="A225" s="26" t="s">
        <v>437</v>
      </c>
      <c r="B225" s="19" t="s">
        <v>438</v>
      </c>
      <c r="C225" s="20">
        <v>183</v>
      </c>
      <c r="D225" s="21" t="s">
        <v>27</v>
      </c>
    </row>
    <row r="226" spans="1:4" ht="43.2" x14ac:dyDescent="0.3">
      <c r="A226" s="26" t="s">
        <v>439</v>
      </c>
      <c r="B226" s="19" t="s">
        <v>440</v>
      </c>
      <c r="C226" s="20">
        <v>4287</v>
      </c>
      <c r="D226" s="21" t="s">
        <v>27</v>
      </c>
    </row>
    <row r="227" spans="1:4" ht="28.8" x14ac:dyDescent="0.3">
      <c r="A227" s="26" t="s">
        <v>441</v>
      </c>
      <c r="B227" s="19" t="s">
        <v>442</v>
      </c>
      <c r="C227" s="20">
        <v>486</v>
      </c>
      <c r="D227" s="21" t="s">
        <v>27</v>
      </c>
    </row>
    <row r="228" spans="1:4" ht="57.6" x14ac:dyDescent="0.3">
      <c r="A228" s="26" t="s">
        <v>443</v>
      </c>
      <c r="B228" s="19" t="s">
        <v>444</v>
      </c>
      <c r="C228" s="20">
        <v>39388</v>
      </c>
      <c r="D228" s="21" t="s">
        <v>27</v>
      </c>
    </row>
    <row r="229" spans="1:4" ht="28.8" x14ac:dyDescent="0.3">
      <c r="A229" s="26" t="s">
        <v>445</v>
      </c>
      <c r="B229" s="19" t="s">
        <v>446</v>
      </c>
      <c r="C229" s="20">
        <v>527</v>
      </c>
      <c r="D229" s="21" t="s">
        <v>27</v>
      </c>
    </row>
    <row r="230" spans="1:4" ht="28.8" x14ac:dyDescent="0.3">
      <c r="A230" s="26" t="s">
        <v>447</v>
      </c>
      <c r="B230" s="19" t="s">
        <v>448</v>
      </c>
      <c r="C230" s="20">
        <v>396</v>
      </c>
      <c r="D230" s="21" t="s">
        <v>27</v>
      </c>
    </row>
    <row r="231" spans="1:4" x14ac:dyDescent="0.3">
      <c r="A231" s="26" t="s">
        <v>449</v>
      </c>
      <c r="B231" s="19" t="s">
        <v>450</v>
      </c>
      <c r="C231" s="20">
        <v>649</v>
      </c>
      <c r="D231" s="21" t="s">
        <v>27</v>
      </c>
    </row>
    <row r="232" spans="1:4" ht="43.2" x14ac:dyDescent="0.3">
      <c r="A232" s="26" t="s">
        <v>451</v>
      </c>
      <c r="B232" s="19" t="s">
        <v>452</v>
      </c>
      <c r="C232" s="20">
        <v>1</v>
      </c>
      <c r="D232" s="21" t="s">
        <v>27</v>
      </c>
    </row>
    <row r="233" spans="1:4" ht="57.6" x14ac:dyDescent="0.3">
      <c r="A233" s="26" t="s">
        <v>453</v>
      </c>
      <c r="B233" s="19" t="s">
        <v>454</v>
      </c>
      <c r="C233" s="20">
        <v>1</v>
      </c>
      <c r="D233" s="21" t="s">
        <v>27</v>
      </c>
    </row>
    <row r="234" spans="1:4" x14ac:dyDescent="0.3">
      <c r="A234" s="22">
        <v>18</v>
      </c>
      <c r="B234" s="23" t="s">
        <v>455</v>
      </c>
      <c r="C234" s="16"/>
      <c r="D234" s="17"/>
    </row>
    <row r="235" spans="1:4" x14ac:dyDescent="0.3">
      <c r="A235" s="22">
        <v>19</v>
      </c>
      <c r="B235" s="23" t="s">
        <v>456</v>
      </c>
      <c r="C235" s="16"/>
      <c r="D235" s="17"/>
    </row>
    <row r="236" spans="1:4" x14ac:dyDescent="0.3">
      <c r="A236" s="26" t="s">
        <v>457</v>
      </c>
      <c r="B236" s="28" t="s">
        <v>458</v>
      </c>
      <c r="C236" s="20">
        <v>54</v>
      </c>
      <c r="D236" s="29" t="s">
        <v>16</v>
      </c>
    </row>
    <row r="237" spans="1:4" ht="28.8" x14ac:dyDescent="0.3">
      <c r="A237" s="26" t="s">
        <v>459</v>
      </c>
      <c r="B237" s="28" t="s">
        <v>460</v>
      </c>
      <c r="C237" s="20">
        <v>317</v>
      </c>
      <c r="D237" s="29" t="s">
        <v>42</v>
      </c>
    </row>
    <row r="238" spans="1:4" x14ac:dyDescent="0.3">
      <c r="A238" s="26" t="s">
        <v>461</v>
      </c>
      <c r="B238" s="28" t="s">
        <v>462</v>
      </c>
      <c r="C238" s="20">
        <v>694</v>
      </c>
      <c r="D238" s="29" t="s">
        <v>16</v>
      </c>
    </row>
    <row r="239" spans="1:4" ht="28.8" x14ac:dyDescent="0.3">
      <c r="A239" s="26" t="s">
        <v>463</v>
      </c>
      <c r="B239" s="28" t="s">
        <v>464</v>
      </c>
      <c r="C239" s="20">
        <v>7944</v>
      </c>
      <c r="D239" s="29" t="s">
        <v>42</v>
      </c>
    </row>
    <row r="240" spans="1:4" ht="28.8" x14ac:dyDescent="0.3">
      <c r="A240" s="26" t="s">
        <v>465</v>
      </c>
      <c r="B240" s="28" t="s">
        <v>466</v>
      </c>
      <c r="C240" s="20">
        <v>1768</v>
      </c>
      <c r="D240" s="29" t="s">
        <v>42</v>
      </c>
    </row>
    <row r="241" spans="1:4" x14ac:dyDescent="0.3">
      <c r="A241" s="26" t="s">
        <v>467</v>
      </c>
      <c r="B241" s="28" t="s">
        <v>468</v>
      </c>
      <c r="C241" s="20">
        <v>159</v>
      </c>
      <c r="D241" s="29" t="s">
        <v>16</v>
      </c>
    </row>
    <row r="242" spans="1:4" ht="28.8" x14ac:dyDescent="0.3">
      <c r="A242" s="26" t="s">
        <v>469</v>
      </c>
      <c r="B242" s="28" t="s">
        <v>470</v>
      </c>
      <c r="C242" s="20">
        <v>1</v>
      </c>
      <c r="D242" s="29" t="s">
        <v>16</v>
      </c>
    </row>
    <row r="243" spans="1:4" x14ac:dyDescent="0.3">
      <c r="A243" s="26" t="s">
        <v>471</v>
      </c>
      <c r="B243" s="28" t="s">
        <v>472</v>
      </c>
      <c r="C243" s="20">
        <v>93</v>
      </c>
      <c r="D243" s="29" t="s">
        <v>16</v>
      </c>
    </row>
    <row r="244" spans="1:4" x14ac:dyDescent="0.3">
      <c r="A244" s="26" t="s">
        <v>473</v>
      </c>
      <c r="B244" s="28" t="s">
        <v>977</v>
      </c>
      <c r="C244" s="20">
        <v>3467</v>
      </c>
      <c r="D244" s="29" t="s">
        <v>16</v>
      </c>
    </row>
    <row r="245" spans="1:4" x14ac:dyDescent="0.3">
      <c r="A245" s="26" t="s">
        <v>474</v>
      </c>
      <c r="B245" s="28" t="s">
        <v>475</v>
      </c>
      <c r="C245" s="20">
        <v>443</v>
      </c>
      <c r="D245" s="29" t="s">
        <v>16</v>
      </c>
    </row>
    <row r="246" spans="1:4" ht="28.8" x14ac:dyDescent="0.3">
      <c r="A246" s="26" t="s">
        <v>476</v>
      </c>
      <c r="B246" s="28" t="s">
        <v>477</v>
      </c>
      <c r="C246" s="20">
        <v>1</v>
      </c>
      <c r="D246" s="29" t="s">
        <v>16</v>
      </c>
    </row>
    <row r="247" spans="1:4" x14ac:dyDescent="0.3">
      <c r="A247" s="26" t="s">
        <v>478</v>
      </c>
      <c r="B247" s="28" t="s">
        <v>479</v>
      </c>
      <c r="C247" s="20">
        <v>1</v>
      </c>
      <c r="D247" s="29" t="s">
        <v>16</v>
      </c>
    </row>
    <row r="248" spans="1:4" ht="28.8" x14ac:dyDescent="0.3">
      <c r="A248" s="26" t="s">
        <v>480</v>
      </c>
      <c r="B248" s="28" t="s">
        <v>481</v>
      </c>
      <c r="C248" s="20">
        <v>54</v>
      </c>
      <c r="D248" s="29" t="s">
        <v>16</v>
      </c>
    </row>
    <row r="249" spans="1:4" x14ac:dyDescent="0.3">
      <c r="A249" s="26" t="s">
        <v>482</v>
      </c>
      <c r="B249" s="28" t="s">
        <v>483</v>
      </c>
      <c r="C249" s="20">
        <v>1</v>
      </c>
      <c r="D249" s="29" t="s">
        <v>16</v>
      </c>
    </row>
    <row r="250" spans="1:4" x14ac:dyDescent="0.3">
      <c r="A250" s="26" t="s">
        <v>484</v>
      </c>
      <c r="B250" s="28" t="s">
        <v>485</v>
      </c>
      <c r="C250" s="20">
        <v>161</v>
      </c>
      <c r="D250" s="29" t="s">
        <v>16</v>
      </c>
    </row>
    <row r="251" spans="1:4" ht="28.8" x14ac:dyDescent="0.3">
      <c r="A251" s="26" t="s">
        <v>486</v>
      </c>
      <c r="B251" s="28" t="s">
        <v>487</v>
      </c>
      <c r="C251" s="20">
        <v>2389</v>
      </c>
      <c r="D251" s="29" t="s">
        <v>16</v>
      </c>
    </row>
    <row r="252" spans="1:4" x14ac:dyDescent="0.3">
      <c r="A252" s="26" t="s">
        <v>488</v>
      </c>
      <c r="B252" s="28" t="s">
        <v>489</v>
      </c>
      <c r="C252" s="20">
        <v>1</v>
      </c>
      <c r="D252" s="29" t="s">
        <v>16</v>
      </c>
    </row>
    <row r="253" spans="1:4" x14ac:dyDescent="0.3">
      <c r="A253" s="26" t="s">
        <v>490</v>
      </c>
      <c r="B253" s="28" t="s">
        <v>491</v>
      </c>
      <c r="C253" s="20">
        <v>1</v>
      </c>
      <c r="D253" s="29" t="s">
        <v>16</v>
      </c>
    </row>
    <row r="254" spans="1:4" ht="28.8" x14ac:dyDescent="0.3">
      <c r="A254" s="26" t="s">
        <v>492</v>
      </c>
      <c r="B254" s="28" t="s">
        <v>493</v>
      </c>
      <c r="C254" s="20">
        <v>2423</v>
      </c>
      <c r="D254" s="29" t="s">
        <v>16</v>
      </c>
    </row>
    <row r="255" spans="1:4" ht="28.8" x14ac:dyDescent="0.3">
      <c r="A255" s="26" t="s">
        <v>494</v>
      </c>
      <c r="B255" s="28" t="s">
        <v>495</v>
      </c>
      <c r="C255" s="20">
        <v>1</v>
      </c>
      <c r="D255" s="29" t="s">
        <v>16</v>
      </c>
    </row>
    <row r="256" spans="1:4" x14ac:dyDescent="0.3">
      <c r="A256" s="26" t="s">
        <v>496</v>
      </c>
      <c r="B256" s="28" t="s">
        <v>497</v>
      </c>
      <c r="C256" s="20">
        <v>18</v>
      </c>
      <c r="D256" s="29" t="s">
        <v>16</v>
      </c>
    </row>
    <row r="257" spans="1:4" ht="28.8" x14ac:dyDescent="0.3">
      <c r="A257" s="26" t="s">
        <v>498</v>
      </c>
      <c r="B257" s="28" t="s">
        <v>499</v>
      </c>
      <c r="C257" s="20">
        <v>1</v>
      </c>
      <c r="D257" s="29" t="s">
        <v>16</v>
      </c>
    </row>
    <row r="258" spans="1:4" x14ac:dyDescent="0.3">
      <c r="A258" s="26" t="s">
        <v>500</v>
      </c>
      <c r="B258" s="28" t="s">
        <v>501</v>
      </c>
      <c r="C258" s="20">
        <v>1</v>
      </c>
      <c r="D258" s="29" t="s">
        <v>16</v>
      </c>
    </row>
    <row r="259" spans="1:4" x14ac:dyDescent="0.3">
      <c r="A259" s="26" t="s">
        <v>502</v>
      </c>
      <c r="B259" s="28" t="s">
        <v>503</v>
      </c>
      <c r="C259" s="20">
        <v>1</v>
      </c>
      <c r="D259" s="29" t="s">
        <v>16</v>
      </c>
    </row>
    <row r="260" spans="1:4" x14ac:dyDescent="0.3">
      <c r="A260" s="26" t="s">
        <v>504</v>
      </c>
      <c r="B260" s="28" t="s">
        <v>505</v>
      </c>
      <c r="C260" s="20">
        <v>2455</v>
      </c>
      <c r="D260" s="29" t="s">
        <v>16</v>
      </c>
    </row>
    <row r="261" spans="1:4" x14ac:dyDescent="0.3">
      <c r="A261" s="26" t="s">
        <v>506</v>
      </c>
      <c r="B261" s="28" t="s">
        <v>507</v>
      </c>
      <c r="C261" s="20">
        <v>1629</v>
      </c>
      <c r="D261" s="29" t="s">
        <v>16</v>
      </c>
    </row>
    <row r="262" spans="1:4" x14ac:dyDescent="0.3">
      <c r="A262" s="26" t="s">
        <v>508</v>
      </c>
      <c r="B262" s="28" t="s">
        <v>509</v>
      </c>
      <c r="C262" s="20">
        <v>3204</v>
      </c>
      <c r="D262" s="29" t="s">
        <v>16</v>
      </c>
    </row>
    <row r="263" spans="1:4" x14ac:dyDescent="0.3">
      <c r="A263" s="26" t="s">
        <v>510</v>
      </c>
      <c r="B263" s="28" t="s">
        <v>511</v>
      </c>
      <c r="C263" s="20">
        <v>2834</v>
      </c>
      <c r="D263" s="29" t="s">
        <v>16</v>
      </c>
    </row>
    <row r="264" spans="1:4" x14ac:dyDescent="0.3">
      <c r="A264" s="26" t="s">
        <v>512</v>
      </c>
      <c r="B264" s="28" t="s">
        <v>513</v>
      </c>
      <c r="C264" s="20">
        <v>1366</v>
      </c>
      <c r="D264" s="29" t="s">
        <v>16</v>
      </c>
    </row>
    <row r="265" spans="1:4" ht="28.8" x14ac:dyDescent="0.3">
      <c r="A265" s="26" t="s">
        <v>514</v>
      </c>
      <c r="B265" s="28" t="s">
        <v>515</v>
      </c>
      <c r="C265" s="20">
        <v>1</v>
      </c>
      <c r="D265" s="29" t="s">
        <v>16</v>
      </c>
    </row>
    <row r="266" spans="1:4" x14ac:dyDescent="0.3">
      <c r="A266" s="26" t="s">
        <v>516</v>
      </c>
      <c r="B266" s="28" t="s">
        <v>517</v>
      </c>
      <c r="C266" s="20">
        <v>1</v>
      </c>
      <c r="D266" s="29" t="s">
        <v>16</v>
      </c>
    </row>
    <row r="267" spans="1:4" x14ac:dyDescent="0.3">
      <c r="A267" s="26" t="s">
        <v>518</v>
      </c>
      <c r="B267" s="28" t="s">
        <v>519</v>
      </c>
      <c r="C267" s="20">
        <v>114</v>
      </c>
      <c r="D267" s="29" t="s">
        <v>16</v>
      </c>
    </row>
    <row r="268" spans="1:4" ht="28.8" x14ac:dyDescent="0.3">
      <c r="A268" s="26" t="s">
        <v>520</v>
      </c>
      <c r="B268" s="28" t="s">
        <v>521</v>
      </c>
      <c r="C268" s="20">
        <v>1</v>
      </c>
      <c r="D268" s="29" t="s">
        <v>16</v>
      </c>
    </row>
    <row r="269" spans="1:4" x14ac:dyDescent="0.3">
      <c r="A269" s="26" t="s">
        <v>522</v>
      </c>
      <c r="B269" s="28" t="s">
        <v>523</v>
      </c>
      <c r="C269" s="20">
        <v>97</v>
      </c>
      <c r="D269" s="29" t="s">
        <v>16</v>
      </c>
    </row>
    <row r="270" spans="1:4" x14ac:dyDescent="0.3">
      <c r="A270" s="26" t="s">
        <v>524</v>
      </c>
      <c r="B270" s="28" t="s">
        <v>525</v>
      </c>
      <c r="C270" s="20">
        <v>7</v>
      </c>
      <c r="D270" s="29" t="s">
        <v>16</v>
      </c>
    </row>
    <row r="271" spans="1:4" x14ac:dyDescent="0.3">
      <c r="A271" s="26" t="s">
        <v>526</v>
      </c>
      <c r="B271" s="28" t="s">
        <v>527</v>
      </c>
      <c r="C271" s="20">
        <v>9</v>
      </c>
      <c r="D271" s="29" t="s">
        <v>16</v>
      </c>
    </row>
    <row r="272" spans="1:4" x14ac:dyDescent="0.3">
      <c r="A272" s="26" t="s">
        <v>528</v>
      </c>
      <c r="B272" s="28" t="s">
        <v>529</v>
      </c>
      <c r="C272" s="20">
        <v>90</v>
      </c>
      <c r="D272" s="29" t="s">
        <v>16</v>
      </c>
    </row>
    <row r="273" spans="1:4" x14ac:dyDescent="0.3">
      <c r="A273" s="26" t="s">
        <v>530</v>
      </c>
      <c r="B273" s="28" t="s">
        <v>531</v>
      </c>
      <c r="C273" s="20">
        <v>1</v>
      </c>
      <c r="D273" s="29" t="s">
        <v>16</v>
      </c>
    </row>
    <row r="274" spans="1:4" x14ac:dyDescent="0.3">
      <c r="A274" s="26" t="s">
        <v>532</v>
      </c>
      <c r="B274" s="28" t="s">
        <v>533</v>
      </c>
      <c r="C274" s="20">
        <v>1</v>
      </c>
      <c r="D274" s="29" t="s">
        <v>16</v>
      </c>
    </row>
    <row r="275" spans="1:4" x14ac:dyDescent="0.3">
      <c r="A275" s="26" t="s">
        <v>534</v>
      </c>
      <c r="B275" s="28" t="s">
        <v>535</v>
      </c>
      <c r="C275" s="20">
        <v>13</v>
      </c>
      <c r="D275" s="29" t="s">
        <v>16</v>
      </c>
    </row>
    <row r="276" spans="1:4" x14ac:dyDescent="0.3">
      <c r="A276" s="26" t="s">
        <v>536</v>
      </c>
      <c r="B276" s="28" t="s">
        <v>537</v>
      </c>
      <c r="C276" s="20">
        <v>1</v>
      </c>
      <c r="D276" s="29" t="s">
        <v>16</v>
      </c>
    </row>
    <row r="277" spans="1:4" x14ac:dyDescent="0.3">
      <c r="A277" s="26" t="s">
        <v>538</v>
      </c>
      <c r="B277" s="28" t="s">
        <v>539</v>
      </c>
      <c r="C277" s="20">
        <v>1</v>
      </c>
      <c r="D277" s="29" t="s">
        <v>16</v>
      </c>
    </row>
    <row r="278" spans="1:4" ht="28.8" x14ac:dyDescent="0.3">
      <c r="A278" s="26" t="s">
        <v>540</v>
      </c>
      <c r="B278" s="28" t="s">
        <v>541</v>
      </c>
      <c r="C278" s="20">
        <v>593</v>
      </c>
      <c r="D278" s="29" t="s">
        <v>16</v>
      </c>
    </row>
    <row r="279" spans="1:4" ht="28.8" x14ac:dyDescent="0.3">
      <c r="A279" s="26" t="s">
        <v>542</v>
      </c>
      <c r="B279" s="28" t="s">
        <v>543</v>
      </c>
      <c r="C279" s="20">
        <v>15</v>
      </c>
      <c r="D279" s="29" t="s">
        <v>16</v>
      </c>
    </row>
    <row r="280" spans="1:4" ht="28.8" x14ac:dyDescent="0.3">
      <c r="A280" s="26" t="s">
        <v>544</v>
      </c>
      <c r="B280" s="28" t="s">
        <v>545</v>
      </c>
      <c r="C280" s="20">
        <v>1</v>
      </c>
      <c r="D280" s="29" t="s">
        <v>16</v>
      </c>
    </row>
    <row r="281" spans="1:4" ht="28.8" x14ac:dyDescent="0.3">
      <c r="A281" s="26" t="s">
        <v>546</v>
      </c>
      <c r="B281" s="28" t="s">
        <v>547</v>
      </c>
      <c r="C281" s="20">
        <v>11</v>
      </c>
      <c r="D281" s="29" t="s">
        <v>16</v>
      </c>
    </row>
    <row r="282" spans="1:4" ht="43.2" x14ac:dyDescent="0.3">
      <c r="A282" s="26" t="s">
        <v>548</v>
      </c>
      <c r="B282" s="28" t="s">
        <v>549</v>
      </c>
      <c r="C282" s="20">
        <v>18</v>
      </c>
      <c r="D282" s="29" t="s">
        <v>16</v>
      </c>
    </row>
    <row r="283" spans="1:4" x14ac:dyDescent="0.3">
      <c r="A283" s="26" t="s">
        <v>550</v>
      </c>
      <c r="B283" s="28" t="s">
        <v>551</v>
      </c>
      <c r="C283" s="20">
        <v>1</v>
      </c>
      <c r="D283" s="29" t="s">
        <v>16</v>
      </c>
    </row>
    <row r="284" spans="1:4" x14ac:dyDescent="0.3">
      <c r="A284" s="26" t="s">
        <v>552</v>
      </c>
      <c r="B284" s="28" t="s">
        <v>553</v>
      </c>
      <c r="C284" s="20">
        <v>1</v>
      </c>
      <c r="D284" s="29" t="s">
        <v>16</v>
      </c>
    </row>
    <row r="285" spans="1:4" ht="28.8" x14ac:dyDescent="0.3">
      <c r="A285" s="26" t="s">
        <v>554</v>
      </c>
      <c r="B285" s="28" t="s">
        <v>555</v>
      </c>
      <c r="C285" s="20">
        <v>45</v>
      </c>
      <c r="D285" s="29" t="s">
        <v>16</v>
      </c>
    </row>
    <row r="286" spans="1:4" ht="28.8" x14ac:dyDescent="0.3">
      <c r="A286" s="26" t="s">
        <v>556</v>
      </c>
      <c r="B286" s="28" t="s">
        <v>557</v>
      </c>
      <c r="C286" s="20">
        <v>88</v>
      </c>
      <c r="D286" s="29" t="s">
        <v>16</v>
      </c>
    </row>
    <row r="287" spans="1:4" x14ac:dyDescent="0.3">
      <c r="A287" s="26" t="s">
        <v>558</v>
      </c>
      <c r="B287" s="28" t="s">
        <v>559</v>
      </c>
      <c r="C287" s="20">
        <v>20</v>
      </c>
      <c r="D287" s="29" t="s">
        <v>16</v>
      </c>
    </row>
    <row r="288" spans="1:4" x14ac:dyDescent="0.3">
      <c r="A288" s="26" t="s">
        <v>560</v>
      </c>
      <c r="B288" s="28" t="s">
        <v>561</v>
      </c>
      <c r="C288" s="20">
        <v>140</v>
      </c>
      <c r="D288" s="29" t="s">
        <v>16</v>
      </c>
    </row>
    <row r="289" spans="1:4" ht="28.8" x14ac:dyDescent="0.3">
      <c r="A289" s="26" t="s">
        <v>562</v>
      </c>
      <c r="B289" s="28" t="s">
        <v>563</v>
      </c>
      <c r="C289" s="20">
        <v>7</v>
      </c>
      <c r="D289" s="29" t="s">
        <v>16</v>
      </c>
    </row>
    <row r="290" spans="1:4" x14ac:dyDescent="0.3">
      <c r="A290" s="26" t="s">
        <v>564</v>
      </c>
      <c r="B290" s="28" t="s">
        <v>565</v>
      </c>
      <c r="C290" s="20">
        <v>11</v>
      </c>
      <c r="D290" s="29" t="s">
        <v>16</v>
      </c>
    </row>
    <row r="291" spans="1:4" x14ac:dyDescent="0.3">
      <c r="A291" s="26" t="s">
        <v>566</v>
      </c>
      <c r="B291" s="28" t="s">
        <v>567</v>
      </c>
      <c r="C291" s="20">
        <v>1</v>
      </c>
      <c r="D291" s="29" t="s">
        <v>16</v>
      </c>
    </row>
    <row r="292" spans="1:4" x14ac:dyDescent="0.3">
      <c r="A292" s="26" t="s">
        <v>568</v>
      </c>
      <c r="B292" s="28" t="s">
        <v>569</v>
      </c>
      <c r="C292" s="20">
        <v>15</v>
      </c>
      <c r="D292" s="29" t="s">
        <v>16</v>
      </c>
    </row>
    <row r="293" spans="1:4" x14ac:dyDescent="0.3">
      <c r="A293" s="26" t="s">
        <v>570</v>
      </c>
      <c r="B293" s="28" t="s">
        <v>571</v>
      </c>
      <c r="C293" s="20">
        <v>26</v>
      </c>
      <c r="D293" s="29" t="s">
        <v>16</v>
      </c>
    </row>
    <row r="294" spans="1:4" x14ac:dyDescent="0.3">
      <c r="A294" s="26" t="s">
        <v>572</v>
      </c>
      <c r="B294" s="28" t="s">
        <v>573</v>
      </c>
      <c r="C294" s="20">
        <v>1</v>
      </c>
      <c r="D294" s="29" t="s">
        <v>16</v>
      </c>
    </row>
    <row r="295" spans="1:4" x14ac:dyDescent="0.3">
      <c r="A295" s="26" t="s">
        <v>574</v>
      </c>
      <c r="B295" s="28" t="s">
        <v>575</v>
      </c>
      <c r="C295" s="20">
        <v>1</v>
      </c>
      <c r="D295" s="29" t="s">
        <v>16</v>
      </c>
    </row>
    <row r="296" spans="1:4" x14ac:dyDescent="0.3">
      <c r="A296" s="26" t="s">
        <v>576</v>
      </c>
      <c r="B296" s="28" t="s">
        <v>577</v>
      </c>
      <c r="C296" s="20">
        <v>9</v>
      </c>
      <c r="D296" s="29" t="s">
        <v>16</v>
      </c>
    </row>
    <row r="297" spans="1:4" x14ac:dyDescent="0.3">
      <c r="A297" s="26" t="s">
        <v>578</v>
      </c>
      <c r="B297" s="28" t="s">
        <v>579</v>
      </c>
      <c r="C297" s="20">
        <v>1</v>
      </c>
      <c r="D297" s="29" t="s">
        <v>16</v>
      </c>
    </row>
    <row r="298" spans="1:4" ht="28.8" x14ac:dyDescent="0.3">
      <c r="A298" s="26" t="s">
        <v>580</v>
      </c>
      <c r="B298" s="28" t="s">
        <v>581</v>
      </c>
      <c r="C298" s="20">
        <v>1</v>
      </c>
      <c r="D298" s="29" t="s">
        <v>16</v>
      </c>
    </row>
    <row r="299" spans="1:4" ht="28.8" x14ac:dyDescent="0.3">
      <c r="A299" s="26" t="s">
        <v>582</v>
      </c>
      <c r="B299" s="28" t="s">
        <v>583</v>
      </c>
      <c r="C299" s="20">
        <v>1</v>
      </c>
      <c r="D299" s="29" t="s">
        <v>16</v>
      </c>
    </row>
    <row r="300" spans="1:4" ht="28.8" x14ac:dyDescent="0.3">
      <c r="A300" s="26" t="s">
        <v>584</v>
      </c>
      <c r="B300" s="28" t="s">
        <v>585</v>
      </c>
      <c r="C300" s="20">
        <v>1</v>
      </c>
      <c r="D300" s="29" t="s">
        <v>16</v>
      </c>
    </row>
    <row r="301" spans="1:4" x14ac:dyDescent="0.3">
      <c r="A301" s="26" t="s">
        <v>586</v>
      </c>
      <c r="B301" s="28" t="s">
        <v>587</v>
      </c>
      <c r="C301" s="20">
        <v>41</v>
      </c>
      <c r="D301" s="29" t="s">
        <v>16</v>
      </c>
    </row>
    <row r="302" spans="1:4" x14ac:dyDescent="0.3">
      <c r="A302" s="26" t="s">
        <v>588</v>
      </c>
      <c r="B302" s="28" t="s">
        <v>589</v>
      </c>
      <c r="C302" s="20">
        <v>1</v>
      </c>
      <c r="D302" s="29" t="s">
        <v>16</v>
      </c>
    </row>
    <row r="303" spans="1:4" x14ac:dyDescent="0.3">
      <c r="A303" s="26" t="s">
        <v>590</v>
      </c>
      <c r="B303" s="28" t="s">
        <v>591</v>
      </c>
      <c r="C303" s="20">
        <v>1</v>
      </c>
      <c r="D303" s="29" t="s">
        <v>16</v>
      </c>
    </row>
    <row r="304" spans="1:4" x14ac:dyDescent="0.3">
      <c r="A304" s="26" t="s">
        <v>592</v>
      </c>
      <c r="B304" s="28" t="s">
        <v>593</v>
      </c>
      <c r="C304" s="20">
        <v>1</v>
      </c>
      <c r="D304" s="29" t="s">
        <v>16</v>
      </c>
    </row>
    <row r="305" spans="1:4" x14ac:dyDescent="0.3">
      <c r="A305" s="26" t="s">
        <v>594</v>
      </c>
      <c r="B305" s="28" t="s">
        <v>595</v>
      </c>
      <c r="C305" s="20">
        <v>1</v>
      </c>
      <c r="D305" s="29" t="s">
        <v>16</v>
      </c>
    </row>
    <row r="306" spans="1:4" ht="28.8" x14ac:dyDescent="0.3">
      <c r="A306" s="26" t="s">
        <v>596</v>
      </c>
      <c r="B306" s="28" t="s">
        <v>597</v>
      </c>
      <c r="C306" s="20">
        <v>1</v>
      </c>
      <c r="D306" s="29" t="s">
        <v>16</v>
      </c>
    </row>
    <row r="307" spans="1:4" ht="28.8" x14ac:dyDescent="0.3">
      <c r="A307" s="26" t="s">
        <v>598</v>
      </c>
      <c r="B307" s="28" t="s">
        <v>978</v>
      </c>
      <c r="C307" s="20">
        <v>61</v>
      </c>
      <c r="D307" s="29" t="s">
        <v>42</v>
      </c>
    </row>
    <row r="308" spans="1:4" ht="28.8" x14ac:dyDescent="0.3">
      <c r="A308" s="26" t="s">
        <v>599</v>
      </c>
      <c r="B308" s="28" t="s">
        <v>979</v>
      </c>
      <c r="C308" s="20">
        <v>7</v>
      </c>
      <c r="D308" s="29" t="s">
        <v>42</v>
      </c>
    </row>
    <row r="309" spans="1:4" ht="28.8" x14ac:dyDescent="0.3">
      <c r="A309" s="26" t="s">
        <v>600</v>
      </c>
      <c r="B309" s="28" t="s">
        <v>980</v>
      </c>
      <c r="C309" s="20">
        <v>48</v>
      </c>
      <c r="D309" s="29" t="s">
        <v>42</v>
      </c>
    </row>
    <row r="310" spans="1:4" ht="28.8" x14ac:dyDescent="0.3">
      <c r="A310" s="26" t="s">
        <v>601</v>
      </c>
      <c r="B310" s="28" t="s">
        <v>981</v>
      </c>
      <c r="C310" s="20">
        <v>21</v>
      </c>
      <c r="D310" s="29" t="s">
        <v>42</v>
      </c>
    </row>
    <row r="311" spans="1:4" ht="28.8" x14ac:dyDescent="0.3">
      <c r="A311" s="26" t="s">
        <v>602</v>
      </c>
      <c r="B311" s="28" t="s">
        <v>982</v>
      </c>
      <c r="C311" s="20">
        <v>7</v>
      </c>
      <c r="D311" s="29" t="s">
        <v>42</v>
      </c>
    </row>
    <row r="312" spans="1:4" ht="28.8" x14ac:dyDescent="0.3">
      <c r="A312" s="26" t="s">
        <v>603</v>
      </c>
      <c r="B312" s="28" t="s">
        <v>604</v>
      </c>
      <c r="C312" s="20">
        <v>174</v>
      </c>
      <c r="D312" s="29" t="s">
        <v>16</v>
      </c>
    </row>
    <row r="313" spans="1:4" x14ac:dyDescent="0.3">
      <c r="A313" s="26" t="s">
        <v>605</v>
      </c>
      <c r="B313" s="28" t="s">
        <v>606</v>
      </c>
      <c r="C313" s="20">
        <v>78</v>
      </c>
      <c r="D313" s="29" t="s">
        <v>16</v>
      </c>
    </row>
    <row r="314" spans="1:4" ht="28.8" x14ac:dyDescent="0.3">
      <c r="A314" s="26" t="s">
        <v>607</v>
      </c>
      <c r="B314" s="28" t="s">
        <v>608</v>
      </c>
      <c r="C314" s="20">
        <v>1</v>
      </c>
      <c r="D314" s="29" t="s">
        <v>16</v>
      </c>
    </row>
    <row r="315" spans="1:4" x14ac:dyDescent="0.3">
      <c r="A315" s="26" t="s">
        <v>609</v>
      </c>
      <c r="B315" s="28" t="s">
        <v>610</v>
      </c>
      <c r="C315" s="20">
        <v>1</v>
      </c>
      <c r="D315" s="29" t="s">
        <v>16</v>
      </c>
    </row>
    <row r="316" spans="1:4" x14ac:dyDescent="0.3">
      <c r="A316" s="26" t="s">
        <v>611</v>
      </c>
      <c r="B316" s="28" t="s">
        <v>612</v>
      </c>
      <c r="C316" s="20">
        <v>1</v>
      </c>
      <c r="D316" s="29" t="s">
        <v>16</v>
      </c>
    </row>
    <row r="317" spans="1:4" ht="28.8" x14ac:dyDescent="0.3">
      <c r="A317" s="26" t="s">
        <v>613</v>
      </c>
      <c r="B317" s="28" t="s">
        <v>614</v>
      </c>
      <c r="C317" s="20">
        <v>1</v>
      </c>
      <c r="D317" s="29" t="s">
        <v>16</v>
      </c>
    </row>
    <row r="318" spans="1:4" ht="28.8" x14ac:dyDescent="0.3">
      <c r="A318" s="26" t="s">
        <v>615</v>
      </c>
      <c r="B318" s="28" t="s">
        <v>616</v>
      </c>
      <c r="C318" s="20">
        <v>1</v>
      </c>
      <c r="D318" s="29" t="s">
        <v>16</v>
      </c>
    </row>
    <row r="319" spans="1:4" ht="28.8" x14ac:dyDescent="0.3">
      <c r="A319" s="26" t="s">
        <v>617</v>
      </c>
      <c r="B319" s="28" t="s">
        <v>618</v>
      </c>
      <c r="C319" s="20">
        <v>1</v>
      </c>
      <c r="D319" s="29" t="s">
        <v>16</v>
      </c>
    </row>
    <row r="320" spans="1:4" ht="28.8" x14ac:dyDescent="0.3">
      <c r="A320" s="26" t="s">
        <v>619</v>
      </c>
      <c r="B320" s="28" t="s">
        <v>620</v>
      </c>
      <c r="C320" s="20">
        <v>1</v>
      </c>
      <c r="D320" s="29" t="s">
        <v>16</v>
      </c>
    </row>
    <row r="321" spans="1:4" x14ac:dyDescent="0.3">
      <c r="A321" s="26" t="s">
        <v>621</v>
      </c>
      <c r="B321" s="28" t="s">
        <v>622</v>
      </c>
      <c r="C321" s="20">
        <v>1</v>
      </c>
      <c r="D321" s="29" t="s">
        <v>42</v>
      </c>
    </row>
    <row r="322" spans="1:4" x14ac:dyDescent="0.3">
      <c r="A322" s="26" t="s">
        <v>623</v>
      </c>
      <c r="B322" s="28" t="s">
        <v>624</v>
      </c>
      <c r="C322" s="20">
        <v>1</v>
      </c>
      <c r="D322" s="29" t="s">
        <v>42</v>
      </c>
    </row>
    <row r="323" spans="1:4" ht="28.8" x14ac:dyDescent="0.3">
      <c r="A323" s="26" t="s">
        <v>625</v>
      </c>
      <c r="B323" s="28" t="s">
        <v>626</v>
      </c>
      <c r="C323" s="20">
        <v>9</v>
      </c>
      <c r="D323" s="29" t="s">
        <v>16</v>
      </c>
    </row>
    <row r="324" spans="1:4" ht="28.8" x14ac:dyDescent="0.3">
      <c r="A324" s="26" t="s">
        <v>627</v>
      </c>
      <c r="B324" s="28" t="s">
        <v>628</v>
      </c>
      <c r="C324" s="20">
        <v>1</v>
      </c>
      <c r="D324" s="29" t="s">
        <v>16</v>
      </c>
    </row>
    <row r="325" spans="1:4" x14ac:dyDescent="0.3">
      <c r="A325" s="26" t="s">
        <v>629</v>
      </c>
      <c r="B325" s="28" t="s">
        <v>630</v>
      </c>
      <c r="C325" s="20">
        <v>1</v>
      </c>
      <c r="D325" s="29" t="s">
        <v>16</v>
      </c>
    </row>
    <row r="326" spans="1:4" x14ac:dyDescent="0.3">
      <c r="A326" s="26" t="s">
        <v>631</v>
      </c>
      <c r="B326" s="28" t="s">
        <v>632</v>
      </c>
      <c r="C326" s="20">
        <v>13</v>
      </c>
      <c r="D326" s="29" t="s">
        <v>16</v>
      </c>
    </row>
    <row r="327" spans="1:4" x14ac:dyDescent="0.3">
      <c r="A327" s="26" t="s">
        <v>633</v>
      </c>
      <c r="B327" s="28" t="s">
        <v>634</v>
      </c>
      <c r="C327" s="20">
        <v>1</v>
      </c>
      <c r="D327" s="29" t="s">
        <v>16</v>
      </c>
    </row>
    <row r="328" spans="1:4" x14ac:dyDescent="0.3">
      <c r="A328" s="26" t="s">
        <v>635</v>
      </c>
      <c r="B328" s="28" t="s">
        <v>636</v>
      </c>
      <c r="C328" s="20">
        <v>1</v>
      </c>
      <c r="D328" s="29" t="s">
        <v>16</v>
      </c>
    </row>
    <row r="329" spans="1:4" x14ac:dyDescent="0.3">
      <c r="A329" s="26" t="s">
        <v>637</v>
      </c>
      <c r="B329" s="28" t="s">
        <v>638</v>
      </c>
      <c r="C329" s="20">
        <v>33</v>
      </c>
      <c r="D329" s="29" t="s">
        <v>16</v>
      </c>
    </row>
    <row r="330" spans="1:4" x14ac:dyDescent="0.3">
      <c r="A330" s="26" t="s">
        <v>639</v>
      </c>
      <c r="B330" s="28" t="s">
        <v>640</v>
      </c>
      <c r="C330" s="20">
        <v>37</v>
      </c>
      <c r="D330" s="29" t="s">
        <v>16</v>
      </c>
    </row>
    <row r="331" spans="1:4" x14ac:dyDescent="0.3">
      <c r="A331" s="26" t="s">
        <v>641</v>
      </c>
      <c r="B331" s="28" t="s">
        <v>642</v>
      </c>
      <c r="C331" s="20">
        <v>315</v>
      </c>
      <c r="D331" s="29" t="s">
        <v>16</v>
      </c>
    </row>
    <row r="332" spans="1:4" x14ac:dyDescent="0.3">
      <c r="A332" s="26" t="s">
        <v>643</v>
      </c>
      <c r="B332" s="28" t="s">
        <v>644</v>
      </c>
      <c r="C332" s="20">
        <v>1</v>
      </c>
      <c r="D332" s="29" t="s">
        <v>42</v>
      </c>
    </row>
    <row r="333" spans="1:4" x14ac:dyDescent="0.3">
      <c r="A333" s="26" t="s">
        <v>645</v>
      </c>
      <c r="B333" s="28" t="s">
        <v>646</v>
      </c>
      <c r="C333" s="20">
        <v>105</v>
      </c>
      <c r="D333" s="29" t="s">
        <v>16</v>
      </c>
    </row>
    <row r="334" spans="1:4" x14ac:dyDescent="0.3">
      <c r="A334" s="26" t="s">
        <v>647</v>
      </c>
      <c r="B334" s="28" t="s">
        <v>648</v>
      </c>
      <c r="C334" s="20">
        <v>1</v>
      </c>
      <c r="D334" s="29" t="s">
        <v>16</v>
      </c>
    </row>
    <row r="335" spans="1:4" x14ac:dyDescent="0.3">
      <c r="A335" s="18">
        <v>19100</v>
      </c>
      <c r="B335" s="28" t="s">
        <v>649</v>
      </c>
      <c r="C335" s="20">
        <v>50</v>
      </c>
      <c r="D335" s="29" t="s">
        <v>16</v>
      </c>
    </row>
    <row r="336" spans="1:4" x14ac:dyDescent="0.3">
      <c r="A336" s="18">
        <v>19101</v>
      </c>
      <c r="B336" s="28" t="s">
        <v>650</v>
      </c>
      <c r="C336" s="20">
        <v>110</v>
      </c>
      <c r="D336" s="29" t="s">
        <v>16</v>
      </c>
    </row>
    <row r="337" spans="1:4" x14ac:dyDescent="0.3">
      <c r="A337" s="18">
        <v>19102</v>
      </c>
      <c r="B337" s="28" t="s">
        <v>651</v>
      </c>
      <c r="C337" s="20">
        <v>93</v>
      </c>
      <c r="D337" s="29" t="s">
        <v>16</v>
      </c>
    </row>
    <row r="338" spans="1:4" ht="43.2" x14ac:dyDescent="0.3">
      <c r="A338" s="18">
        <v>19103</v>
      </c>
      <c r="B338" s="28" t="s">
        <v>652</v>
      </c>
      <c r="C338" s="20">
        <v>82</v>
      </c>
      <c r="D338" s="29" t="s">
        <v>16</v>
      </c>
    </row>
    <row r="339" spans="1:4" x14ac:dyDescent="0.3">
      <c r="A339" s="18">
        <v>19104</v>
      </c>
      <c r="B339" s="28" t="s">
        <v>653</v>
      </c>
      <c r="C339" s="20">
        <v>78</v>
      </c>
      <c r="D339" s="29" t="s">
        <v>16</v>
      </c>
    </row>
    <row r="340" spans="1:4" x14ac:dyDescent="0.3">
      <c r="A340" s="18">
        <v>19105</v>
      </c>
      <c r="B340" s="28" t="s">
        <v>654</v>
      </c>
      <c r="C340" s="20">
        <v>1</v>
      </c>
      <c r="D340" s="29" t="s">
        <v>16</v>
      </c>
    </row>
    <row r="341" spans="1:4" x14ac:dyDescent="0.3">
      <c r="A341" s="18">
        <v>19106</v>
      </c>
      <c r="B341" s="28" t="s">
        <v>655</v>
      </c>
      <c r="C341" s="20">
        <v>1</v>
      </c>
      <c r="D341" s="29" t="s">
        <v>42</v>
      </c>
    </row>
    <row r="342" spans="1:4" ht="28.8" x14ac:dyDescent="0.3">
      <c r="A342" s="18">
        <v>19107</v>
      </c>
      <c r="B342" s="28" t="s">
        <v>656</v>
      </c>
      <c r="C342" s="20">
        <v>9</v>
      </c>
      <c r="D342" s="29" t="s">
        <v>16</v>
      </c>
    </row>
    <row r="343" spans="1:4" x14ac:dyDescent="0.3">
      <c r="A343" s="18">
        <v>19108</v>
      </c>
      <c r="B343" s="28" t="s">
        <v>657</v>
      </c>
      <c r="C343" s="20">
        <v>1</v>
      </c>
      <c r="D343" s="29" t="s">
        <v>16</v>
      </c>
    </row>
    <row r="344" spans="1:4" ht="28.8" x14ac:dyDescent="0.3">
      <c r="A344" s="18">
        <v>19109</v>
      </c>
      <c r="B344" s="28" t="s">
        <v>658</v>
      </c>
      <c r="C344" s="20">
        <v>1</v>
      </c>
      <c r="D344" s="29" t="s">
        <v>16</v>
      </c>
    </row>
    <row r="345" spans="1:4" ht="28.8" x14ac:dyDescent="0.3">
      <c r="A345" s="18">
        <v>19110</v>
      </c>
      <c r="B345" s="28" t="s">
        <v>659</v>
      </c>
      <c r="C345" s="20">
        <v>18</v>
      </c>
      <c r="D345" s="29" t="s">
        <v>16</v>
      </c>
    </row>
    <row r="346" spans="1:4" x14ac:dyDescent="0.3">
      <c r="A346" s="18">
        <v>19111</v>
      </c>
      <c r="B346" s="28" t="s">
        <v>660</v>
      </c>
      <c r="C346" s="20">
        <v>7</v>
      </c>
      <c r="D346" s="29" t="s">
        <v>16</v>
      </c>
    </row>
    <row r="347" spans="1:4" x14ac:dyDescent="0.3">
      <c r="A347" s="18">
        <v>19112</v>
      </c>
      <c r="B347" s="28" t="s">
        <v>661</v>
      </c>
      <c r="C347" s="20">
        <v>1</v>
      </c>
      <c r="D347" s="29" t="s">
        <v>16</v>
      </c>
    </row>
    <row r="348" spans="1:4" x14ac:dyDescent="0.3">
      <c r="A348" s="18">
        <v>19113</v>
      </c>
      <c r="B348" s="28" t="s">
        <v>662</v>
      </c>
      <c r="C348" s="20">
        <v>1</v>
      </c>
      <c r="D348" s="29" t="s">
        <v>16</v>
      </c>
    </row>
    <row r="349" spans="1:4" x14ac:dyDescent="0.3">
      <c r="A349" s="18">
        <v>19114</v>
      </c>
      <c r="B349" s="28" t="s">
        <v>663</v>
      </c>
      <c r="C349" s="20">
        <v>1</v>
      </c>
      <c r="D349" s="29" t="s">
        <v>16</v>
      </c>
    </row>
    <row r="350" spans="1:4" x14ac:dyDescent="0.3">
      <c r="A350" s="18">
        <v>19115</v>
      </c>
      <c r="B350" s="28" t="s">
        <v>664</v>
      </c>
      <c r="C350" s="20">
        <v>1</v>
      </c>
      <c r="D350" s="29" t="s">
        <v>16</v>
      </c>
    </row>
    <row r="351" spans="1:4" x14ac:dyDescent="0.3">
      <c r="A351" s="18">
        <v>19116</v>
      </c>
      <c r="B351" s="28" t="s">
        <v>665</v>
      </c>
      <c r="C351" s="20">
        <v>1</v>
      </c>
      <c r="D351" s="29" t="s">
        <v>42</v>
      </c>
    </row>
    <row r="352" spans="1:4" x14ac:dyDescent="0.3">
      <c r="A352" s="18">
        <v>19117</v>
      </c>
      <c r="B352" s="28" t="s">
        <v>666</v>
      </c>
      <c r="C352" s="20">
        <v>1</v>
      </c>
      <c r="D352" s="29" t="s">
        <v>42</v>
      </c>
    </row>
    <row r="353" spans="1:4" x14ac:dyDescent="0.3">
      <c r="A353" s="18">
        <v>19118</v>
      </c>
      <c r="B353" s="28" t="s">
        <v>667</v>
      </c>
      <c r="C353" s="20">
        <v>1</v>
      </c>
      <c r="D353" s="29" t="s">
        <v>42</v>
      </c>
    </row>
    <row r="354" spans="1:4" x14ac:dyDescent="0.3">
      <c r="A354" s="18">
        <v>19119</v>
      </c>
      <c r="B354" s="28" t="s">
        <v>668</v>
      </c>
      <c r="C354" s="20">
        <v>14</v>
      </c>
      <c r="D354" s="29" t="s">
        <v>16</v>
      </c>
    </row>
    <row r="355" spans="1:4" x14ac:dyDescent="0.3">
      <c r="A355" s="18">
        <v>19120</v>
      </c>
      <c r="B355" s="28" t="s">
        <v>669</v>
      </c>
      <c r="C355" s="20">
        <v>1</v>
      </c>
      <c r="D355" s="29" t="s">
        <v>16</v>
      </c>
    </row>
    <row r="356" spans="1:4" x14ac:dyDescent="0.3">
      <c r="A356" s="18">
        <v>19121</v>
      </c>
      <c r="B356" s="28" t="s">
        <v>670</v>
      </c>
      <c r="C356" s="20">
        <v>1</v>
      </c>
      <c r="D356" s="29" t="s">
        <v>16</v>
      </c>
    </row>
    <row r="357" spans="1:4" ht="28.8" x14ac:dyDescent="0.3">
      <c r="A357" s="18">
        <v>19122</v>
      </c>
      <c r="B357" s="28" t="s">
        <v>671</v>
      </c>
      <c r="C357" s="20">
        <v>895</v>
      </c>
      <c r="D357" s="29" t="s">
        <v>42</v>
      </c>
    </row>
    <row r="358" spans="1:4" x14ac:dyDescent="0.3">
      <c r="A358" s="18">
        <v>19123</v>
      </c>
      <c r="B358" s="28" t="s">
        <v>672</v>
      </c>
      <c r="C358" s="20">
        <v>675</v>
      </c>
      <c r="D358" s="29" t="s">
        <v>16</v>
      </c>
    </row>
    <row r="359" spans="1:4" x14ac:dyDescent="0.3">
      <c r="A359" s="18">
        <v>19124</v>
      </c>
      <c r="B359" s="28" t="s">
        <v>673</v>
      </c>
      <c r="C359" s="20">
        <v>11</v>
      </c>
      <c r="D359" s="29" t="s">
        <v>16</v>
      </c>
    </row>
    <row r="360" spans="1:4" x14ac:dyDescent="0.3">
      <c r="A360" s="18">
        <v>19125</v>
      </c>
      <c r="B360" s="28" t="s">
        <v>674</v>
      </c>
      <c r="C360" s="20">
        <v>1</v>
      </c>
      <c r="D360" s="29" t="s">
        <v>16</v>
      </c>
    </row>
    <row r="361" spans="1:4" ht="28.8" x14ac:dyDescent="0.3">
      <c r="A361" s="18">
        <v>19126</v>
      </c>
      <c r="B361" s="28" t="s">
        <v>675</v>
      </c>
      <c r="C361" s="20">
        <v>1</v>
      </c>
      <c r="D361" s="29" t="s">
        <v>16</v>
      </c>
    </row>
    <row r="362" spans="1:4" x14ac:dyDescent="0.3">
      <c r="A362" s="18">
        <v>19127</v>
      </c>
      <c r="B362" s="28" t="s">
        <v>676</v>
      </c>
      <c r="C362" s="20">
        <v>159</v>
      </c>
      <c r="D362" s="29" t="s">
        <v>16</v>
      </c>
    </row>
    <row r="363" spans="1:4" x14ac:dyDescent="0.3">
      <c r="A363" s="18">
        <v>19128</v>
      </c>
      <c r="B363" s="28" t="s">
        <v>677</v>
      </c>
      <c r="C363" s="20">
        <v>26</v>
      </c>
      <c r="D363" s="29" t="s">
        <v>16</v>
      </c>
    </row>
    <row r="364" spans="1:4" x14ac:dyDescent="0.3">
      <c r="A364" s="18">
        <v>19129</v>
      </c>
      <c r="B364" s="28" t="s">
        <v>678</v>
      </c>
      <c r="C364" s="20">
        <v>1</v>
      </c>
      <c r="D364" s="29" t="s">
        <v>42</v>
      </c>
    </row>
    <row r="365" spans="1:4" x14ac:dyDescent="0.3">
      <c r="A365" s="18">
        <v>19130</v>
      </c>
      <c r="B365" s="28" t="s">
        <v>679</v>
      </c>
      <c r="C365" s="20">
        <v>1</v>
      </c>
      <c r="D365" s="29" t="s">
        <v>42</v>
      </c>
    </row>
    <row r="366" spans="1:4" x14ac:dyDescent="0.3">
      <c r="A366" s="30">
        <v>20</v>
      </c>
      <c r="B366" s="31" t="s">
        <v>680</v>
      </c>
      <c r="C366" s="16"/>
      <c r="D366" s="17"/>
    </row>
    <row r="367" spans="1:4" ht="28.8" x14ac:dyDescent="0.3">
      <c r="A367" s="32" t="s">
        <v>681</v>
      </c>
      <c r="B367" s="19" t="s">
        <v>682</v>
      </c>
      <c r="C367" s="20">
        <v>1</v>
      </c>
      <c r="D367" s="21" t="s">
        <v>76</v>
      </c>
    </row>
    <row r="368" spans="1:4" ht="28.8" x14ac:dyDescent="0.3">
      <c r="A368" s="32" t="s">
        <v>683</v>
      </c>
      <c r="B368" s="19" t="s">
        <v>684</v>
      </c>
      <c r="C368" s="20">
        <v>1</v>
      </c>
      <c r="D368" s="21" t="s">
        <v>76</v>
      </c>
    </row>
    <row r="369" spans="1:4" ht="28.8" x14ac:dyDescent="0.3">
      <c r="A369" s="32" t="s">
        <v>685</v>
      </c>
      <c r="B369" s="19" t="s">
        <v>686</v>
      </c>
      <c r="C369" s="20">
        <v>1</v>
      </c>
      <c r="D369" s="21" t="s">
        <v>76</v>
      </c>
    </row>
    <row r="370" spans="1:4" ht="28.8" x14ac:dyDescent="0.3">
      <c r="A370" s="32" t="s">
        <v>687</v>
      </c>
      <c r="B370" s="19" t="s">
        <v>688</v>
      </c>
      <c r="C370" s="20">
        <v>1</v>
      </c>
      <c r="D370" s="21" t="s">
        <v>76</v>
      </c>
    </row>
    <row r="371" spans="1:4" ht="28.8" x14ac:dyDescent="0.3">
      <c r="A371" s="32" t="s">
        <v>689</v>
      </c>
      <c r="B371" s="19" t="s">
        <v>690</v>
      </c>
      <c r="C371" s="20">
        <v>1</v>
      </c>
      <c r="D371" s="21" t="s">
        <v>76</v>
      </c>
    </row>
    <row r="372" spans="1:4" ht="28.8" x14ac:dyDescent="0.3">
      <c r="A372" s="32" t="s">
        <v>691</v>
      </c>
      <c r="B372" s="19" t="s">
        <v>692</v>
      </c>
      <c r="C372" s="20">
        <v>1</v>
      </c>
      <c r="D372" s="21" t="s">
        <v>76</v>
      </c>
    </row>
    <row r="373" spans="1:4" ht="28.8" x14ac:dyDescent="0.3">
      <c r="A373" s="32" t="s">
        <v>693</v>
      </c>
      <c r="B373" s="19" t="s">
        <v>694</v>
      </c>
      <c r="C373" s="20">
        <v>1</v>
      </c>
      <c r="D373" s="21" t="s">
        <v>76</v>
      </c>
    </row>
    <row r="374" spans="1:4" ht="28.8" x14ac:dyDescent="0.3">
      <c r="A374" s="32" t="s">
        <v>695</v>
      </c>
      <c r="B374" s="19" t="s">
        <v>696</v>
      </c>
      <c r="C374" s="20">
        <v>1</v>
      </c>
      <c r="D374" s="21" t="s">
        <v>76</v>
      </c>
    </row>
    <row r="375" spans="1:4" ht="28.8" x14ac:dyDescent="0.3">
      <c r="A375" s="32" t="s">
        <v>697</v>
      </c>
      <c r="B375" s="19" t="s">
        <v>698</v>
      </c>
      <c r="C375" s="20">
        <v>1</v>
      </c>
      <c r="D375" s="21" t="s">
        <v>76</v>
      </c>
    </row>
    <row r="376" spans="1:4" x14ac:dyDescent="0.3">
      <c r="A376" s="32" t="s">
        <v>699</v>
      </c>
      <c r="B376" s="19" t="s">
        <v>700</v>
      </c>
      <c r="C376" s="20">
        <v>1</v>
      </c>
      <c r="D376" s="21" t="s">
        <v>76</v>
      </c>
    </row>
    <row r="377" spans="1:4" x14ac:dyDescent="0.3">
      <c r="A377" s="32" t="s">
        <v>701</v>
      </c>
      <c r="B377" s="19" t="s">
        <v>702</v>
      </c>
      <c r="C377" s="20">
        <v>1</v>
      </c>
      <c r="D377" s="21" t="s">
        <v>76</v>
      </c>
    </row>
    <row r="378" spans="1:4" ht="28.8" x14ac:dyDescent="0.3">
      <c r="A378" s="32" t="s">
        <v>703</v>
      </c>
      <c r="B378" s="19" t="s">
        <v>704</v>
      </c>
      <c r="C378" s="20">
        <v>11</v>
      </c>
      <c r="D378" s="21" t="s">
        <v>76</v>
      </c>
    </row>
    <row r="379" spans="1:4" ht="28.8" x14ac:dyDescent="0.3">
      <c r="A379" s="32" t="s">
        <v>705</v>
      </c>
      <c r="B379" s="19" t="s">
        <v>706</v>
      </c>
      <c r="C379" s="20">
        <v>1</v>
      </c>
      <c r="D379" s="21" t="s">
        <v>76</v>
      </c>
    </row>
    <row r="380" spans="1:4" ht="28.8" x14ac:dyDescent="0.3">
      <c r="A380" s="32" t="s">
        <v>707</v>
      </c>
      <c r="B380" s="19" t="s">
        <v>708</v>
      </c>
      <c r="C380" s="20">
        <v>379</v>
      </c>
      <c r="D380" s="21" t="s">
        <v>76</v>
      </c>
    </row>
    <row r="381" spans="1:4" ht="43.2" x14ac:dyDescent="0.3">
      <c r="A381" s="32" t="s">
        <v>709</v>
      </c>
      <c r="B381" s="19" t="s">
        <v>710</v>
      </c>
      <c r="C381" s="20">
        <v>93</v>
      </c>
      <c r="D381" s="21" t="s">
        <v>76</v>
      </c>
    </row>
    <row r="382" spans="1:4" ht="28.8" x14ac:dyDescent="0.3">
      <c r="A382" s="32" t="s">
        <v>711</v>
      </c>
      <c r="B382" s="19" t="s">
        <v>712</v>
      </c>
      <c r="C382" s="20">
        <v>219</v>
      </c>
      <c r="D382" s="21" t="s">
        <v>76</v>
      </c>
    </row>
    <row r="383" spans="1:4" ht="28.8" x14ac:dyDescent="0.3">
      <c r="A383" s="32" t="s">
        <v>713</v>
      </c>
      <c r="B383" s="19" t="s">
        <v>714</v>
      </c>
      <c r="C383" s="20">
        <v>24</v>
      </c>
      <c r="D383" s="21" t="s">
        <v>715</v>
      </c>
    </row>
    <row r="384" spans="1:4" x14ac:dyDescent="0.3">
      <c r="A384" s="32" t="s">
        <v>716</v>
      </c>
      <c r="B384" s="19" t="s">
        <v>717</v>
      </c>
      <c r="C384" s="20">
        <v>33</v>
      </c>
      <c r="D384" s="21" t="s">
        <v>76</v>
      </c>
    </row>
    <row r="385" spans="1:4" x14ac:dyDescent="0.3">
      <c r="A385" s="32" t="s">
        <v>718</v>
      </c>
      <c r="B385" s="19" t="s">
        <v>719</v>
      </c>
      <c r="C385" s="20">
        <v>1</v>
      </c>
      <c r="D385" s="21" t="s">
        <v>76</v>
      </c>
    </row>
    <row r="386" spans="1:4" x14ac:dyDescent="0.3">
      <c r="A386" s="32" t="s">
        <v>720</v>
      </c>
      <c r="B386" s="19" t="s">
        <v>721</v>
      </c>
      <c r="C386" s="20">
        <v>281</v>
      </c>
      <c r="D386" s="21" t="s">
        <v>76</v>
      </c>
    </row>
    <row r="387" spans="1:4" x14ac:dyDescent="0.3">
      <c r="A387" s="32" t="s">
        <v>722</v>
      </c>
      <c r="B387" s="19" t="s">
        <v>723</v>
      </c>
      <c r="C387" s="20">
        <v>1</v>
      </c>
      <c r="D387" s="21" t="s">
        <v>76</v>
      </c>
    </row>
    <row r="388" spans="1:4" x14ac:dyDescent="0.3">
      <c r="A388" s="32" t="s">
        <v>724</v>
      </c>
      <c r="B388" s="19" t="s">
        <v>725</v>
      </c>
      <c r="C388" s="20">
        <v>1</v>
      </c>
      <c r="D388" s="21" t="s">
        <v>76</v>
      </c>
    </row>
    <row r="389" spans="1:4" ht="28.8" x14ac:dyDescent="0.3">
      <c r="A389" s="32" t="s">
        <v>726</v>
      </c>
      <c r="B389" s="19" t="s">
        <v>727</v>
      </c>
      <c r="C389" s="20">
        <v>1</v>
      </c>
      <c r="D389" s="21" t="s">
        <v>76</v>
      </c>
    </row>
    <row r="390" spans="1:4" x14ac:dyDescent="0.3">
      <c r="A390" s="30">
        <v>21</v>
      </c>
      <c r="B390" s="31" t="s">
        <v>728</v>
      </c>
      <c r="C390" s="16"/>
      <c r="D390" s="17"/>
    </row>
    <row r="391" spans="1:4" ht="28.8" x14ac:dyDescent="0.3">
      <c r="A391" s="32" t="s">
        <v>729</v>
      </c>
      <c r="B391" s="19" t="s">
        <v>730</v>
      </c>
      <c r="C391" s="20">
        <v>48</v>
      </c>
      <c r="D391" s="21" t="s">
        <v>42</v>
      </c>
    </row>
    <row r="392" spans="1:4" ht="28.8" x14ac:dyDescent="0.3">
      <c r="A392" s="32" t="s">
        <v>731</v>
      </c>
      <c r="B392" s="19" t="s">
        <v>732</v>
      </c>
      <c r="C392" s="20">
        <v>1</v>
      </c>
      <c r="D392" s="21" t="s">
        <v>76</v>
      </c>
    </row>
    <row r="393" spans="1:4" x14ac:dyDescent="0.3">
      <c r="A393" s="32" t="s">
        <v>733</v>
      </c>
      <c r="B393" s="19" t="s">
        <v>734</v>
      </c>
      <c r="C393" s="20">
        <v>1</v>
      </c>
      <c r="D393" s="21" t="s">
        <v>76</v>
      </c>
    </row>
    <row r="394" spans="1:4" x14ac:dyDescent="0.3">
      <c r="A394" s="32" t="s">
        <v>735</v>
      </c>
      <c r="B394" s="19" t="s">
        <v>736</v>
      </c>
      <c r="C394" s="20">
        <v>1</v>
      </c>
      <c r="D394" s="21" t="s">
        <v>76</v>
      </c>
    </row>
    <row r="395" spans="1:4" x14ac:dyDescent="0.3">
      <c r="A395" s="32" t="s">
        <v>737</v>
      </c>
      <c r="B395" s="19" t="s">
        <v>738</v>
      </c>
      <c r="C395" s="20">
        <v>1</v>
      </c>
      <c r="D395" s="21" t="s">
        <v>76</v>
      </c>
    </row>
    <row r="396" spans="1:4" ht="28.8" x14ac:dyDescent="0.3">
      <c r="A396" s="32" t="s">
        <v>739</v>
      </c>
      <c r="B396" s="19" t="s">
        <v>740</v>
      </c>
      <c r="C396" s="20">
        <v>1</v>
      </c>
      <c r="D396" s="21" t="s">
        <v>76</v>
      </c>
    </row>
    <row r="397" spans="1:4" x14ac:dyDescent="0.3">
      <c r="A397" s="32" t="s">
        <v>741</v>
      </c>
      <c r="B397" s="19" t="s">
        <v>742</v>
      </c>
      <c r="C397" s="20">
        <v>7</v>
      </c>
      <c r="D397" s="21" t="s">
        <v>76</v>
      </c>
    </row>
    <row r="398" spans="1:4" x14ac:dyDescent="0.3">
      <c r="A398" s="32" t="s">
        <v>743</v>
      </c>
      <c r="B398" s="19" t="s">
        <v>744</v>
      </c>
      <c r="C398" s="20">
        <v>11</v>
      </c>
      <c r="D398" s="21" t="s">
        <v>76</v>
      </c>
    </row>
    <row r="399" spans="1:4" ht="28.8" x14ac:dyDescent="0.3">
      <c r="A399" s="32" t="s">
        <v>745</v>
      </c>
      <c r="B399" s="19" t="s">
        <v>746</v>
      </c>
      <c r="C399" s="20">
        <v>508</v>
      </c>
      <c r="D399" s="21" t="s">
        <v>16</v>
      </c>
    </row>
    <row r="400" spans="1:4" x14ac:dyDescent="0.3">
      <c r="A400" s="32" t="s">
        <v>747</v>
      </c>
      <c r="B400" s="19" t="s">
        <v>748</v>
      </c>
      <c r="C400" s="20">
        <v>1</v>
      </c>
      <c r="D400" s="21" t="s">
        <v>76</v>
      </c>
    </row>
    <row r="401" spans="1:4" x14ac:dyDescent="0.3">
      <c r="A401" s="32" t="s">
        <v>749</v>
      </c>
      <c r="B401" s="19" t="s">
        <v>750</v>
      </c>
      <c r="C401" s="20">
        <v>1</v>
      </c>
      <c r="D401" s="21" t="s">
        <v>76</v>
      </c>
    </row>
    <row r="402" spans="1:4" x14ac:dyDescent="0.3">
      <c r="A402" s="32" t="s">
        <v>751</v>
      </c>
      <c r="B402" s="19" t="s">
        <v>752</v>
      </c>
      <c r="C402" s="20">
        <v>1</v>
      </c>
      <c r="D402" s="21" t="s">
        <v>76</v>
      </c>
    </row>
    <row r="403" spans="1:4" x14ac:dyDescent="0.3">
      <c r="A403" s="32" t="s">
        <v>753</v>
      </c>
      <c r="B403" s="19" t="s">
        <v>754</v>
      </c>
      <c r="C403" s="20">
        <v>1</v>
      </c>
      <c r="D403" s="21" t="s">
        <v>76</v>
      </c>
    </row>
    <row r="404" spans="1:4" ht="28.8" x14ac:dyDescent="0.3">
      <c r="A404" s="30">
        <v>22</v>
      </c>
      <c r="B404" s="31" t="s">
        <v>755</v>
      </c>
      <c r="C404" s="16"/>
      <c r="D404" s="17"/>
    </row>
    <row r="405" spans="1:4" ht="28.8" x14ac:dyDescent="0.3">
      <c r="A405" s="32" t="s">
        <v>756</v>
      </c>
      <c r="B405" s="19" t="s">
        <v>757</v>
      </c>
      <c r="C405" s="20">
        <v>35</v>
      </c>
      <c r="D405" s="21" t="s">
        <v>76</v>
      </c>
    </row>
    <row r="406" spans="1:4" ht="28.8" x14ac:dyDescent="0.3">
      <c r="A406" s="32" t="s">
        <v>758</v>
      </c>
      <c r="B406" s="19" t="s">
        <v>759</v>
      </c>
      <c r="C406" s="20">
        <v>11</v>
      </c>
      <c r="D406" s="21" t="s">
        <v>76</v>
      </c>
    </row>
    <row r="407" spans="1:4" x14ac:dyDescent="0.3">
      <c r="A407" s="32" t="s">
        <v>760</v>
      </c>
      <c r="B407" s="19" t="s">
        <v>761</v>
      </c>
      <c r="C407" s="20">
        <v>170</v>
      </c>
      <c r="D407" s="21" t="s">
        <v>76</v>
      </c>
    </row>
    <row r="408" spans="1:4" x14ac:dyDescent="0.3">
      <c r="A408" s="32" t="s">
        <v>762</v>
      </c>
      <c r="B408" s="19" t="s">
        <v>763</v>
      </c>
      <c r="C408" s="20">
        <v>22</v>
      </c>
      <c r="D408" s="21" t="s">
        <v>76</v>
      </c>
    </row>
    <row r="409" spans="1:4" x14ac:dyDescent="0.3">
      <c r="A409" s="32" t="s">
        <v>764</v>
      </c>
      <c r="B409" s="19" t="s">
        <v>765</v>
      </c>
      <c r="C409" s="20">
        <v>7</v>
      </c>
      <c r="D409" s="21" t="s">
        <v>76</v>
      </c>
    </row>
    <row r="410" spans="1:4" x14ac:dyDescent="0.3">
      <c r="A410" s="32" t="s">
        <v>766</v>
      </c>
      <c r="B410" s="19" t="s">
        <v>767</v>
      </c>
      <c r="C410" s="20">
        <v>9</v>
      </c>
      <c r="D410" s="21" t="s">
        <v>76</v>
      </c>
    </row>
    <row r="411" spans="1:4" x14ac:dyDescent="0.3">
      <c r="A411" s="32" t="s">
        <v>768</v>
      </c>
      <c r="B411" s="19" t="s">
        <v>769</v>
      </c>
      <c r="C411" s="20">
        <v>105</v>
      </c>
      <c r="D411" s="21" t="s">
        <v>76</v>
      </c>
    </row>
    <row r="412" spans="1:4" x14ac:dyDescent="0.3">
      <c r="A412" s="32" t="s">
        <v>770</v>
      </c>
      <c r="B412" s="19" t="s">
        <v>771</v>
      </c>
      <c r="C412" s="20">
        <v>1</v>
      </c>
      <c r="D412" s="21" t="s">
        <v>76</v>
      </c>
    </row>
    <row r="413" spans="1:4" x14ac:dyDescent="0.3">
      <c r="A413" s="32" t="s">
        <v>772</v>
      </c>
      <c r="B413" s="19" t="s">
        <v>773</v>
      </c>
      <c r="C413" s="20">
        <v>1</v>
      </c>
      <c r="D413" s="21" t="s">
        <v>976</v>
      </c>
    </row>
    <row r="414" spans="1:4" x14ac:dyDescent="0.3">
      <c r="A414" s="32" t="s">
        <v>774</v>
      </c>
      <c r="B414" s="19" t="s">
        <v>775</v>
      </c>
      <c r="C414" s="20">
        <v>1</v>
      </c>
      <c r="D414" s="21" t="s">
        <v>76</v>
      </c>
    </row>
    <row r="415" spans="1:4" x14ac:dyDescent="0.3">
      <c r="A415" s="32" t="s">
        <v>776</v>
      </c>
      <c r="B415" s="19" t="s">
        <v>777</v>
      </c>
      <c r="C415" s="20">
        <v>1</v>
      </c>
      <c r="D415" s="21" t="s">
        <v>76</v>
      </c>
    </row>
    <row r="416" spans="1:4" x14ac:dyDescent="0.3">
      <c r="A416" s="30">
        <v>23</v>
      </c>
      <c r="B416" s="31" t="s">
        <v>778</v>
      </c>
      <c r="C416" s="16"/>
      <c r="D416" s="17"/>
    </row>
    <row r="417" spans="1:4" x14ac:dyDescent="0.3">
      <c r="A417" s="30">
        <v>24</v>
      </c>
      <c r="B417" s="31" t="s">
        <v>779</v>
      </c>
      <c r="C417" s="16"/>
      <c r="D417" s="17"/>
    </row>
    <row r="418" spans="1:4" x14ac:dyDescent="0.3">
      <c r="A418" s="30">
        <v>25</v>
      </c>
      <c r="B418" s="31" t="s">
        <v>780</v>
      </c>
      <c r="C418" s="16"/>
      <c r="D418" s="17"/>
    </row>
    <row r="419" spans="1:4" x14ac:dyDescent="0.3">
      <c r="A419" s="30">
        <v>26</v>
      </c>
      <c r="B419" s="33" t="s">
        <v>781</v>
      </c>
      <c r="C419" s="16"/>
      <c r="D419" s="17"/>
    </row>
    <row r="420" spans="1:4" x14ac:dyDescent="0.3">
      <c r="A420" s="30">
        <v>27</v>
      </c>
      <c r="B420" s="31" t="s">
        <v>782</v>
      </c>
      <c r="C420" s="16"/>
      <c r="D420" s="17"/>
    </row>
    <row r="421" spans="1:4" x14ac:dyDescent="0.3">
      <c r="A421" s="30">
        <v>28</v>
      </c>
      <c r="B421" s="31" t="s">
        <v>783</v>
      </c>
      <c r="C421" s="16"/>
      <c r="D421" s="17"/>
    </row>
    <row r="422" spans="1:4" ht="28.8" x14ac:dyDescent="0.3">
      <c r="A422" s="32" t="s">
        <v>784</v>
      </c>
      <c r="B422" s="27" t="s">
        <v>785</v>
      </c>
      <c r="C422" s="20">
        <v>1</v>
      </c>
      <c r="D422" s="21" t="s">
        <v>976</v>
      </c>
    </row>
    <row r="423" spans="1:4" x14ac:dyDescent="0.3">
      <c r="A423" s="32" t="s">
        <v>786</v>
      </c>
      <c r="B423" s="19" t="s">
        <v>787</v>
      </c>
      <c r="C423" s="20">
        <v>1</v>
      </c>
      <c r="D423" s="21" t="s">
        <v>976</v>
      </c>
    </row>
    <row r="424" spans="1:4" ht="28.8" x14ac:dyDescent="0.3">
      <c r="A424" s="32" t="s">
        <v>788</v>
      </c>
      <c r="B424" s="19" t="s">
        <v>789</v>
      </c>
      <c r="C424" s="20">
        <v>9</v>
      </c>
      <c r="D424" s="21" t="s">
        <v>976</v>
      </c>
    </row>
    <row r="425" spans="1:4" ht="28.8" x14ac:dyDescent="0.3">
      <c r="A425" s="32" t="s">
        <v>790</v>
      </c>
      <c r="B425" s="19" t="s">
        <v>791</v>
      </c>
      <c r="C425" s="20">
        <v>1</v>
      </c>
      <c r="D425" s="21" t="s">
        <v>976</v>
      </c>
    </row>
    <row r="426" spans="1:4" x14ac:dyDescent="0.3">
      <c r="A426" s="32" t="s">
        <v>792</v>
      </c>
      <c r="B426" s="19" t="s">
        <v>793</v>
      </c>
      <c r="C426" s="20">
        <v>1</v>
      </c>
      <c r="D426" s="21" t="s">
        <v>976</v>
      </c>
    </row>
    <row r="427" spans="1:4" ht="28.8" x14ac:dyDescent="0.3">
      <c r="A427" s="32" t="s">
        <v>794</v>
      </c>
      <c r="B427" s="19" t="s">
        <v>795</v>
      </c>
      <c r="C427" s="20">
        <v>1</v>
      </c>
      <c r="D427" s="21" t="s">
        <v>976</v>
      </c>
    </row>
    <row r="428" spans="1:4" x14ac:dyDescent="0.3">
      <c r="A428" s="32" t="s">
        <v>796</v>
      </c>
      <c r="B428" s="19" t="s">
        <v>797</v>
      </c>
      <c r="C428" s="20">
        <v>1</v>
      </c>
      <c r="D428" s="21" t="s">
        <v>976</v>
      </c>
    </row>
    <row r="429" spans="1:4" x14ac:dyDescent="0.3">
      <c r="A429" s="32" t="s">
        <v>798</v>
      </c>
      <c r="B429" s="19" t="s">
        <v>799</v>
      </c>
      <c r="C429" s="20">
        <v>1</v>
      </c>
      <c r="D429" s="21" t="s">
        <v>976</v>
      </c>
    </row>
    <row r="430" spans="1:4" x14ac:dyDescent="0.3">
      <c r="A430" s="32" t="s">
        <v>800</v>
      </c>
      <c r="B430" s="19" t="s">
        <v>801</v>
      </c>
      <c r="C430" s="20">
        <v>97</v>
      </c>
      <c r="D430" s="21" t="s">
        <v>976</v>
      </c>
    </row>
    <row r="431" spans="1:4" x14ac:dyDescent="0.3">
      <c r="A431" s="32" t="s">
        <v>802</v>
      </c>
      <c r="B431" s="19" t="s">
        <v>803</v>
      </c>
      <c r="C431" s="20">
        <v>1</v>
      </c>
      <c r="D431" s="21" t="s">
        <v>976</v>
      </c>
    </row>
    <row r="432" spans="1:4" x14ac:dyDescent="0.3">
      <c r="A432" s="32" t="s">
        <v>804</v>
      </c>
      <c r="B432" s="19" t="s">
        <v>805</v>
      </c>
      <c r="C432" s="20">
        <v>107</v>
      </c>
      <c r="D432" s="21" t="s">
        <v>976</v>
      </c>
    </row>
    <row r="433" spans="1:4" x14ac:dyDescent="0.3">
      <c r="A433" s="32" t="s">
        <v>806</v>
      </c>
      <c r="B433" s="19" t="s">
        <v>807</v>
      </c>
      <c r="C433" s="20">
        <v>1</v>
      </c>
      <c r="D433" s="21" t="s">
        <v>976</v>
      </c>
    </row>
    <row r="434" spans="1:4" x14ac:dyDescent="0.3">
      <c r="A434" s="32" t="s">
        <v>808</v>
      </c>
      <c r="B434" s="19" t="s">
        <v>809</v>
      </c>
      <c r="C434" s="20">
        <v>7</v>
      </c>
      <c r="D434" s="21" t="s">
        <v>976</v>
      </c>
    </row>
    <row r="435" spans="1:4" x14ac:dyDescent="0.3">
      <c r="A435" s="32" t="s">
        <v>810</v>
      </c>
      <c r="B435" s="19" t="s">
        <v>811</v>
      </c>
      <c r="C435" s="20">
        <v>1</v>
      </c>
      <c r="D435" s="21" t="s">
        <v>976</v>
      </c>
    </row>
    <row r="436" spans="1:4" x14ac:dyDescent="0.3">
      <c r="A436" s="32" t="s">
        <v>812</v>
      </c>
      <c r="B436" s="19" t="s">
        <v>813</v>
      </c>
      <c r="C436" s="20">
        <v>1</v>
      </c>
      <c r="D436" s="21" t="s">
        <v>976</v>
      </c>
    </row>
    <row r="437" spans="1:4" x14ac:dyDescent="0.3">
      <c r="A437" s="32" t="s">
        <v>814</v>
      </c>
      <c r="B437" s="19" t="s">
        <v>815</v>
      </c>
      <c r="C437" s="20">
        <v>1</v>
      </c>
      <c r="D437" s="21" t="s">
        <v>976</v>
      </c>
    </row>
    <row r="438" spans="1:4" x14ac:dyDescent="0.3">
      <c r="A438" s="32" t="s">
        <v>816</v>
      </c>
      <c r="B438" s="19" t="s">
        <v>817</v>
      </c>
      <c r="C438" s="20">
        <v>15</v>
      </c>
      <c r="D438" s="21" t="s">
        <v>976</v>
      </c>
    </row>
    <row r="439" spans="1:4" x14ac:dyDescent="0.3">
      <c r="A439" s="32" t="s">
        <v>818</v>
      </c>
      <c r="B439" s="19" t="s">
        <v>819</v>
      </c>
      <c r="C439" s="20">
        <v>1</v>
      </c>
      <c r="D439" s="21" t="s">
        <v>976</v>
      </c>
    </row>
    <row r="440" spans="1:4" x14ac:dyDescent="0.3">
      <c r="A440" s="32" t="s">
        <v>820</v>
      </c>
      <c r="B440" s="19" t="s">
        <v>821</v>
      </c>
      <c r="C440" s="20">
        <v>73</v>
      </c>
      <c r="D440" s="21" t="s">
        <v>976</v>
      </c>
    </row>
    <row r="441" spans="1:4" x14ac:dyDescent="0.3">
      <c r="A441" s="32" t="s">
        <v>822</v>
      </c>
      <c r="B441" s="19" t="s">
        <v>823</v>
      </c>
      <c r="C441" s="20">
        <v>48</v>
      </c>
      <c r="D441" s="21" t="s">
        <v>976</v>
      </c>
    </row>
    <row r="442" spans="1:4" x14ac:dyDescent="0.3">
      <c r="A442" s="32" t="s">
        <v>824</v>
      </c>
      <c r="B442" s="19" t="s">
        <v>825</v>
      </c>
      <c r="C442" s="20">
        <v>13</v>
      </c>
      <c r="D442" s="21" t="s">
        <v>976</v>
      </c>
    </row>
    <row r="443" spans="1:4" ht="28.8" x14ac:dyDescent="0.3">
      <c r="A443" s="32" t="s">
        <v>826</v>
      </c>
      <c r="B443" s="19" t="s">
        <v>827</v>
      </c>
      <c r="C443" s="20">
        <v>41</v>
      </c>
      <c r="D443" s="21" t="s">
        <v>976</v>
      </c>
    </row>
    <row r="444" spans="1:4" x14ac:dyDescent="0.3">
      <c r="A444" s="32" t="s">
        <v>828</v>
      </c>
      <c r="B444" s="19" t="s">
        <v>829</v>
      </c>
      <c r="C444" s="20">
        <v>1</v>
      </c>
      <c r="D444" s="21" t="s">
        <v>976</v>
      </c>
    </row>
    <row r="445" spans="1:4" x14ac:dyDescent="0.3">
      <c r="A445" s="32" t="s">
        <v>830</v>
      </c>
      <c r="B445" s="19" t="s">
        <v>831</v>
      </c>
      <c r="C445" s="20">
        <v>11</v>
      </c>
      <c r="D445" s="21" t="s">
        <v>976</v>
      </c>
    </row>
    <row r="446" spans="1:4" x14ac:dyDescent="0.3">
      <c r="A446" s="32" t="s">
        <v>832</v>
      </c>
      <c r="B446" s="27" t="s">
        <v>833</v>
      </c>
      <c r="C446" s="20">
        <v>114</v>
      </c>
      <c r="D446" s="21" t="s">
        <v>976</v>
      </c>
    </row>
    <row r="447" spans="1:4" x14ac:dyDescent="0.3">
      <c r="A447" s="32" t="s">
        <v>834</v>
      </c>
      <c r="B447" s="19" t="s">
        <v>835</v>
      </c>
      <c r="C447" s="20">
        <v>11</v>
      </c>
      <c r="D447" s="21" t="s">
        <v>976</v>
      </c>
    </row>
    <row r="448" spans="1:4" ht="28.8" x14ac:dyDescent="0.3">
      <c r="A448" s="32" t="s">
        <v>836</v>
      </c>
      <c r="B448" s="19" t="s">
        <v>837</v>
      </c>
      <c r="C448" s="20">
        <v>37</v>
      </c>
      <c r="D448" s="21" t="s">
        <v>976</v>
      </c>
    </row>
    <row r="449" spans="1:4" x14ac:dyDescent="0.3">
      <c r="A449" s="32" t="s">
        <v>838</v>
      </c>
      <c r="B449" s="19" t="s">
        <v>839</v>
      </c>
      <c r="C449" s="20">
        <v>71</v>
      </c>
      <c r="D449" s="21" t="s">
        <v>976</v>
      </c>
    </row>
    <row r="450" spans="1:4" x14ac:dyDescent="0.3">
      <c r="A450" s="32" t="s">
        <v>840</v>
      </c>
      <c r="B450" s="19" t="s">
        <v>841</v>
      </c>
      <c r="C450" s="20">
        <v>1</v>
      </c>
      <c r="D450" s="21" t="s">
        <v>27</v>
      </c>
    </row>
    <row r="451" spans="1:4" x14ac:dyDescent="0.3">
      <c r="A451" s="32" t="s">
        <v>842</v>
      </c>
      <c r="B451" s="19" t="s">
        <v>843</v>
      </c>
      <c r="C451" s="20">
        <v>26</v>
      </c>
      <c r="D451" s="21" t="s">
        <v>76</v>
      </c>
    </row>
    <row r="452" spans="1:4" x14ac:dyDescent="0.3">
      <c r="A452" s="32" t="s">
        <v>844</v>
      </c>
      <c r="B452" s="27" t="s">
        <v>845</v>
      </c>
      <c r="C452" s="20">
        <v>35</v>
      </c>
      <c r="D452" s="21" t="s">
        <v>76</v>
      </c>
    </row>
    <row r="453" spans="1:4" ht="28.8" x14ac:dyDescent="0.3">
      <c r="A453" s="32" t="s">
        <v>846</v>
      </c>
      <c r="B453" s="19" t="s">
        <v>847</v>
      </c>
      <c r="C453" s="20">
        <v>1</v>
      </c>
      <c r="D453" s="21" t="s">
        <v>76</v>
      </c>
    </row>
    <row r="454" spans="1:4" x14ac:dyDescent="0.3">
      <c r="A454" s="32" t="s">
        <v>848</v>
      </c>
      <c r="B454" s="27" t="s">
        <v>849</v>
      </c>
      <c r="C454" s="20">
        <v>1</v>
      </c>
      <c r="D454" s="21" t="s">
        <v>976</v>
      </c>
    </row>
    <row r="455" spans="1:4" x14ac:dyDescent="0.3">
      <c r="A455" s="32" t="s">
        <v>850</v>
      </c>
      <c r="B455" s="19" t="s">
        <v>851</v>
      </c>
      <c r="C455" s="20">
        <v>1</v>
      </c>
      <c r="D455" s="21" t="s">
        <v>976</v>
      </c>
    </row>
    <row r="456" spans="1:4" x14ac:dyDescent="0.3">
      <c r="A456" s="30">
        <v>29</v>
      </c>
      <c r="B456" s="31" t="s">
        <v>852</v>
      </c>
      <c r="C456" s="16"/>
      <c r="D456" s="17"/>
    </row>
    <row r="457" spans="1:4" x14ac:dyDescent="0.3">
      <c r="A457" s="32" t="s">
        <v>853</v>
      </c>
      <c r="B457" s="19" t="s">
        <v>854</v>
      </c>
      <c r="C457" s="20">
        <v>54</v>
      </c>
      <c r="D457" s="21" t="s">
        <v>16</v>
      </c>
    </row>
    <row r="458" spans="1:4" ht="43.2" x14ac:dyDescent="0.3">
      <c r="A458" s="32" t="s">
        <v>855</v>
      </c>
      <c r="B458" s="19" t="s">
        <v>856</v>
      </c>
      <c r="C458" s="20">
        <v>56</v>
      </c>
      <c r="D458" s="21" t="s">
        <v>983</v>
      </c>
    </row>
    <row r="459" spans="1:4" x14ac:dyDescent="0.3">
      <c r="A459" s="32" t="s">
        <v>857</v>
      </c>
      <c r="B459" s="19" t="s">
        <v>858</v>
      </c>
      <c r="C459" s="20">
        <v>48</v>
      </c>
      <c r="D459" s="21" t="s">
        <v>16</v>
      </c>
    </row>
    <row r="460" spans="1:4" ht="43.2" x14ac:dyDescent="0.3">
      <c r="A460" s="32" t="s">
        <v>859</v>
      </c>
      <c r="B460" s="19" t="s">
        <v>860</v>
      </c>
      <c r="C460" s="20">
        <v>24</v>
      </c>
      <c r="D460" s="21" t="s">
        <v>983</v>
      </c>
    </row>
    <row r="461" spans="1:4" ht="28.8" x14ac:dyDescent="0.3">
      <c r="A461" s="32" t="s">
        <v>861</v>
      </c>
      <c r="B461" s="19" t="s">
        <v>862</v>
      </c>
      <c r="C461" s="20">
        <v>1</v>
      </c>
      <c r="D461" s="21" t="s">
        <v>984</v>
      </c>
    </row>
    <row r="462" spans="1:4" x14ac:dyDescent="0.3">
      <c r="A462" s="32" t="s">
        <v>863</v>
      </c>
      <c r="B462" s="19" t="s">
        <v>864</v>
      </c>
      <c r="C462" s="20">
        <v>5502</v>
      </c>
      <c r="D462" s="21" t="s">
        <v>16</v>
      </c>
    </row>
    <row r="463" spans="1:4" x14ac:dyDescent="0.3">
      <c r="A463" s="32" t="s">
        <v>865</v>
      </c>
      <c r="B463" s="19" t="s">
        <v>866</v>
      </c>
      <c r="C463" s="20">
        <v>574</v>
      </c>
      <c r="D463" s="21" t="s">
        <v>983</v>
      </c>
    </row>
    <row r="464" spans="1:4" x14ac:dyDescent="0.3">
      <c r="A464" s="32" t="s">
        <v>867</v>
      </c>
      <c r="B464" s="19" t="s">
        <v>868</v>
      </c>
      <c r="C464" s="20">
        <v>158</v>
      </c>
      <c r="D464" s="21" t="s">
        <v>16</v>
      </c>
    </row>
    <row r="465" spans="1:4" ht="43.2" x14ac:dyDescent="0.3">
      <c r="A465" s="32" t="s">
        <v>869</v>
      </c>
      <c r="B465" s="19" t="s">
        <v>870</v>
      </c>
      <c r="C465" s="20">
        <v>1</v>
      </c>
      <c r="D465" s="21" t="s">
        <v>16</v>
      </c>
    </row>
    <row r="466" spans="1:4" ht="43.2" x14ac:dyDescent="0.3">
      <c r="A466" s="32" t="s">
        <v>871</v>
      </c>
      <c r="B466" s="19" t="s">
        <v>872</v>
      </c>
      <c r="C466" s="20">
        <v>221</v>
      </c>
      <c r="D466" s="21" t="s">
        <v>16</v>
      </c>
    </row>
    <row r="467" spans="1:4" x14ac:dyDescent="0.3">
      <c r="A467" s="32" t="s">
        <v>873</v>
      </c>
      <c r="B467" s="27" t="s">
        <v>874</v>
      </c>
      <c r="C467" s="20">
        <v>5972</v>
      </c>
      <c r="D467" s="21" t="s">
        <v>983</v>
      </c>
    </row>
    <row r="468" spans="1:4" x14ac:dyDescent="0.3">
      <c r="A468" s="32" t="s">
        <v>875</v>
      </c>
      <c r="B468" s="19" t="s">
        <v>876</v>
      </c>
      <c r="C468" s="20">
        <v>268</v>
      </c>
      <c r="D468" s="21" t="s">
        <v>983</v>
      </c>
    </row>
    <row r="469" spans="1:4" ht="43.2" x14ac:dyDescent="0.3">
      <c r="A469" s="32" t="s">
        <v>877</v>
      </c>
      <c r="B469" s="19" t="s">
        <v>878</v>
      </c>
      <c r="C469" s="20">
        <v>592</v>
      </c>
      <c r="D469" s="21" t="s">
        <v>985</v>
      </c>
    </row>
    <row r="470" spans="1:4" ht="57.6" x14ac:dyDescent="0.3">
      <c r="A470" s="32" t="s">
        <v>879</v>
      </c>
      <c r="B470" s="19" t="s">
        <v>880</v>
      </c>
      <c r="C470" s="20">
        <v>449</v>
      </c>
      <c r="D470" s="21" t="s">
        <v>985</v>
      </c>
    </row>
    <row r="471" spans="1:4" ht="43.2" x14ac:dyDescent="0.3">
      <c r="A471" s="32" t="s">
        <v>881</v>
      </c>
      <c r="B471" s="19" t="s">
        <v>882</v>
      </c>
      <c r="C471" s="20">
        <v>90</v>
      </c>
      <c r="D471" s="21" t="s">
        <v>985</v>
      </c>
    </row>
    <row r="472" spans="1:4" ht="28.8" x14ac:dyDescent="0.3">
      <c r="A472" s="32" t="s">
        <v>883</v>
      </c>
      <c r="B472" s="19" t="s">
        <v>884</v>
      </c>
      <c r="C472" s="20">
        <v>15</v>
      </c>
      <c r="D472" s="21" t="s">
        <v>16</v>
      </c>
    </row>
    <row r="473" spans="1:4" x14ac:dyDescent="0.3">
      <c r="A473" s="32" t="s">
        <v>885</v>
      </c>
      <c r="B473" s="19" t="s">
        <v>886</v>
      </c>
      <c r="C473" s="20">
        <v>50</v>
      </c>
      <c r="D473" s="21" t="s">
        <v>16</v>
      </c>
    </row>
    <row r="474" spans="1:4" x14ac:dyDescent="0.3">
      <c r="A474" s="32" t="s">
        <v>887</v>
      </c>
      <c r="B474" s="19" t="s">
        <v>888</v>
      </c>
      <c r="C474" s="20">
        <v>45</v>
      </c>
      <c r="D474" s="21" t="s">
        <v>16</v>
      </c>
    </row>
    <row r="475" spans="1:4" ht="28.8" x14ac:dyDescent="0.3">
      <c r="A475" s="32" t="s">
        <v>889</v>
      </c>
      <c r="B475" s="19" t="s">
        <v>890</v>
      </c>
      <c r="C475" s="20">
        <v>1</v>
      </c>
      <c r="D475" s="21" t="s">
        <v>16</v>
      </c>
    </row>
    <row r="476" spans="1:4" ht="28.8" x14ac:dyDescent="0.3">
      <c r="A476" s="32" t="s">
        <v>891</v>
      </c>
      <c r="B476" s="19" t="s">
        <v>892</v>
      </c>
      <c r="C476" s="20">
        <v>8</v>
      </c>
      <c r="D476" s="21" t="s">
        <v>16</v>
      </c>
    </row>
    <row r="477" spans="1:4" ht="28.8" x14ac:dyDescent="0.3">
      <c r="A477" s="32" t="s">
        <v>893</v>
      </c>
      <c r="B477" s="19" t="s">
        <v>894</v>
      </c>
      <c r="C477" s="20">
        <v>1</v>
      </c>
      <c r="D477" s="21" t="s">
        <v>6</v>
      </c>
    </row>
    <row r="478" spans="1:4" ht="28.8" x14ac:dyDescent="0.3">
      <c r="A478" s="32" t="s">
        <v>895</v>
      </c>
      <c r="B478" s="19" t="s">
        <v>896</v>
      </c>
      <c r="C478" s="20">
        <v>171</v>
      </c>
      <c r="D478" s="21" t="s">
        <v>6</v>
      </c>
    </row>
    <row r="479" spans="1:4" ht="28.8" x14ac:dyDescent="0.3">
      <c r="A479" s="32" t="s">
        <v>897</v>
      </c>
      <c r="B479" s="19" t="s">
        <v>898</v>
      </c>
      <c r="C479" s="20">
        <v>42</v>
      </c>
      <c r="D479" s="21" t="s">
        <v>27</v>
      </c>
    </row>
    <row r="480" spans="1:4" x14ac:dyDescent="0.3">
      <c r="A480" s="32" t="s">
        <v>899</v>
      </c>
      <c r="B480" s="19" t="s">
        <v>900</v>
      </c>
      <c r="C480" s="20">
        <v>45</v>
      </c>
      <c r="D480" s="21" t="s">
        <v>27</v>
      </c>
    </row>
    <row r="481" spans="1:4" x14ac:dyDescent="0.3">
      <c r="A481" s="32" t="s">
        <v>901</v>
      </c>
      <c r="B481" s="19" t="s">
        <v>902</v>
      </c>
      <c r="C481" s="20">
        <v>1</v>
      </c>
      <c r="D481" s="21" t="s">
        <v>6</v>
      </c>
    </row>
    <row r="482" spans="1:4" ht="28.8" x14ac:dyDescent="0.3">
      <c r="A482" s="32" t="s">
        <v>903</v>
      </c>
      <c r="B482" s="19" t="s">
        <v>904</v>
      </c>
      <c r="C482" s="20">
        <v>118</v>
      </c>
      <c r="D482" s="21" t="s">
        <v>16</v>
      </c>
    </row>
    <row r="483" spans="1:4" x14ac:dyDescent="0.3">
      <c r="A483" s="32" t="s">
        <v>905</v>
      </c>
      <c r="B483" s="19" t="s">
        <v>906</v>
      </c>
      <c r="C483" s="20">
        <v>1</v>
      </c>
      <c r="D483" s="21" t="s">
        <v>6</v>
      </c>
    </row>
    <row r="484" spans="1:4" x14ac:dyDescent="0.3">
      <c r="A484" s="32" t="s">
        <v>907</v>
      </c>
      <c r="B484" s="19" t="s">
        <v>908</v>
      </c>
      <c r="C484" s="20">
        <v>1</v>
      </c>
      <c r="D484" s="21" t="s">
        <v>6</v>
      </c>
    </row>
    <row r="485" spans="1:4" x14ac:dyDescent="0.3">
      <c r="A485" s="32" t="s">
        <v>909</v>
      </c>
      <c r="B485" s="19" t="s">
        <v>910</v>
      </c>
      <c r="C485" s="20">
        <v>1</v>
      </c>
      <c r="D485" s="21" t="s">
        <v>42</v>
      </c>
    </row>
    <row r="486" spans="1:4" x14ac:dyDescent="0.3">
      <c r="A486" s="32" t="s">
        <v>911</v>
      </c>
      <c r="B486" s="19" t="s">
        <v>912</v>
      </c>
      <c r="C486" s="20">
        <v>1</v>
      </c>
      <c r="D486" s="21" t="s">
        <v>76</v>
      </c>
    </row>
    <row r="487" spans="1:4" x14ac:dyDescent="0.3">
      <c r="A487" s="32" t="s">
        <v>913</v>
      </c>
      <c r="B487" s="19" t="s">
        <v>914</v>
      </c>
      <c r="C487" s="20">
        <v>1</v>
      </c>
      <c r="D487" s="21" t="s">
        <v>715</v>
      </c>
    </row>
    <row r="488" spans="1:4" x14ac:dyDescent="0.3">
      <c r="A488" s="32" t="s">
        <v>915</v>
      </c>
      <c r="B488" s="19" t="s">
        <v>916</v>
      </c>
      <c r="C488" s="20">
        <v>1</v>
      </c>
      <c r="D488" s="21" t="s">
        <v>76</v>
      </c>
    </row>
    <row r="489" spans="1:4" x14ac:dyDescent="0.3">
      <c r="A489" s="32" t="s">
        <v>917</v>
      </c>
      <c r="B489" s="19" t="s">
        <v>918</v>
      </c>
      <c r="C489" s="20">
        <v>1</v>
      </c>
      <c r="D489" s="21" t="s">
        <v>76</v>
      </c>
    </row>
    <row r="490" spans="1:4" ht="28.8" x14ac:dyDescent="0.3">
      <c r="A490" s="32" t="s">
        <v>919</v>
      </c>
      <c r="B490" s="19" t="s">
        <v>920</v>
      </c>
      <c r="C490" s="20">
        <v>1</v>
      </c>
      <c r="D490" s="21" t="s">
        <v>76</v>
      </c>
    </row>
    <row r="491" spans="1:4" ht="28.8" x14ac:dyDescent="0.3">
      <c r="A491" s="32" t="s">
        <v>921</v>
      </c>
      <c r="B491" s="19" t="s">
        <v>922</v>
      </c>
      <c r="C491" s="20">
        <v>1</v>
      </c>
      <c r="D491" s="21" t="s">
        <v>76</v>
      </c>
    </row>
    <row r="492" spans="1:4" ht="28.8" x14ac:dyDescent="0.3">
      <c r="A492" s="32" t="s">
        <v>923</v>
      </c>
      <c r="B492" s="19" t="s">
        <v>924</v>
      </c>
      <c r="C492" s="20">
        <v>1</v>
      </c>
      <c r="D492" s="21" t="s">
        <v>76</v>
      </c>
    </row>
    <row r="493" spans="1:4" ht="28.8" x14ac:dyDescent="0.3">
      <c r="A493" s="32" t="s">
        <v>925</v>
      </c>
      <c r="B493" s="19" t="s">
        <v>926</v>
      </c>
      <c r="C493" s="20">
        <v>1</v>
      </c>
      <c r="D493" s="21" t="s">
        <v>76</v>
      </c>
    </row>
    <row r="494" spans="1:4" ht="28.8" x14ac:dyDescent="0.3">
      <c r="A494" s="32" t="s">
        <v>927</v>
      </c>
      <c r="B494" s="19" t="s">
        <v>928</v>
      </c>
      <c r="C494" s="20">
        <v>1</v>
      </c>
      <c r="D494" s="21" t="s">
        <v>76</v>
      </c>
    </row>
    <row r="495" spans="1:4" ht="28.8" x14ac:dyDescent="0.3">
      <c r="A495" s="32" t="s">
        <v>929</v>
      </c>
      <c r="B495" s="19" t="s">
        <v>930</v>
      </c>
      <c r="C495" s="20">
        <v>1</v>
      </c>
      <c r="D495" s="21" t="s">
        <v>76</v>
      </c>
    </row>
    <row r="496" spans="1:4" x14ac:dyDescent="0.3">
      <c r="A496" s="32" t="s">
        <v>931</v>
      </c>
      <c r="B496" s="19" t="s">
        <v>932</v>
      </c>
      <c r="C496" s="20">
        <v>1</v>
      </c>
      <c r="D496" s="21" t="s">
        <v>76</v>
      </c>
    </row>
    <row r="497" spans="1:4" x14ac:dyDescent="0.3">
      <c r="A497" s="32" t="s">
        <v>933</v>
      </c>
      <c r="B497" s="19" t="s">
        <v>934</v>
      </c>
      <c r="C497" s="20">
        <v>1</v>
      </c>
      <c r="D497" s="21" t="s">
        <v>76</v>
      </c>
    </row>
    <row r="498" spans="1:4" x14ac:dyDescent="0.3">
      <c r="A498" s="32" t="s">
        <v>935</v>
      </c>
      <c r="B498" s="19" t="s">
        <v>936</v>
      </c>
      <c r="C498" s="20">
        <v>1</v>
      </c>
      <c r="D498" s="21" t="s">
        <v>76</v>
      </c>
    </row>
    <row r="499" spans="1:4" x14ac:dyDescent="0.3">
      <c r="A499" s="32" t="s">
        <v>937</v>
      </c>
      <c r="B499" s="19" t="s">
        <v>938</v>
      </c>
      <c r="C499" s="20">
        <v>1</v>
      </c>
      <c r="D499" s="21" t="s">
        <v>76</v>
      </c>
    </row>
    <row r="500" spans="1:4" x14ac:dyDescent="0.3">
      <c r="A500" s="32" t="s">
        <v>939</v>
      </c>
      <c r="B500" s="19" t="s">
        <v>940</v>
      </c>
      <c r="C500" s="20">
        <v>1</v>
      </c>
      <c r="D500" s="21" t="s">
        <v>42</v>
      </c>
    </row>
    <row r="501" spans="1:4" x14ac:dyDescent="0.3">
      <c r="A501" s="32" t="s">
        <v>941</v>
      </c>
      <c r="B501" s="19" t="s">
        <v>942</v>
      </c>
      <c r="C501" s="20">
        <v>1</v>
      </c>
      <c r="D501" s="21" t="s">
        <v>42</v>
      </c>
    </row>
    <row r="502" spans="1:4" x14ac:dyDescent="0.3">
      <c r="A502" s="32" t="s">
        <v>943</v>
      </c>
      <c r="B502" s="19" t="s">
        <v>944</v>
      </c>
      <c r="C502" s="20">
        <v>1</v>
      </c>
      <c r="D502" s="21" t="s">
        <v>16</v>
      </c>
    </row>
    <row r="503" spans="1:4" x14ac:dyDescent="0.3">
      <c r="A503" s="32" t="s">
        <v>945</v>
      </c>
      <c r="B503" s="19" t="s">
        <v>946</v>
      </c>
      <c r="C503" s="20">
        <v>1</v>
      </c>
      <c r="D503" s="21" t="s">
        <v>16</v>
      </c>
    </row>
    <row r="504" spans="1:4" x14ac:dyDescent="0.3">
      <c r="A504" s="32" t="s">
        <v>947</v>
      </c>
      <c r="B504" s="19" t="s">
        <v>948</v>
      </c>
      <c r="C504" s="20">
        <v>1</v>
      </c>
      <c r="D504" s="21" t="s">
        <v>16</v>
      </c>
    </row>
    <row r="505" spans="1:4" ht="28.8" x14ac:dyDescent="0.3">
      <c r="A505" s="32" t="s">
        <v>949</v>
      </c>
      <c r="B505" s="19" t="s">
        <v>950</v>
      </c>
      <c r="C505" s="20">
        <v>1</v>
      </c>
      <c r="D505" s="21" t="s">
        <v>16</v>
      </c>
    </row>
    <row r="506" spans="1:4" x14ac:dyDescent="0.3">
      <c r="A506" s="32" t="s">
        <v>951</v>
      </c>
      <c r="B506" s="19" t="s">
        <v>952</v>
      </c>
      <c r="C506" s="20">
        <v>1</v>
      </c>
      <c r="D506" s="21" t="s">
        <v>953</v>
      </c>
    </row>
    <row r="507" spans="1:4" ht="28.8" x14ac:dyDescent="0.3">
      <c r="A507" s="32" t="s">
        <v>954</v>
      </c>
      <c r="B507" s="19" t="s">
        <v>986</v>
      </c>
      <c r="C507" s="20">
        <v>1</v>
      </c>
      <c r="D507" s="21" t="s">
        <v>16</v>
      </c>
    </row>
    <row r="508" spans="1:4" x14ac:dyDescent="0.3">
      <c r="A508" s="30">
        <v>30</v>
      </c>
      <c r="B508" s="31" t="s">
        <v>955</v>
      </c>
      <c r="C508" s="16"/>
      <c r="D508" s="17"/>
    </row>
    <row r="509" spans="1:4" ht="15.6" x14ac:dyDescent="0.3">
      <c r="A509" s="51"/>
      <c r="B509" s="52" t="s">
        <v>987</v>
      </c>
      <c r="C509" s="53"/>
      <c r="D509" s="54"/>
    </row>
    <row r="510" spans="1:4" x14ac:dyDescent="0.3">
      <c r="A510" s="32"/>
      <c r="B510" s="19"/>
      <c r="C510" s="20"/>
      <c r="D510" s="40"/>
    </row>
    <row r="511" spans="1:4" x14ac:dyDescent="0.3">
      <c r="A511" s="32"/>
      <c r="B511" s="19"/>
      <c r="C511" s="20"/>
      <c r="D511" s="40"/>
    </row>
    <row r="512" spans="1:4" x14ac:dyDescent="0.3">
      <c r="A512" s="32"/>
      <c r="B512" s="19"/>
      <c r="C512" s="20"/>
      <c r="D512" s="40"/>
    </row>
    <row r="513" spans="1:4" x14ac:dyDescent="0.3">
      <c r="A513" s="32"/>
      <c r="B513" s="19"/>
      <c r="C513" s="20"/>
      <c r="D513" s="40"/>
    </row>
    <row r="514" spans="1:4" x14ac:dyDescent="0.3">
      <c r="A514" s="32"/>
      <c r="B514" s="19"/>
      <c r="C514" s="20"/>
      <c r="D514" s="40"/>
    </row>
    <row r="515" spans="1:4" x14ac:dyDescent="0.3">
      <c r="A515" s="32"/>
      <c r="B515" s="19"/>
      <c r="C515" s="20"/>
      <c r="D515" s="40"/>
    </row>
    <row r="516" spans="1:4" x14ac:dyDescent="0.3">
      <c r="A516" s="32"/>
      <c r="B516" s="19"/>
      <c r="C516" s="20"/>
      <c r="D516" s="40"/>
    </row>
    <row r="517" spans="1:4" x14ac:dyDescent="0.3">
      <c r="A517" s="32"/>
      <c r="B517" s="19"/>
      <c r="C517" s="20"/>
      <c r="D517" s="40"/>
    </row>
    <row r="518" spans="1:4" x14ac:dyDescent="0.3">
      <c r="A518" s="32"/>
      <c r="B518" s="19"/>
      <c r="C518" s="20"/>
      <c r="D518" s="40"/>
    </row>
    <row r="519" spans="1:4" x14ac:dyDescent="0.3">
      <c r="A519" s="32"/>
      <c r="B519" s="19"/>
      <c r="C519" s="20"/>
      <c r="D519" s="40"/>
    </row>
    <row r="520" spans="1:4" x14ac:dyDescent="0.3">
      <c r="A520" s="32"/>
      <c r="B520" s="19"/>
      <c r="C520" s="20"/>
      <c r="D520" s="40"/>
    </row>
    <row r="521" spans="1:4" x14ac:dyDescent="0.3">
      <c r="A521" s="32"/>
      <c r="B521" s="19"/>
      <c r="C521" s="20"/>
      <c r="D521" s="40"/>
    </row>
    <row r="522" spans="1:4" x14ac:dyDescent="0.3">
      <c r="A522" s="32"/>
      <c r="B522" s="19"/>
      <c r="C522" s="20"/>
      <c r="D522" s="40"/>
    </row>
    <row r="523" spans="1:4" x14ac:dyDescent="0.3">
      <c r="A523" s="32"/>
      <c r="B523" s="19"/>
      <c r="C523" s="20"/>
      <c r="D523" s="40"/>
    </row>
    <row r="524" spans="1:4" x14ac:dyDescent="0.3">
      <c r="A524" s="32"/>
      <c r="B524" s="19"/>
      <c r="C524" s="20"/>
      <c r="D524" s="40"/>
    </row>
    <row r="525" spans="1:4" x14ac:dyDescent="0.3">
      <c r="A525" s="32"/>
      <c r="B525" s="19"/>
      <c r="C525" s="20"/>
      <c r="D525" s="40"/>
    </row>
    <row r="526" spans="1:4" x14ac:dyDescent="0.3">
      <c r="A526" s="32"/>
      <c r="B526" s="19"/>
      <c r="C526" s="20"/>
      <c r="D526" s="40"/>
    </row>
    <row r="527" spans="1:4" x14ac:dyDescent="0.3">
      <c r="A527" s="32"/>
      <c r="B527" s="19"/>
      <c r="C527" s="20"/>
      <c r="D527" s="40"/>
    </row>
    <row r="528" spans="1:4" x14ac:dyDescent="0.3">
      <c r="A528" s="32"/>
      <c r="B528" s="19"/>
      <c r="C528" s="20"/>
      <c r="D528" s="40"/>
    </row>
    <row r="529" spans="1:4" x14ac:dyDescent="0.3">
      <c r="A529" s="32"/>
      <c r="B529" s="19"/>
      <c r="C529" s="20"/>
      <c r="D529" s="4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988EEB-AF4F-4007-AD9F-A35261FDFD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Esmalte em porta </vt:lpstr>
      <vt:lpstr>Planilha de cálculo  UNIDADE</vt:lpstr>
      <vt:lpstr>Planilha de cálculo MEDIDAS</vt:lpstr>
      <vt:lpstr>itens </vt:lpstr>
      <vt:lpstr>Valores individuais - Padrão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André Obando Acosta</dc:creator>
  <cp:lastModifiedBy>Thiago Nascimento</cp:lastModifiedBy>
  <cp:lastPrinted>2025-05-05T07:23:35Z</cp:lastPrinted>
  <dcterms:created xsi:type="dcterms:W3CDTF">2021-12-17T12:15:58Z</dcterms:created>
  <dcterms:modified xsi:type="dcterms:W3CDTF">2026-05-07T16:48:30Z</dcterms:modified>
</cp:coreProperties>
</file>