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\Desktop\000 - Minha Demanda\1 - Preventivas 2026\01 - Apoio operacional\"/>
    </mc:Choice>
  </mc:AlternateContent>
  <xr:revisionPtr revIDLastSave="0" documentId="13_ncr:1_{8BF16047-9D34-4FAF-B24D-8934CE9FB39E}" xr6:coauthVersionLast="47" xr6:coauthVersionMax="47" xr10:uidLastSave="{00000000-0000-0000-0000-000000000000}"/>
  <bookViews>
    <workbookView xWindow="29835" yWindow="5190" windowWidth="16410" windowHeight="11235" xr2:uid="{F1DA345B-EEE0-480B-B7A3-826CEB08C4B6}"/>
  </bookViews>
  <sheets>
    <sheet name="Memorial de cálculo" sheetId="1" r:id="rId1"/>
    <sheet name="It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E8" i="1"/>
  <c r="AJ9" i="1" l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8" i="1"/>
  <c r="AJ40" i="1" s="1"/>
  <c r="E9" i="1"/>
  <c r="F9" i="1" s="1"/>
  <c r="N9" i="1"/>
  <c r="V9" i="1"/>
  <c r="AD9" i="1"/>
  <c r="E10" i="1"/>
  <c r="F10" i="1" s="1"/>
  <c r="N10" i="1"/>
  <c r="V10" i="1"/>
  <c r="AD10" i="1"/>
  <c r="E11" i="1"/>
  <c r="F11" i="1" s="1"/>
  <c r="N11" i="1"/>
  <c r="V11" i="1"/>
  <c r="AD11" i="1"/>
  <c r="E12" i="1"/>
  <c r="F12" i="1" s="1"/>
  <c r="N12" i="1"/>
  <c r="V12" i="1"/>
  <c r="AD12" i="1"/>
  <c r="E13" i="1"/>
  <c r="F13" i="1" s="1"/>
  <c r="N13" i="1"/>
  <c r="V13" i="1"/>
  <c r="AD13" i="1"/>
  <c r="E14" i="1"/>
  <c r="F14" i="1" s="1"/>
  <c r="N14" i="1"/>
  <c r="V14" i="1"/>
  <c r="AD14" i="1"/>
  <c r="E15" i="1"/>
  <c r="F15" i="1" s="1"/>
  <c r="N15" i="1"/>
  <c r="V15" i="1"/>
  <c r="AD15" i="1"/>
  <c r="E16" i="1"/>
  <c r="F16" i="1" s="1"/>
  <c r="N16" i="1"/>
  <c r="V16" i="1"/>
  <c r="AD16" i="1"/>
  <c r="E17" i="1"/>
  <c r="F17" i="1" s="1"/>
  <c r="N17" i="1"/>
  <c r="V17" i="1"/>
  <c r="AD17" i="1"/>
  <c r="E18" i="1"/>
  <c r="F18" i="1" s="1"/>
  <c r="N18" i="1"/>
  <c r="V18" i="1"/>
  <c r="AD18" i="1"/>
  <c r="E19" i="1"/>
  <c r="F19" i="1" s="1"/>
  <c r="N19" i="1"/>
  <c r="V19" i="1"/>
  <c r="AD19" i="1"/>
  <c r="E20" i="1"/>
  <c r="F20" i="1" s="1"/>
  <c r="N20" i="1"/>
  <c r="V20" i="1"/>
  <c r="AD20" i="1"/>
  <c r="E21" i="1"/>
  <c r="F21" i="1" s="1"/>
  <c r="N21" i="1"/>
  <c r="V21" i="1"/>
  <c r="AD21" i="1"/>
  <c r="E22" i="1"/>
  <c r="F22" i="1" s="1"/>
  <c r="N22" i="1"/>
  <c r="V22" i="1"/>
  <c r="AD22" i="1"/>
  <c r="E23" i="1"/>
  <c r="F23" i="1" s="1"/>
  <c r="N23" i="1"/>
  <c r="V23" i="1"/>
  <c r="AD23" i="1"/>
  <c r="E24" i="1"/>
  <c r="F24" i="1" s="1"/>
  <c r="N24" i="1"/>
  <c r="V24" i="1"/>
  <c r="AD24" i="1"/>
  <c r="E25" i="1"/>
  <c r="F25" i="1" s="1"/>
  <c r="N25" i="1"/>
  <c r="V25" i="1"/>
  <c r="AD25" i="1"/>
  <c r="E26" i="1"/>
  <c r="F26" i="1" s="1"/>
  <c r="N26" i="1"/>
  <c r="V26" i="1"/>
  <c r="AD26" i="1"/>
  <c r="E27" i="1"/>
  <c r="F27" i="1" s="1"/>
  <c r="N27" i="1"/>
  <c r="V27" i="1"/>
  <c r="AD27" i="1"/>
  <c r="E28" i="1"/>
  <c r="F28" i="1" s="1"/>
  <c r="N28" i="1"/>
  <c r="V28" i="1"/>
  <c r="AD28" i="1"/>
  <c r="E29" i="1"/>
  <c r="F29" i="1" s="1"/>
  <c r="N29" i="1"/>
  <c r="V29" i="1"/>
  <c r="AD29" i="1"/>
  <c r="E30" i="1"/>
  <c r="F30" i="1" s="1"/>
  <c r="N30" i="1"/>
  <c r="V30" i="1"/>
  <c r="AD30" i="1"/>
  <c r="E31" i="1"/>
  <c r="F31" i="1" s="1"/>
  <c r="N31" i="1"/>
  <c r="V31" i="1"/>
  <c r="AD31" i="1"/>
  <c r="E32" i="1"/>
  <c r="F32" i="1" s="1"/>
  <c r="N32" i="1"/>
  <c r="V32" i="1"/>
  <c r="AD32" i="1"/>
  <c r="E33" i="1"/>
  <c r="F33" i="1" s="1"/>
  <c r="N33" i="1"/>
  <c r="V33" i="1"/>
  <c r="AD33" i="1"/>
  <c r="E34" i="1"/>
  <c r="F34" i="1" s="1"/>
  <c r="N34" i="1"/>
  <c r="V34" i="1"/>
  <c r="AD34" i="1"/>
  <c r="E35" i="1"/>
  <c r="F35" i="1" s="1"/>
  <c r="N35" i="1"/>
  <c r="V35" i="1"/>
  <c r="AD35" i="1"/>
  <c r="E36" i="1"/>
  <c r="F36" i="1" s="1"/>
  <c r="N36" i="1"/>
  <c r="V36" i="1"/>
  <c r="AD36" i="1"/>
  <c r="E37" i="1"/>
  <c r="F37" i="1" s="1"/>
  <c r="N37" i="1"/>
  <c r="V37" i="1"/>
  <c r="AD37" i="1"/>
  <c r="E38" i="1"/>
  <c r="F38" i="1" s="1"/>
  <c r="N38" i="1"/>
  <c r="V38" i="1"/>
  <c r="AD38" i="1"/>
  <c r="E39" i="1"/>
  <c r="F39" i="1" s="1"/>
  <c r="N39" i="1"/>
  <c r="V39" i="1"/>
  <c r="AD39" i="1"/>
  <c r="AI40" i="1"/>
  <c r="AI6" i="1"/>
  <c r="T6" i="1"/>
  <c r="N8" i="1"/>
  <c r="AB6" i="1"/>
  <c r="AD8" i="1"/>
  <c r="L6" i="1"/>
  <c r="B6" i="1"/>
  <c r="F8" i="1"/>
  <c r="F40" i="1" s="1"/>
  <c r="AI539" i="2"/>
  <c r="AI540" i="2" s="1"/>
  <c r="N15" i="2" s="1"/>
  <c r="AH539" i="2"/>
  <c r="AH540" i="2" s="1"/>
  <c r="N14" i="2" s="1"/>
  <c r="AI538" i="2"/>
  <c r="AH538" i="2"/>
  <c r="AI535" i="2"/>
  <c r="AH535" i="2"/>
  <c r="AF535" i="2"/>
  <c r="AJ535" i="2" s="1"/>
  <c r="Z535" i="2"/>
  <c r="AI534" i="2"/>
  <c r="AH534" i="2"/>
  <c r="AF534" i="2"/>
  <c r="AJ534" i="2" s="1"/>
  <c r="Z534" i="2"/>
  <c r="AI533" i="2"/>
  <c r="AH533" i="2"/>
  <c r="AF533" i="2"/>
  <c r="AJ533" i="2" s="1"/>
  <c r="Z533" i="2"/>
  <c r="AI532" i="2"/>
  <c r="AH532" i="2"/>
  <c r="AF532" i="2"/>
  <c r="AJ532" i="2" s="1"/>
  <c r="Z532" i="2"/>
  <c r="AI531" i="2"/>
  <c r="AH531" i="2"/>
  <c r="AF531" i="2"/>
  <c r="AJ531" i="2" s="1"/>
  <c r="Z531" i="2"/>
  <c r="AI530" i="2"/>
  <c r="AH530" i="2"/>
  <c r="AF530" i="2"/>
  <c r="AJ530" i="2" s="1"/>
  <c r="Z530" i="2"/>
  <c r="AI529" i="2"/>
  <c r="AH529" i="2"/>
  <c r="AF529" i="2"/>
  <c r="AJ529" i="2" s="1"/>
  <c r="Z529" i="2"/>
  <c r="AI528" i="2"/>
  <c r="AH528" i="2"/>
  <c r="AF528" i="2"/>
  <c r="AJ528" i="2" s="1"/>
  <c r="Z528" i="2"/>
  <c r="AI527" i="2"/>
  <c r="AH527" i="2"/>
  <c r="AF527" i="2"/>
  <c r="AJ527" i="2" s="1"/>
  <c r="Z527" i="2"/>
  <c r="AI526" i="2"/>
  <c r="AH526" i="2"/>
  <c r="AF526" i="2"/>
  <c r="AJ526" i="2" s="1"/>
  <c r="Z526" i="2"/>
  <c r="AI525" i="2"/>
  <c r="AH525" i="2"/>
  <c r="AF525" i="2"/>
  <c r="AJ525" i="2" s="1"/>
  <c r="Z525" i="2"/>
  <c r="AI524" i="2"/>
  <c r="AH524" i="2"/>
  <c r="AF524" i="2"/>
  <c r="AJ524" i="2" s="1"/>
  <c r="Z524" i="2"/>
  <c r="AI523" i="2"/>
  <c r="AH523" i="2"/>
  <c r="AF523" i="2"/>
  <c r="AJ523" i="2" s="1"/>
  <c r="Z523" i="2"/>
  <c r="AI522" i="2"/>
  <c r="AH522" i="2"/>
  <c r="AF522" i="2"/>
  <c r="AJ522" i="2" s="1"/>
  <c r="Z522" i="2"/>
  <c r="AI521" i="2"/>
  <c r="AH521" i="2"/>
  <c r="AF521" i="2"/>
  <c r="AJ521" i="2" s="1"/>
  <c r="Z521" i="2"/>
  <c r="AI520" i="2"/>
  <c r="AH520" i="2"/>
  <c r="AF520" i="2"/>
  <c r="AJ520" i="2" s="1"/>
  <c r="Z520" i="2"/>
  <c r="AI519" i="2"/>
  <c r="AH519" i="2"/>
  <c r="AF519" i="2"/>
  <c r="AJ519" i="2" s="1"/>
  <c r="Z519" i="2"/>
  <c r="AI518" i="2"/>
  <c r="AH518" i="2"/>
  <c r="AF518" i="2"/>
  <c r="AJ518" i="2" s="1"/>
  <c r="Z518" i="2"/>
  <c r="AI517" i="2"/>
  <c r="AH517" i="2"/>
  <c r="AF517" i="2"/>
  <c r="AJ517" i="2" s="1"/>
  <c r="Z517" i="2"/>
  <c r="AI516" i="2"/>
  <c r="AH516" i="2"/>
  <c r="AF516" i="2"/>
  <c r="AJ516" i="2" s="1"/>
  <c r="Z516" i="2"/>
  <c r="AI515" i="2"/>
  <c r="AH515" i="2"/>
  <c r="AF515" i="2"/>
  <c r="AJ515" i="2" s="1"/>
  <c r="Z515" i="2"/>
  <c r="AI514" i="2"/>
  <c r="AH514" i="2"/>
  <c r="AF514" i="2"/>
  <c r="AJ514" i="2" s="1"/>
  <c r="Z514" i="2"/>
  <c r="AI513" i="2"/>
  <c r="AH513" i="2"/>
  <c r="AF513" i="2"/>
  <c r="AJ513" i="2" s="1"/>
  <c r="Z513" i="2"/>
  <c r="AI512" i="2"/>
  <c r="AH512" i="2"/>
  <c r="AF512" i="2"/>
  <c r="AJ512" i="2" s="1"/>
  <c r="Z512" i="2"/>
  <c r="AI511" i="2"/>
  <c r="AH511" i="2"/>
  <c r="AF511" i="2"/>
  <c r="AJ511" i="2" s="1"/>
  <c r="Z511" i="2"/>
  <c r="AI510" i="2"/>
  <c r="AH510" i="2"/>
  <c r="AF510" i="2"/>
  <c r="AJ510" i="2" s="1"/>
  <c r="Z510" i="2"/>
  <c r="AI509" i="2"/>
  <c r="AH509" i="2"/>
  <c r="AF509" i="2"/>
  <c r="AJ509" i="2" s="1"/>
  <c r="Z509" i="2"/>
  <c r="AI508" i="2"/>
  <c r="AH508" i="2"/>
  <c r="AF508" i="2"/>
  <c r="AJ508" i="2" s="1"/>
  <c r="Z508" i="2"/>
  <c r="AI507" i="2"/>
  <c r="AH507" i="2"/>
  <c r="AF507" i="2"/>
  <c r="AJ507" i="2" s="1"/>
  <c r="Z507" i="2"/>
  <c r="AI506" i="2"/>
  <c r="AH506" i="2"/>
  <c r="AF506" i="2"/>
  <c r="AJ506" i="2" s="1"/>
  <c r="Z506" i="2"/>
  <c r="AI505" i="2"/>
  <c r="AH505" i="2"/>
  <c r="AF505" i="2"/>
  <c r="AJ505" i="2" s="1"/>
  <c r="Z505" i="2"/>
  <c r="AI504" i="2"/>
  <c r="AH504" i="2"/>
  <c r="AF504" i="2"/>
  <c r="AJ504" i="2" s="1"/>
  <c r="Z504" i="2"/>
  <c r="AI503" i="2"/>
  <c r="AH503" i="2"/>
  <c r="AF503" i="2"/>
  <c r="AJ503" i="2" s="1"/>
  <c r="Z503" i="2"/>
  <c r="AI502" i="2"/>
  <c r="AH502" i="2"/>
  <c r="AF502" i="2"/>
  <c r="AJ502" i="2" s="1"/>
  <c r="Z502" i="2"/>
  <c r="AI501" i="2"/>
  <c r="AH501" i="2"/>
  <c r="AF501" i="2"/>
  <c r="AJ501" i="2" s="1"/>
  <c r="Z501" i="2"/>
  <c r="AI500" i="2"/>
  <c r="AH500" i="2"/>
  <c r="AF500" i="2"/>
  <c r="AJ500" i="2" s="1"/>
  <c r="Z500" i="2"/>
  <c r="AI499" i="2"/>
  <c r="AH499" i="2"/>
  <c r="AF499" i="2"/>
  <c r="AJ499" i="2" s="1"/>
  <c r="Z499" i="2"/>
  <c r="AI498" i="2"/>
  <c r="AH498" i="2"/>
  <c r="AF498" i="2"/>
  <c r="AJ498" i="2" s="1"/>
  <c r="Z498" i="2"/>
  <c r="AI497" i="2"/>
  <c r="AH497" i="2"/>
  <c r="AF497" i="2"/>
  <c r="AJ497" i="2" s="1"/>
  <c r="Z497" i="2"/>
  <c r="AI496" i="2"/>
  <c r="AH496" i="2"/>
  <c r="AF496" i="2"/>
  <c r="AJ496" i="2" s="1"/>
  <c r="Z496" i="2"/>
  <c r="AI495" i="2"/>
  <c r="AH495" i="2"/>
  <c r="AF495" i="2"/>
  <c r="AJ495" i="2" s="1"/>
  <c r="Z495" i="2"/>
  <c r="AI494" i="2"/>
  <c r="AH494" i="2"/>
  <c r="AF494" i="2"/>
  <c r="AJ494" i="2" s="1"/>
  <c r="Z494" i="2"/>
  <c r="AI493" i="2"/>
  <c r="AH493" i="2"/>
  <c r="AF493" i="2"/>
  <c r="AJ493" i="2" s="1"/>
  <c r="Z493" i="2"/>
  <c r="AI492" i="2"/>
  <c r="AH492" i="2"/>
  <c r="AF492" i="2"/>
  <c r="AJ492" i="2" s="1"/>
  <c r="Z492" i="2"/>
  <c r="AI491" i="2"/>
  <c r="AH491" i="2"/>
  <c r="AF491" i="2"/>
  <c r="AJ491" i="2" s="1"/>
  <c r="Z491" i="2"/>
  <c r="AI490" i="2"/>
  <c r="AH490" i="2"/>
  <c r="AF490" i="2"/>
  <c r="AJ490" i="2" s="1"/>
  <c r="Z490" i="2"/>
  <c r="AI489" i="2"/>
  <c r="AH489" i="2"/>
  <c r="AF489" i="2"/>
  <c r="AJ489" i="2" s="1"/>
  <c r="Z489" i="2"/>
  <c r="AI488" i="2"/>
  <c r="AH488" i="2"/>
  <c r="AF488" i="2"/>
  <c r="AJ488" i="2" s="1"/>
  <c r="Z488" i="2"/>
  <c r="AI487" i="2"/>
  <c r="AH487" i="2"/>
  <c r="AF487" i="2"/>
  <c r="AJ487" i="2" s="1"/>
  <c r="Z487" i="2"/>
  <c r="AI486" i="2"/>
  <c r="AH486" i="2"/>
  <c r="AF486" i="2"/>
  <c r="AJ486" i="2" s="1"/>
  <c r="Z486" i="2"/>
  <c r="AI485" i="2"/>
  <c r="AH485" i="2"/>
  <c r="AF485" i="2"/>
  <c r="AJ485" i="2" s="1"/>
  <c r="Z485" i="2"/>
  <c r="AJ484" i="2"/>
  <c r="AI484" i="2"/>
  <c r="AH484" i="2"/>
  <c r="AI483" i="2"/>
  <c r="AH483" i="2"/>
  <c r="AF483" i="2"/>
  <c r="AJ483" i="2" s="1"/>
  <c r="Z483" i="2"/>
  <c r="AJ482" i="2"/>
  <c r="AI482" i="2"/>
  <c r="AH482" i="2"/>
  <c r="AF482" i="2"/>
  <c r="Z482" i="2"/>
  <c r="AI481" i="2"/>
  <c r="AH481" i="2"/>
  <c r="AF481" i="2"/>
  <c r="AJ481" i="2" s="1"/>
  <c r="Z481" i="2"/>
  <c r="AI480" i="2"/>
  <c r="AH480" i="2"/>
  <c r="AF480" i="2"/>
  <c r="AJ480" i="2" s="1"/>
  <c r="Z480" i="2"/>
  <c r="AI479" i="2"/>
  <c r="AH479" i="2"/>
  <c r="AF479" i="2"/>
  <c r="AJ479" i="2" s="1"/>
  <c r="Z479" i="2"/>
  <c r="AI478" i="2"/>
  <c r="AH478" i="2"/>
  <c r="AF478" i="2"/>
  <c r="AJ478" i="2" s="1"/>
  <c r="Z478" i="2"/>
  <c r="AI477" i="2"/>
  <c r="AH477" i="2"/>
  <c r="AF477" i="2"/>
  <c r="AJ477" i="2" s="1"/>
  <c r="Z477" i="2"/>
  <c r="AI476" i="2"/>
  <c r="AH476" i="2"/>
  <c r="AF476" i="2"/>
  <c r="AJ476" i="2" s="1"/>
  <c r="Z476" i="2"/>
  <c r="AI475" i="2"/>
  <c r="AH475" i="2"/>
  <c r="AF475" i="2"/>
  <c r="AJ475" i="2" s="1"/>
  <c r="Z475" i="2"/>
  <c r="AI474" i="2"/>
  <c r="AH474" i="2"/>
  <c r="AF474" i="2"/>
  <c r="AJ474" i="2" s="1"/>
  <c r="Z474" i="2"/>
  <c r="AI473" i="2"/>
  <c r="AH473" i="2"/>
  <c r="AF473" i="2"/>
  <c r="AJ473" i="2" s="1"/>
  <c r="Z473" i="2"/>
  <c r="AI472" i="2"/>
  <c r="AH472" i="2"/>
  <c r="AF472" i="2"/>
  <c r="AJ472" i="2" s="1"/>
  <c r="Z472" i="2"/>
  <c r="AI471" i="2"/>
  <c r="AH471" i="2"/>
  <c r="AF471" i="2"/>
  <c r="AJ471" i="2" s="1"/>
  <c r="Z471" i="2"/>
  <c r="AI470" i="2"/>
  <c r="AH470" i="2"/>
  <c r="AF470" i="2"/>
  <c r="AJ470" i="2" s="1"/>
  <c r="Z470" i="2"/>
  <c r="AI469" i="2"/>
  <c r="AH469" i="2"/>
  <c r="AF469" i="2"/>
  <c r="AJ469" i="2" s="1"/>
  <c r="Z469" i="2"/>
  <c r="AI468" i="2"/>
  <c r="AH468" i="2"/>
  <c r="AF468" i="2"/>
  <c r="AJ468" i="2" s="1"/>
  <c r="Z468" i="2"/>
  <c r="AI467" i="2"/>
  <c r="AH467" i="2"/>
  <c r="AF467" i="2"/>
  <c r="AJ467" i="2" s="1"/>
  <c r="Z467" i="2"/>
  <c r="AI466" i="2"/>
  <c r="AH466" i="2"/>
  <c r="AF466" i="2"/>
  <c r="AJ466" i="2" s="1"/>
  <c r="Z466" i="2"/>
  <c r="AI465" i="2"/>
  <c r="AH465" i="2"/>
  <c r="AF465" i="2"/>
  <c r="AJ465" i="2" s="1"/>
  <c r="Z465" i="2"/>
  <c r="AI464" i="2"/>
  <c r="AH464" i="2"/>
  <c r="AF464" i="2"/>
  <c r="AJ464" i="2" s="1"/>
  <c r="Z464" i="2"/>
  <c r="AI463" i="2"/>
  <c r="AH463" i="2"/>
  <c r="AF463" i="2"/>
  <c r="AJ463" i="2" s="1"/>
  <c r="Z463" i="2"/>
  <c r="AI462" i="2"/>
  <c r="AH462" i="2"/>
  <c r="AF462" i="2"/>
  <c r="AJ462" i="2" s="1"/>
  <c r="Z462" i="2"/>
  <c r="AI461" i="2"/>
  <c r="AH461" i="2"/>
  <c r="AF461" i="2"/>
  <c r="AJ461" i="2" s="1"/>
  <c r="Z461" i="2"/>
  <c r="AI460" i="2"/>
  <c r="AH460" i="2"/>
  <c r="AF460" i="2"/>
  <c r="AJ460" i="2" s="1"/>
  <c r="Z460" i="2"/>
  <c r="AI459" i="2"/>
  <c r="AH459" i="2"/>
  <c r="AF459" i="2"/>
  <c r="AJ459" i="2" s="1"/>
  <c r="Z459" i="2"/>
  <c r="AI458" i="2"/>
  <c r="AH458" i="2"/>
  <c r="AF458" i="2"/>
  <c r="AJ458" i="2" s="1"/>
  <c r="Z458" i="2"/>
  <c r="AI457" i="2"/>
  <c r="AH457" i="2"/>
  <c r="AF457" i="2"/>
  <c r="AJ457" i="2" s="1"/>
  <c r="Z457" i="2"/>
  <c r="AI456" i="2"/>
  <c r="AH456" i="2"/>
  <c r="AF456" i="2"/>
  <c r="AJ456" i="2" s="1"/>
  <c r="Z456" i="2"/>
  <c r="AI455" i="2"/>
  <c r="AH455" i="2"/>
  <c r="AF455" i="2"/>
  <c r="AJ455" i="2" s="1"/>
  <c r="Z455" i="2"/>
  <c r="AI454" i="2"/>
  <c r="AH454" i="2"/>
  <c r="AF454" i="2"/>
  <c r="AJ454" i="2" s="1"/>
  <c r="Z454" i="2"/>
  <c r="AI453" i="2"/>
  <c r="AH453" i="2"/>
  <c r="AF453" i="2"/>
  <c r="AJ453" i="2" s="1"/>
  <c r="Z453" i="2"/>
  <c r="AI452" i="2"/>
  <c r="AH452" i="2"/>
  <c r="AF452" i="2"/>
  <c r="AJ452" i="2" s="1"/>
  <c r="Z452" i="2"/>
  <c r="AI451" i="2"/>
  <c r="AH451" i="2"/>
  <c r="AF451" i="2"/>
  <c r="AJ451" i="2" s="1"/>
  <c r="Z451" i="2"/>
  <c r="AI450" i="2"/>
  <c r="AH450" i="2"/>
  <c r="AF450" i="2"/>
  <c r="AJ450" i="2" s="1"/>
  <c r="Z450" i="2"/>
  <c r="AJ449" i="2"/>
  <c r="AI449" i="2"/>
  <c r="AH449" i="2"/>
  <c r="AJ448" i="2"/>
  <c r="AI448" i="2"/>
  <c r="AH448" i="2"/>
  <c r="AJ447" i="2"/>
  <c r="AI447" i="2"/>
  <c r="AH447" i="2"/>
  <c r="AJ446" i="2"/>
  <c r="AI446" i="2"/>
  <c r="AH446" i="2"/>
  <c r="AJ445" i="2"/>
  <c r="AI445" i="2"/>
  <c r="AH445" i="2"/>
  <c r="AJ444" i="2"/>
  <c r="AI444" i="2"/>
  <c r="AH444" i="2"/>
  <c r="AI443" i="2"/>
  <c r="AH443" i="2"/>
  <c r="AF443" i="2"/>
  <c r="AJ443" i="2" s="1"/>
  <c r="Z443" i="2"/>
  <c r="AI442" i="2"/>
  <c r="AH442" i="2"/>
  <c r="AF442" i="2"/>
  <c r="AJ442" i="2" s="1"/>
  <c r="Z442" i="2"/>
  <c r="AI441" i="2"/>
  <c r="AH441" i="2"/>
  <c r="AF441" i="2"/>
  <c r="AJ441" i="2" s="1"/>
  <c r="Z441" i="2"/>
  <c r="AI440" i="2"/>
  <c r="AH440" i="2"/>
  <c r="AF440" i="2"/>
  <c r="AJ440" i="2" s="1"/>
  <c r="Z440" i="2"/>
  <c r="AI439" i="2"/>
  <c r="AH439" i="2"/>
  <c r="AF439" i="2"/>
  <c r="AJ439" i="2" s="1"/>
  <c r="Z439" i="2"/>
  <c r="AI438" i="2"/>
  <c r="AH438" i="2"/>
  <c r="AF438" i="2"/>
  <c r="AJ438" i="2" s="1"/>
  <c r="Z438" i="2"/>
  <c r="AI437" i="2"/>
  <c r="AH437" i="2"/>
  <c r="AF437" i="2"/>
  <c r="AJ437" i="2" s="1"/>
  <c r="Z437" i="2"/>
  <c r="AI436" i="2"/>
  <c r="AH436" i="2"/>
  <c r="AF436" i="2"/>
  <c r="AJ436" i="2" s="1"/>
  <c r="Z436" i="2"/>
  <c r="AI435" i="2"/>
  <c r="AH435" i="2"/>
  <c r="AF435" i="2"/>
  <c r="AJ435" i="2" s="1"/>
  <c r="Z435" i="2"/>
  <c r="AI434" i="2"/>
  <c r="AH434" i="2"/>
  <c r="AF434" i="2"/>
  <c r="AJ434" i="2" s="1"/>
  <c r="Z434" i="2"/>
  <c r="AI433" i="2"/>
  <c r="AH433" i="2"/>
  <c r="AF433" i="2"/>
  <c r="AJ433" i="2" s="1"/>
  <c r="Z433" i="2"/>
  <c r="AI432" i="2"/>
  <c r="AH432" i="2"/>
  <c r="AF432" i="2"/>
  <c r="AJ432" i="2" s="1"/>
  <c r="Z432" i="2"/>
  <c r="AJ431" i="2"/>
  <c r="AI431" i="2"/>
  <c r="AH431" i="2"/>
  <c r="AI430" i="2"/>
  <c r="AH430" i="2"/>
  <c r="AF430" i="2"/>
  <c r="AJ430" i="2" s="1"/>
  <c r="Z430" i="2"/>
  <c r="AI429" i="2"/>
  <c r="AH429" i="2"/>
  <c r="AF429" i="2"/>
  <c r="AJ429" i="2" s="1"/>
  <c r="Z429" i="2"/>
  <c r="AI428" i="2"/>
  <c r="AH428" i="2"/>
  <c r="AF428" i="2"/>
  <c r="AJ428" i="2" s="1"/>
  <c r="Z428" i="2"/>
  <c r="AI427" i="2"/>
  <c r="AH427" i="2"/>
  <c r="AF427" i="2"/>
  <c r="AJ427" i="2" s="1"/>
  <c r="Z427" i="2"/>
  <c r="AI426" i="2"/>
  <c r="AH426" i="2"/>
  <c r="AF426" i="2"/>
  <c r="AJ426" i="2" s="1"/>
  <c r="Z426" i="2"/>
  <c r="AI425" i="2"/>
  <c r="AH425" i="2"/>
  <c r="AF425" i="2"/>
  <c r="AJ425" i="2" s="1"/>
  <c r="Z425" i="2"/>
  <c r="AJ424" i="2"/>
  <c r="AI424" i="2"/>
  <c r="AH424" i="2"/>
  <c r="AF424" i="2"/>
  <c r="Z424" i="2"/>
  <c r="AI423" i="2"/>
  <c r="AH423" i="2"/>
  <c r="AF423" i="2"/>
  <c r="AJ423" i="2" s="1"/>
  <c r="Z423" i="2"/>
  <c r="AI422" i="2"/>
  <c r="AH422" i="2"/>
  <c r="AF422" i="2"/>
  <c r="AJ422" i="2" s="1"/>
  <c r="Z422" i="2"/>
  <c r="AI421" i="2"/>
  <c r="AH421" i="2"/>
  <c r="AF421" i="2"/>
  <c r="AJ421" i="2" s="1"/>
  <c r="Z421" i="2"/>
  <c r="AI420" i="2"/>
  <c r="AH420" i="2"/>
  <c r="AF420" i="2"/>
  <c r="AJ420" i="2" s="1"/>
  <c r="Z420" i="2"/>
  <c r="AI419" i="2"/>
  <c r="AH419" i="2"/>
  <c r="AF419" i="2"/>
  <c r="AJ419" i="2" s="1"/>
  <c r="Z419" i="2"/>
  <c r="AI418" i="2"/>
  <c r="AH418" i="2"/>
  <c r="AF418" i="2"/>
  <c r="AJ418" i="2" s="1"/>
  <c r="Z418" i="2"/>
  <c r="AI417" i="2"/>
  <c r="AH417" i="2"/>
  <c r="AF417" i="2"/>
  <c r="AJ417" i="2" s="1"/>
  <c r="Z417" i="2"/>
  <c r="AI416" i="2"/>
  <c r="AH416" i="2"/>
  <c r="AF416" i="2"/>
  <c r="AJ416" i="2" s="1"/>
  <c r="Z416" i="2"/>
  <c r="AI415" i="2"/>
  <c r="AH415" i="2"/>
  <c r="AF415" i="2"/>
  <c r="AJ415" i="2" s="1"/>
  <c r="Z415" i="2"/>
  <c r="AI414" i="2"/>
  <c r="AH414" i="2"/>
  <c r="AF414" i="2"/>
  <c r="AJ414" i="2" s="1"/>
  <c r="Z414" i="2"/>
  <c r="AI413" i="2"/>
  <c r="AH413" i="2"/>
  <c r="AF413" i="2"/>
  <c r="AJ413" i="2" s="1"/>
  <c r="Z413" i="2"/>
  <c r="AI412" i="2"/>
  <c r="AH412" i="2"/>
  <c r="AF412" i="2"/>
  <c r="AJ412" i="2" s="1"/>
  <c r="Z412" i="2"/>
  <c r="AI411" i="2"/>
  <c r="AH411" i="2"/>
  <c r="AF411" i="2"/>
  <c r="AJ411" i="2" s="1"/>
  <c r="Z411" i="2"/>
  <c r="AI410" i="2"/>
  <c r="AH410" i="2"/>
  <c r="AF410" i="2"/>
  <c r="AJ410" i="2" s="1"/>
  <c r="Z410" i="2"/>
  <c r="AI409" i="2"/>
  <c r="AH409" i="2"/>
  <c r="AF409" i="2"/>
  <c r="AJ409" i="2" s="1"/>
  <c r="Z409" i="2"/>
  <c r="AI408" i="2"/>
  <c r="AH408" i="2"/>
  <c r="AF408" i="2"/>
  <c r="AJ408" i="2" s="1"/>
  <c r="Z408" i="2"/>
  <c r="AI407" i="2"/>
  <c r="AH407" i="2"/>
  <c r="AF407" i="2"/>
  <c r="AJ407" i="2" s="1"/>
  <c r="Z407" i="2"/>
  <c r="AI406" i="2"/>
  <c r="AH406" i="2"/>
  <c r="AF406" i="2"/>
  <c r="AJ406" i="2" s="1"/>
  <c r="Z406" i="2"/>
  <c r="AI405" i="2"/>
  <c r="AH405" i="2"/>
  <c r="AF405" i="2"/>
  <c r="AJ405" i="2" s="1"/>
  <c r="Z405" i="2"/>
  <c r="AI404" i="2"/>
  <c r="AH404" i="2"/>
  <c r="AF404" i="2"/>
  <c r="AJ404" i="2" s="1"/>
  <c r="Z404" i="2"/>
  <c r="AJ403" i="2"/>
  <c r="AI403" i="2"/>
  <c r="AH403" i="2"/>
  <c r="AI402" i="2"/>
  <c r="AH402" i="2"/>
  <c r="AF402" i="2"/>
  <c r="AJ402" i="2" s="1"/>
  <c r="Z402" i="2"/>
  <c r="AI401" i="2"/>
  <c r="AH401" i="2"/>
  <c r="AF401" i="2"/>
  <c r="AJ401" i="2" s="1"/>
  <c r="Z401" i="2"/>
  <c r="AI400" i="2"/>
  <c r="AH400" i="2"/>
  <c r="AF400" i="2"/>
  <c r="AJ400" i="2" s="1"/>
  <c r="Z400" i="2"/>
  <c r="AI399" i="2"/>
  <c r="AH399" i="2"/>
  <c r="AF399" i="2"/>
  <c r="AJ399" i="2" s="1"/>
  <c r="Z399" i="2"/>
  <c r="AI398" i="2"/>
  <c r="AH398" i="2"/>
  <c r="AF398" i="2"/>
  <c r="AJ398" i="2" s="1"/>
  <c r="Z398" i="2"/>
  <c r="AI397" i="2"/>
  <c r="AH397" i="2"/>
  <c r="AF397" i="2"/>
  <c r="AJ397" i="2" s="1"/>
  <c r="Z397" i="2"/>
  <c r="AI396" i="2"/>
  <c r="AH396" i="2"/>
  <c r="AF396" i="2"/>
  <c r="AJ396" i="2" s="1"/>
  <c r="Z396" i="2"/>
  <c r="AI395" i="2"/>
  <c r="AH395" i="2"/>
  <c r="AF395" i="2"/>
  <c r="AJ395" i="2" s="1"/>
  <c r="Z395" i="2"/>
  <c r="AI394" i="2"/>
  <c r="AH394" i="2"/>
  <c r="AF394" i="2"/>
  <c r="AJ394" i="2" s="1"/>
  <c r="Z394" i="2"/>
  <c r="AI393" i="2"/>
  <c r="AH393" i="2"/>
  <c r="AF393" i="2"/>
  <c r="AJ393" i="2" s="1"/>
  <c r="Z393" i="2"/>
  <c r="AI392" i="2"/>
  <c r="AH392" i="2"/>
  <c r="AF392" i="2"/>
  <c r="AJ392" i="2" s="1"/>
  <c r="Z392" i="2"/>
  <c r="AI391" i="2"/>
  <c r="AH391" i="2"/>
  <c r="AF391" i="2"/>
  <c r="AJ391" i="2" s="1"/>
  <c r="Z391" i="2"/>
  <c r="AI390" i="2"/>
  <c r="AH390" i="2"/>
  <c r="AF390" i="2"/>
  <c r="AJ390" i="2" s="1"/>
  <c r="Z390" i="2"/>
  <c r="AI389" i="2"/>
  <c r="AH389" i="2"/>
  <c r="AF389" i="2"/>
  <c r="AJ389" i="2" s="1"/>
  <c r="Z389" i="2"/>
  <c r="AI388" i="2"/>
  <c r="AH388" i="2"/>
  <c r="AF388" i="2"/>
  <c r="AJ388" i="2" s="1"/>
  <c r="Z388" i="2"/>
  <c r="AI387" i="2"/>
  <c r="AH387" i="2"/>
  <c r="AF387" i="2"/>
  <c r="AJ387" i="2" s="1"/>
  <c r="Z387" i="2"/>
  <c r="AI386" i="2"/>
  <c r="AH386" i="2"/>
  <c r="AF386" i="2"/>
  <c r="AJ386" i="2" s="1"/>
  <c r="Z386" i="2"/>
  <c r="AI385" i="2"/>
  <c r="AH385" i="2"/>
  <c r="AF385" i="2"/>
  <c r="AJ385" i="2" s="1"/>
  <c r="Z385" i="2"/>
  <c r="AI384" i="2"/>
  <c r="AH384" i="2"/>
  <c r="AF384" i="2"/>
  <c r="AJ384" i="2" s="1"/>
  <c r="Z384" i="2"/>
  <c r="AI383" i="2"/>
  <c r="AH383" i="2"/>
  <c r="AF383" i="2"/>
  <c r="AJ383" i="2" s="1"/>
  <c r="Z383" i="2"/>
  <c r="AI382" i="2"/>
  <c r="AH382" i="2"/>
  <c r="AF382" i="2"/>
  <c r="AJ382" i="2" s="1"/>
  <c r="Z382" i="2"/>
  <c r="AI381" i="2"/>
  <c r="AH381" i="2"/>
  <c r="AF381" i="2"/>
  <c r="AJ381" i="2" s="1"/>
  <c r="Z381" i="2"/>
  <c r="AI380" i="2"/>
  <c r="AH380" i="2"/>
  <c r="AF380" i="2"/>
  <c r="AJ380" i="2" s="1"/>
  <c r="Z380" i="2"/>
  <c r="AJ379" i="2"/>
  <c r="AI379" i="2"/>
  <c r="AH379" i="2"/>
  <c r="AI378" i="2"/>
  <c r="AH378" i="2"/>
  <c r="AF378" i="2"/>
  <c r="AJ378" i="2" s="1"/>
  <c r="Z378" i="2"/>
  <c r="AI377" i="2"/>
  <c r="AH377" i="2"/>
  <c r="AF377" i="2"/>
  <c r="AJ377" i="2" s="1"/>
  <c r="Z377" i="2"/>
  <c r="AI376" i="2"/>
  <c r="AH376" i="2"/>
  <c r="AF376" i="2"/>
  <c r="AJ376" i="2" s="1"/>
  <c r="Z376" i="2"/>
  <c r="AI375" i="2"/>
  <c r="AH375" i="2"/>
  <c r="AF375" i="2"/>
  <c r="AJ375" i="2" s="1"/>
  <c r="Z375" i="2"/>
  <c r="AI374" i="2"/>
  <c r="AH374" i="2"/>
  <c r="AF374" i="2"/>
  <c r="AJ374" i="2" s="1"/>
  <c r="Z374" i="2"/>
  <c r="AI373" i="2"/>
  <c r="AH373" i="2"/>
  <c r="AF373" i="2"/>
  <c r="AJ373" i="2" s="1"/>
  <c r="Z373" i="2"/>
  <c r="AI372" i="2"/>
  <c r="AH372" i="2"/>
  <c r="AF372" i="2"/>
  <c r="AJ372" i="2" s="1"/>
  <c r="Z372" i="2"/>
  <c r="AI371" i="2"/>
  <c r="AH371" i="2"/>
  <c r="AF371" i="2"/>
  <c r="AJ371" i="2" s="1"/>
  <c r="Z371" i="2"/>
  <c r="AI370" i="2"/>
  <c r="AH370" i="2"/>
  <c r="AF370" i="2"/>
  <c r="AJ370" i="2" s="1"/>
  <c r="Z370" i="2"/>
  <c r="AI369" i="2"/>
  <c r="AH369" i="2"/>
  <c r="AF369" i="2"/>
  <c r="AJ369" i="2" s="1"/>
  <c r="Z369" i="2"/>
  <c r="AI368" i="2"/>
  <c r="AH368" i="2"/>
  <c r="AF368" i="2"/>
  <c r="AJ368" i="2" s="1"/>
  <c r="Z368" i="2"/>
  <c r="AI367" i="2"/>
  <c r="AH367" i="2"/>
  <c r="AF367" i="2"/>
  <c r="AJ367" i="2" s="1"/>
  <c r="Z367" i="2"/>
  <c r="AI366" i="2"/>
  <c r="AH366" i="2"/>
  <c r="AF366" i="2"/>
  <c r="AJ366" i="2" s="1"/>
  <c r="Z366" i="2"/>
  <c r="AI365" i="2"/>
  <c r="AH365" i="2"/>
  <c r="AF365" i="2"/>
  <c r="AJ365" i="2" s="1"/>
  <c r="Z365" i="2"/>
  <c r="AI364" i="2"/>
  <c r="AH364" i="2"/>
  <c r="AF364" i="2"/>
  <c r="AJ364" i="2" s="1"/>
  <c r="Z364" i="2"/>
  <c r="AI363" i="2"/>
  <c r="AH363" i="2"/>
  <c r="AF363" i="2"/>
  <c r="AJ363" i="2" s="1"/>
  <c r="Z363" i="2"/>
  <c r="AI362" i="2"/>
  <c r="AH362" i="2"/>
  <c r="AF362" i="2"/>
  <c r="AJ362" i="2" s="1"/>
  <c r="Z362" i="2"/>
  <c r="AI361" i="2"/>
  <c r="AH361" i="2"/>
  <c r="AF361" i="2"/>
  <c r="AJ361" i="2" s="1"/>
  <c r="Z361" i="2"/>
  <c r="AI360" i="2"/>
  <c r="AH360" i="2"/>
  <c r="AF360" i="2"/>
  <c r="AJ360" i="2" s="1"/>
  <c r="Z360" i="2"/>
  <c r="AI359" i="2"/>
  <c r="AH359" i="2"/>
  <c r="AF359" i="2"/>
  <c r="AJ359" i="2" s="1"/>
  <c r="Z359" i="2"/>
  <c r="AI358" i="2"/>
  <c r="AH358" i="2"/>
  <c r="AF358" i="2"/>
  <c r="AJ358" i="2" s="1"/>
  <c r="Z358" i="2"/>
  <c r="AI357" i="2"/>
  <c r="AH357" i="2"/>
  <c r="AF357" i="2"/>
  <c r="AJ357" i="2" s="1"/>
  <c r="Z357" i="2"/>
  <c r="AI356" i="2"/>
  <c r="AH356" i="2"/>
  <c r="AF356" i="2"/>
  <c r="AJ356" i="2" s="1"/>
  <c r="Z356" i="2"/>
  <c r="AI355" i="2"/>
  <c r="AH355" i="2"/>
  <c r="AF355" i="2"/>
  <c r="AJ355" i="2" s="1"/>
  <c r="Z355" i="2"/>
  <c r="AI354" i="2"/>
  <c r="AH354" i="2"/>
  <c r="AF354" i="2"/>
  <c r="AJ354" i="2" s="1"/>
  <c r="Z354" i="2"/>
  <c r="AI353" i="2"/>
  <c r="AH353" i="2"/>
  <c r="AF353" i="2"/>
  <c r="AJ353" i="2" s="1"/>
  <c r="Z353" i="2"/>
  <c r="AI352" i="2"/>
  <c r="AH352" i="2"/>
  <c r="AF352" i="2"/>
  <c r="AJ352" i="2" s="1"/>
  <c r="Z352" i="2"/>
  <c r="AI351" i="2"/>
  <c r="AH351" i="2"/>
  <c r="AF351" i="2"/>
  <c r="AJ351" i="2" s="1"/>
  <c r="Z351" i="2"/>
  <c r="AI350" i="2"/>
  <c r="AH350" i="2"/>
  <c r="AF350" i="2"/>
  <c r="AJ350" i="2" s="1"/>
  <c r="Z350" i="2"/>
  <c r="AI349" i="2"/>
  <c r="AH349" i="2"/>
  <c r="AF349" i="2"/>
  <c r="AJ349" i="2" s="1"/>
  <c r="Z349" i="2"/>
  <c r="AI348" i="2"/>
  <c r="AH348" i="2"/>
  <c r="AF348" i="2"/>
  <c r="AJ348" i="2" s="1"/>
  <c r="Z348" i="2"/>
  <c r="AI347" i="2"/>
  <c r="AH347" i="2"/>
  <c r="AF347" i="2"/>
  <c r="AJ347" i="2" s="1"/>
  <c r="Z347" i="2"/>
  <c r="AI346" i="2"/>
  <c r="AH346" i="2"/>
  <c r="AF346" i="2"/>
  <c r="AJ346" i="2" s="1"/>
  <c r="Z346" i="2"/>
  <c r="AI345" i="2"/>
  <c r="AH345" i="2"/>
  <c r="AF345" i="2"/>
  <c r="AJ345" i="2" s="1"/>
  <c r="Z345" i="2"/>
  <c r="AI344" i="2"/>
  <c r="AH344" i="2"/>
  <c r="AF344" i="2"/>
  <c r="AJ344" i="2" s="1"/>
  <c r="Z344" i="2"/>
  <c r="AI343" i="2"/>
  <c r="AH343" i="2"/>
  <c r="AF343" i="2"/>
  <c r="AJ343" i="2" s="1"/>
  <c r="Z343" i="2"/>
  <c r="AI342" i="2"/>
  <c r="AH342" i="2"/>
  <c r="AF342" i="2"/>
  <c r="AJ342" i="2" s="1"/>
  <c r="Z342" i="2"/>
  <c r="AI341" i="2"/>
  <c r="AH341" i="2"/>
  <c r="AF341" i="2"/>
  <c r="AJ341" i="2" s="1"/>
  <c r="Z341" i="2"/>
  <c r="AI340" i="2"/>
  <c r="AH340" i="2"/>
  <c r="AF340" i="2"/>
  <c r="AJ340" i="2" s="1"/>
  <c r="Z340" i="2"/>
  <c r="AI339" i="2"/>
  <c r="AH339" i="2"/>
  <c r="AF339" i="2"/>
  <c r="AJ339" i="2" s="1"/>
  <c r="Z339" i="2"/>
  <c r="AI338" i="2"/>
  <c r="AH338" i="2"/>
  <c r="AF338" i="2"/>
  <c r="AJ338" i="2" s="1"/>
  <c r="Z338" i="2"/>
  <c r="AJ337" i="2"/>
  <c r="AI337" i="2"/>
  <c r="AH337" i="2"/>
  <c r="AF337" i="2"/>
  <c r="Z337" i="2"/>
  <c r="AI336" i="2"/>
  <c r="AH336" i="2"/>
  <c r="AF336" i="2"/>
  <c r="AJ336" i="2" s="1"/>
  <c r="Z336" i="2"/>
  <c r="AI335" i="2"/>
  <c r="AH335" i="2"/>
  <c r="AF335" i="2"/>
  <c r="AJ335" i="2" s="1"/>
  <c r="Z335" i="2"/>
  <c r="AI334" i="2"/>
  <c r="AH334" i="2"/>
  <c r="AF334" i="2"/>
  <c r="AJ334" i="2" s="1"/>
  <c r="Z334" i="2"/>
  <c r="AI333" i="2"/>
  <c r="AH333" i="2"/>
  <c r="AF333" i="2"/>
  <c r="AJ333" i="2" s="1"/>
  <c r="Z333" i="2"/>
  <c r="AI332" i="2"/>
  <c r="AH332" i="2"/>
  <c r="AF332" i="2"/>
  <c r="AJ332" i="2" s="1"/>
  <c r="Z332" i="2"/>
  <c r="AI331" i="2"/>
  <c r="AH331" i="2"/>
  <c r="AF331" i="2"/>
  <c r="AJ331" i="2" s="1"/>
  <c r="Z331" i="2"/>
  <c r="AJ330" i="2"/>
  <c r="AI330" i="2"/>
  <c r="AH330" i="2"/>
  <c r="AF330" i="2"/>
  <c r="Z330" i="2"/>
  <c r="AI329" i="2"/>
  <c r="AH329" i="2"/>
  <c r="AF329" i="2"/>
  <c r="AJ329" i="2" s="1"/>
  <c r="Z329" i="2"/>
  <c r="AI328" i="2"/>
  <c r="AH328" i="2"/>
  <c r="AF328" i="2"/>
  <c r="AJ328" i="2" s="1"/>
  <c r="Z328" i="2"/>
  <c r="AI327" i="2"/>
  <c r="AH327" i="2"/>
  <c r="AF327" i="2"/>
  <c r="AJ327" i="2" s="1"/>
  <c r="Z327" i="2"/>
  <c r="AI326" i="2"/>
  <c r="AH326" i="2"/>
  <c r="AF326" i="2"/>
  <c r="AJ326" i="2" s="1"/>
  <c r="Z326" i="2"/>
  <c r="AJ325" i="2"/>
  <c r="AI325" i="2"/>
  <c r="AH325" i="2"/>
  <c r="AF325" i="2"/>
  <c r="Z325" i="2"/>
  <c r="AI324" i="2"/>
  <c r="AH324" i="2"/>
  <c r="AF324" i="2"/>
  <c r="AJ324" i="2" s="1"/>
  <c r="Z324" i="2"/>
  <c r="AI323" i="2"/>
  <c r="AH323" i="2"/>
  <c r="AF323" i="2"/>
  <c r="AJ323" i="2" s="1"/>
  <c r="Z323" i="2"/>
  <c r="AI322" i="2"/>
  <c r="AH322" i="2"/>
  <c r="AF322" i="2"/>
  <c r="AJ322" i="2" s="1"/>
  <c r="Z322" i="2"/>
  <c r="AI321" i="2"/>
  <c r="AH321" i="2"/>
  <c r="AF321" i="2"/>
  <c r="AJ321" i="2" s="1"/>
  <c r="Z321" i="2"/>
  <c r="AI320" i="2"/>
  <c r="AH320" i="2"/>
  <c r="AF320" i="2"/>
  <c r="AJ320" i="2" s="1"/>
  <c r="Z320" i="2"/>
  <c r="AI319" i="2"/>
  <c r="AH319" i="2"/>
  <c r="AF319" i="2"/>
  <c r="AJ319" i="2" s="1"/>
  <c r="Z319" i="2"/>
  <c r="AI318" i="2"/>
  <c r="AH318" i="2"/>
  <c r="AF318" i="2"/>
  <c r="AJ318" i="2" s="1"/>
  <c r="Z318" i="2"/>
  <c r="AI317" i="2"/>
  <c r="AH317" i="2"/>
  <c r="AF317" i="2"/>
  <c r="AJ317" i="2" s="1"/>
  <c r="Z317" i="2"/>
  <c r="AI316" i="2"/>
  <c r="AH316" i="2"/>
  <c r="AF316" i="2"/>
  <c r="AJ316" i="2" s="1"/>
  <c r="Z316" i="2"/>
  <c r="AI315" i="2"/>
  <c r="AH315" i="2"/>
  <c r="AF315" i="2"/>
  <c r="AJ315" i="2" s="1"/>
  <c r="Z315" i="2"/>
  <c r="AI314" i="2"/>
  <c r="AH314" i="2"/>
  <c r="AF314" i="2"/>
  <c r="AJ314" i="2" s="1"/>
  <c r="Z314" i="2"/>
  <c r="AI313" i="2"/>
  <c r="AH313" i="2"/>
  <c r="AF313" i="2"/>
  <c r="AJ313" i="2" s="1"/>
  <c r="Z313" i="2"/>
  <c r="AI312" i="2"/>
  <c r="AH312" i="2"/>
  <c r="AF312" i="2"/>
  <c r="AJ312" i="2" s="1"/>
  <c r="Z312" i="2"/>
  <c r="AI311" i="2"/>
  <c r="AH311" i="2"/>
  <c r="AF311" i="2"/>
  <c r="AJ311" i="2" s="1"/>
  <c r="Z311" i="2"/>
  <c r="AI310" i="2"/>
  <c r="AH310" i="2"/>
  <c r="AF310" i="2"/>
  <c r="AJ310" i="2" s="1"/>
  <c r="Z310" i="2"/>
  <c r="AI309" i="2"/>
  <c r="AH309" i="2"/>
  <c r="AF309" i="2"/>
  <c r="AJ309" i="2" s="1"/>
  <c r="Z309" i="2"/>
  <c r="AI308" i="2"/>
  <c r="AH308" i="2"/>
  <c r="AF308" i="2"/>
  <c r="AJ308" i="2" s="1"/>
  <c r="Z308" i="2"/>
  <c r="AI307" i="2"/>
  <c r="AH307" i="2"/>
  <c r="AF307" i="2"/>
  <c r="AJ307" i="2" s="1"/>
  <c r="Z307" i="2"/>
  <c r="AI306" i="2"/>
  <c r="AH306" i="2"/>
  <c r="AF306" i="2"/>
  <c r="AJ306" i="2" s="1"/>
  <c r="Z306" i="2"/>
  <c r="AI305" i="2"/>
  <c r="AH305" i="2"/>
  <c r="AF305" i="2"/>
  <c r="AJ305" i="2" s="1"/>
  <c r="Z305" i="2"/>
  <c r="AI304" i="2"/>
  <c r="AH304" i="2"/>
  <c r="AF304" i="2"/>
  <c r="AJ304" i="2" s="1"/>
  <c r="Z304" i="2"/>
  <c r="AI303" i="2"/>
  <c r="AH303" i="2"/>
  <c r="AF303" i="2"/>
  <c r="AJ303" i="2" s="1"/>
  <c r="Z303" i="2"/>
  <c r="AI302" i="2"/>
  <c r="AH302" i="2"/>
  <c r="AF302" i="2"/>
  <c r="AJ302" i="2" s="1"/>
  <c r="Z302" i="2"/>
  <c r="AI301" i="2"/>
  <c r="AH301" i="2"/>
  <c r="AF301" i="2"/>
  <c r="AJ301" i="2" s="1"/>
  <c r="Z301" i="2"/>
  <c r="AI300" i="2"/>
  <c r="AH300" i="2"/>
  <c r="AF300" i="2"/>
  <c r="AJ300" i="2" s="1"/>
  <c r="Z300" i="2"/>
  <c r="AI299" i="2"/>
  <c r="AH299" i="2"/>
  <c r="AF299" i="2"/>
  <c r="AJ299" i="2" s="1"/>
  <c r="Z299" i="2"/>
  <c r="AI298" i="2"/>
  <c r="AH298" i="2"/>
  <c r="AF298" i="2"/>
  <c r="AJ298" i="2" s="1"/>
  <c r="Z298" i="2"/>
  <c r="AI297" i="2"/>
  <c r="AH297" i="2"/>
  <c r="AF297" i="2"/>
  <c r="AJ297" i="2" s="1"/>
  <c r="Z297" i="2"/>
  <c r="AI296" i="2"/>
  <c r="AH296" i="2"/>
  <c r="AF296" i="2"/>
  <c r="AJ296" i="2" s="1"/>
  <c r="Z296" i="2"/>
  <c r="AI295" i="2"/>
  <c r="AH295" i="2"/>
  <c r="AF295" i="2"/>
  <c r="AJ295" i="2" s="1"/>
  <c r="Z295" i="2"/>
  <c r="AI294" i="2"/>
  <c r="AH294" i="2"/>
  <c r="AF294" i="2"/>
  <c r="AJ294" i="2" s="1"/>
  <c r="Z294" i="2"/>
  <c r="AI293" i="2"/>
  <c r="AH293" i="2"/>
  <c r="AF293" i="2"/>
  <c r="AJ293" i="2" s="1"/>
  <c r="Z293" i="2"/>
  <c r="AI292" i="2"/>
  <c r="AH292" i="2"/>
  <c r="AF292" i="2"/>
  <c r="AJ292" i="2" s="1"/>
  <c r="Z292" i="2"/>
  <c r="AI291" i="2"/>
  <c r="AH291" i="2"/>
  <c r="AF291" i="2"/>
  <c r="AJ291" i="2" s="1"/>
  <c r="Z291" i="2"/>
  <c r="AI290" i="2"/>
  <c r="AH290" i="2"/>
  <c r="AF290" i="2"/>
  <c r="AJ290" i="2" s="1"/>
  <c r="Z290" i="2"/>
  <c r="AI289" i="2"/>
  <c r="AH289" i="2"/>
  <c r="AF289" i="2"/>
  <c r="AJ289" i="2" s="1"/>
  <c r="Z289" i="2"/>
  <c r="AI288" i="2"/>
  <c r="AH288" i="2"/>
  <c r="AF288" i="2"/>
  <c r="AJ288" i="2" s="1"/>
  <c r="Z288" i="2"/>
  <c r="AI287" i="2"/>
  <c r="AH287" i="2"/>
  <c r="AF287" i="2"/>
  <c r="AJ287" i="2" s="1"/>
  <c r="Z287" i="2"/>
  <c r="AI286" i="2"/>
  <c r="AH286" i="2"/>
  <c r="AF286" i="2"/>
  <c r="AJ286" i="2" s="1"/>
  <c r="Z286" i="2"/>
  <c r="AI285" i="2"/>
  <c r="AH285" i="2"/>
  <c r="AF285" i="2"/>
  <c r="AJ285" i="2" s="1"/>
  <c r="Z285" i="2"/>
  <c r="AI284" i="2"/>
  <c r="AH284" i="2"/>
  <c r="AF284" i="2"/>
  <c r="AJ284" i="2" s="1"/>
  <c r="Z284" i="2"/>
  <c r="AI283" i="2"/>
  <c r="AH283" i="2"/>
  <c r="AF283" i="2"/>
  <c r="AJ283" i="2" s="1"/>
  <c r="Z283" i="2"/>
  <c r="AI282" i="2"/>
  <c r="AH282" i="2"/>
  <c r="AF282" i="2"/>
  <c r="AJ282" i="2" s="1"/>
  <c r="Z282" i="2"/>
  <c r="AI281" i="2"/>
  <c r="AH281" i="2"/>
  <c r="AF281" i="2"/>
  <c r="AJ281" i="2" s="1"/>
  <c r="Z281" i="2"/>
  <c r="AI280" i="2"/>
  <c r="AH280" i="2"/>
  <c r="AF280" i="2"/>
  <c r="AJ280" i="2" s="1"/>
  <c r="Z280" i="2"/>
  <c r="AI279" i="2"/>
  <c r="AH279" i="2"/>
  <c r="AF279" i="2"/>
  <c r="AJ279" i="2" s="1"/>
  <c r="Z279" i="2"/>
  <c r="AI278" i="2"/>
  <c r="AH278" i="2"/>
  <c r="AF278" i="2"/>
  <c r="AJ278" i="2" s="1"/>
  <c r="Z278" i="2"/>
  <c r="AI277" i="2"/>
  <c r="AH277" i="2"/>
  <c r="AF277" i="2"/>
  <c r="AJ277" i="2" s="1"/>
  <c r="Z277" i="2"/>
  <c r="AI276" i="2"/>
  <c r="AH276" i="2"/>
  <c r="AF276" i="2"/>
  <c r="AJ276" i="2" s="1"/>
  <c r="Z276" i="2"/>
  <c r="AI275" i="2"/>
  <c r="AH275" i="2"/>
  <c r="AF275" i="2"/>
  <c r="AJ275" i="2" s="1"/>
  <c r="Z275" i="2"/>
  <c r="AI274" i="2"/>
  <c r="AH274" i="2"/>
  <c r="AF274" i="2"/>
  <c r="AJ274" i="2" s="1"/>
  <c r="Z274" i="2"/>
  <c r="AI273" i="2"/>
  <c r="AH273" i="2"/>
  <c r="AF273" i="2"/>
  <c r="AJ273" i="2" s="1"/>
  <c r="Z273" i="2"/>
  <c r="AJ272" i="2"/>
  <c r="AI272" i="2"/>
  <c r="AH272" i="2"/>
  <c r="AF272" i="2"/>
  <c r="Z272" i="2"/>
  <c r="AI271" i="2"/>
  <c r="AH271" i="2"/>
  <c r="AF271" i="2"/>
  <c r="AJ271" i="2" s="1"/>
  <c r="Z271" i="2"/>
  <c r="AI270" i="2"/>
  <c r="AH270" i="2"/>
  <c r="AF270" i="2"/>
  <c r="AJ270" i="2" s="1"/>
  <c r="Z270" i="2"/>
  <c r="AI269" i="2"/>
  <c r="AH269" i="2"/>
  <c r="AF269" i="2"/>
  <c r="AJ269" i="2" s="1"/>
  <c r="Z269" i="2"/>
  <c r="AI268" i="2"/>
  <c r="AH268" i="2"/>
  <c r="AF268" i="2"/>
  <c r="AJ268" i="2" s="1"/>
  <c r="Z268" i="2"/>
  <c r="AI267" i="2"/>
  <c r="AH267" i="2"/>
  <c r="AF267" i="2"/>
  <c r="AJ267" i="2" s="1"/>
  <c r="Z267" i="2"/>
  <c r="AI266" i="2"/>
  <c r="AH266" i="2"/>
  <c r="AF266" i="2"/>
  <c r="AJ266" i="2" s="1"/>
  <c r="Z266" i="2"/>
  <c r="AI265" i="2"/>
  <c r="AH265" i="2"/>
  <c r="AF265" i="2"/>
  <c r="AJ265" i="2" s="1"/>
  <c r="Z265" i="2"/>
  <c r="AI264" i="2"/>
  <c r="AH264" i="2"/>
  <c r="AF264" i="2"/>
  <c r="AJ264" i="2" s="1"/>
  <c r="Z264" i="2"/>
  <c r="AI263" i="2"/>
  <c r="AH263" i="2"/>
  <c r="AF263" i="2"/>
  <c r="AJ263" i="2" s="1"/>
  <c r="Z263" i="2"/>
  <c r="AJ262" i="2"/>
  <c r="AI262" i="2"/>
  <c r="AH262" i="2"/>
  <c r="AF262" i="2"/>
  <c r="Z262" i="2"/>
  <c r="AI261" i="2"/>
  <c r="AH261" i="2"/>
  <c r="AF261" i="2"/>
  <c r="AJ261" i="2" s="1"/>
  <c r="Z261" i="2"/>
  <c r="AI260" i="2"/>
  <c r="AH260" i="2"/>
  <c r="AF260" i="2"/>
  <c r="AJ260" i="2" s="1"/>
  <c r="Z260" i="2"/>
  <c r="AI259" i="2"/>
  <c r="AH259" i="2"/>
  <c r="AF259" i="2"/>
  <c r="AJ259" i="2" s="1"/>
  <c r="Z259" i="2"/>
  <c r="AI258" i="2"/>
  <c r="AH258" i="2"/>
  <c r="AF258" i="2"/>
  <c r="AJ258" i="2" s="1"/>
  <c r="Z258" i="2"/>
  <c r="AI257" i="2"/>
  <c r="AH257" i="2"/>
  <c r="AF257" i="2"/>
  <c r="AJ257" i="2" s="1"/>
  <c r="Z257" i="2"/>
  <c r="AI256" i="2"/>
  <c r="AH256" i="2"/>
  <c r="AF256" i="2"/>
  <c r="AJ256" i="2" s="1"/>
  <c r="Z256" i="2"/>
  <c r="AI255" i="2"/>
  <c r="AH255" i="2"/>
  <c r="AF255" i="2"/>
  <c r="AJ255" i="2" s="1"/>
  <c r="Z255" i="2"/>
  <c r="AI254" i="2"/>
  <c r="AH254" i="2"/>
  <c r="AF254" i="2"/>
  <c r="AJ254" i="2" s="1"/>
  <c r="Z254" i="2"/>
  <c r="AI253" i="2"/>
  <c r="AH253" i="2"/>
  <c r="AF253" i="2"/>
  <c r="AJ253" i="2" s="1"/>
  <c r="Z253" i="2"/>
  <c r="AI252" i="2"/>
  <c r="AH252" i="2"/>
  <c r="AF252" i="2"/>
  <c r="AJ252" i="2" s="1"/>
  <c r="Z252" i="2"/>
  <c r="AI251" i="2"/>
  <c r="AH251" i="2"/>
  <c r="AF251" i="2"/>
  <c r="AJ251" i="2" s="1"/>
  <c r="Z251" i="2"/>
  <c r="AI250" i="2"/>
  <c r="AH250" i="2"/>
  <c r="AF250" i="2"/>
  <c r="AJ250" i="2" s="1"/>
  <c r="Z250" i="2"/>
  <c r="AI249" i="2"/>
  <c r="AH249" i="2"/>
  <c r="AF249" i="2"/>
  <c r="AJ249" i="2" s="1"/>
  <c r="Z249" i="2"/>
  <c r="AI248" i="2"/>
  <c r="AH248" i="2"/>
  <c r="AF248" i="2"/>
  <c r="AJ248" i="2" s="1"/>
  <c r="Z248" i="2"/>
  <c r="AJ247" i="2"/>
  <c r="AI247" i="2"/>
  <c r="AH247" i="2"/>
  <c r="AJ246" i="2"/>
  <c r="AI246" i="2"/>
  <c r="AH246" i="2"/>
  <c r="AI245" i="2"/>
  <c r="AH245" i="2"/>
  <c r="AF245" i="2"/>
  <c r="AJ245" i="2" s="1"/>
  <c r="Z245" i="2"/>
  <c r="AI244" i="2"/>
  <c r="AH244" i="2"/>
  <c r="AF244" i="2"/>
  <c r="AJ244" i="2" s="1"/>
  <c r="Z244" i="2"/>
  <c r="AI243" i="2"/>
  <c r="AH243" i="2"/>
  <c r="AF243" i="2"/>
  <c r="AJ243" i="2" s="1"/>
  <c r="Z243" i="2"/>
  <c r="AI242" i="2"/>
  <c r="AH242" i="2"/>
  <c r="AF242" i="2"/>
  <c r="AJ242" i="2" s="1"/>
  <c r="Z242" i="2"/>
  <c r="AI241" i="2"/>
  <c r="AH241" i="2"/>
  <c r="AF241" i="2"/>
  <c r="AJ241" i="2" s="1"/>
  <c r="Z241" i="2"/>
  <c r="AI240" i="2"/>
  <c r="AH240" i="2"/>
  <c r="AF240" i="2"/>
  <c r="AJ240" i="2" s="1"/>
  <c r="Z240" i="2"/>
  <c r="AI239" i="2"/>
  <c r="AH239" i="2"/>
  <c r="AF239" i="2"/>
  <c r="AJ239" i="2" s="1"/>
  <c r="Z239" i="2"/>
  <c r="AI238" i="2"/>
  <c r="AH238" i="2"/>
  <c r="AF238" i="2"/>
  <c r="AJ238" i="2" s="1"/>
  <c r="Z238" i="2"/>
  <c r="AI237" i="2"/>
  <c r="AH237" i="2"/>
  <c r="AF237" i="2"/>
  <c r="AJ237" i="2" s="1"/>
  <c r="Z237" i="2"/>
  <c r="AI236" i="2"/>
  <c r="AH236" i="2"/>
  <c r="AF236" i="2"/>
  <c r="AJ236" i="2" s="1"/>
  <c r="Z236" i="2"/>
  <c r="AI235" i="2"/>
  <c r="AH235" i="2"/>
  <c r="AF235" i="2"/>
  <c r="AJ235" i="2" s="1"/>
  <c r="Z235" i="2"/>
  <c r="AJ234" i="2"/>
  <c r="AI234" i="2"/>
  <c r="AH234" i="2"/>
  <c r="AI233" i="2"/>
  <c r="AH233" i="2"/>
  <c r="AF233" i="2"/>
  <c r="AJ233" i="2" s="1"/>
  <c r="Z233" i="2"/>
  <c r="AI232" i="2"/>
  <c r="AH232" i="2"/>
  <c r="AF232" i="2"/>
  <c r="AJ232" i="2" s="1"/>
  <c r="Z232" i="2"/>
  <c r="AI231" i="2"/>
  <c r="AH231" i="2"/>
  <c r="AF231" i="2"/>
  <c r="AJ231" i="2" s="1"/>
  <c r="Z231" i="2"/>
  <c r="AI230" i="2"/>
  <c r="AH230" i="2"/>
  <c r="AF230" i="2"/>
  <c r="AJ230" i="2" s="1"/>
  <c r="Z230" i="2"/>
  <c r="AI229" i="2"/>
  <c r="AH229" i="2"/>
  <c r="AF229" i="2"/>
  <c r="AJ229" i="2" s="1"/>
  <c r="Z229" i="2"/>
  <c r="AI228" i="2"/>
  <c r="AH228" i="2"/>
  <c r="AF228" i="2"/>
  <c r="AJ228" i="2" s="1"/>
  <c r="Z228" i="2"/>
  <c r="AI227" i="2"/>
  <c r="AH227" i="2"/>
  <c r="AF227" i="2"/>
  <c r="AJ227" i="2" s="1"/>
  <c r="Z227" i="2"/>
  <c r="AI226" i="2"/>
  <c r="AH226" i="2"/>
  <c r="AF226" i="2"/>
  <c r="AJ226" i="2" s="1"/>
  <c r="Z226" i="2"/>
  <c r="AI225" i="2"/>
  <c r="AH225" i="2"/>
  <c r="AF225" i="2"/>
  <c r="AJ225" i="2" s="1"/>
  <c r="Z225" i="2"/>
  <c r="AI224" i="2"/>
  <c r="AH224" i="2"/>
  <c r="AF224" i="2"/>
  <c r="AJ224" i="2" s="1"/>
  <c r="Z224" i="2"/>
  <c r="AJ223" i="2"/>
  <c r="AI223" i="2"/>
  <c r="AH223" i="2"/>
  <c r="AF223" i="2"/>
  <c r="Z223" i="2"/>
  <c r="AI222" i="2"/>
  <c r="AH222" i="2"/>
  <c r="AF222" i="2"/>
  <c r="AJ222" i="2" s="1"/>
  <c r="Z222" i="2"/>
  <c r="AI221" i="2"/>
  <c r="AH221" i="2"/>
  <c r="AF221" i="2"/>
  <c r="AJ221" i="2" s="1"/>
  <c r="Z221" i="2"/>
  <c r="AI220" i="2"/>
  <c r="AH220" i="2"/>
  <c r="AF220" i="2"/>
  <c r="AJ220" i="2" s="1"/>
  <c r="Z220" i="2"/>
  <c r="AI219" i="2"/>
  <c r="AH219" i="2"/>
  <c r="AF219" i="2"/>
  <c r="AJ219" i="2" s="1"/>
  <c r="Z219" i="2"/>
  <c r="AI218" i="2"/>
  <c r="AH218" i="2"/>
  <c r="AF218" i="2"/>
  <c r="AJ218" i="2" s="1"/>
  <c r="Z218" i="2"/>
  <c r="AI217" i="2"/>
  <c r="AH217" i="2"/>
  <c r="AF217" i="2"/>
  <c r="AJ217" i="2" s="1"/>
  <c r="Z217" i="2"/>
  <c r="AI216" i="2"/>
  <c r="AH216" i="2"/>
  <c r="AF216" i="2"/>
  <c r="AJ216" i="2" s="1"/>
  <c r="Z216" i="2"/>
  <c r="AI215" i="2"/>
  <c r="AH215" i="2"/>
  <c r="AF215" i="2"/>
  <c r="AJ215" i="2" s="1"/>
  <c r="Z215" i="2"/>
  <c r="AJ214" i="2"/>
  <c r="AI214" i="2"/>
  <c r="AH214" i="2"/>
  <c r="AI213" i="2"/>
  <c r="AH213" i="2"/>
  <c r="AF213" i="2"/>
  <c r="AJ213" i="2" s="1"/>
  <c r="Z213" i="2"/>
  <c r="AJ212" i="2"/>
  <c r="AI212" i="2"/>
  <c r="AH212" i="2"/>
  <c r="AF212" i="2"/>
  <c r="Z212" i="2"/>
  <c r="AI211" i="2"/>
  <c r="AH211" i="2"/>
  <c r="AF211" i="2"/>
  <c r="AJ211" i="2" s="1"/>
  <c r="Z211" i="2"/>
  <c r="AI210" i="2"/>
  <c r="AH210" i="2"/>
  <c r="AF210" i="2"/>
  <c r="AJ210" i="2" s="1"/>
  <c r="Z210" i="2"/>
  <c r="AJ209" i="2"/>
  <c r="AI209" i="2"/>
  <c r="AH209" i="2"/>
  <c r="AF209" i="2"/>
  <c r="Z209" i="2"/>
  <c r="AI208" i="2"/>
  <c r="AH208" i="2"/>
  <c r="AF208" i="2"/>
  <c r="AJ208" i="2" s="1"/>
  <c r="Z208" i="2"/>
  <c r="AI207" i="2"/>
  <c r="AH207" i="2"/>
  <c r="AF207" i="2"/>
  <c r="AJ207" i="2" s="1"/>
  <c r="Z207" i="2"/>
  <c r="AI206" i="2"/>
  <c r="AH206" i="2"/>
  <c r="AF206" i="2"/>
  <c r="AJ206" i="2" s="1"/>
  <c r="Z206" i="2"/>
  <c r="AI205" i="2"/>
  <c r="AH205" i="2"/>
  <c r="AF205" i="2"/>
  <c r="AJ205" i="2" s="1"/>
  <c r="Z205" i="2"/>
  <c r="AI204" i="2"/>
  <c r="AH204" i="2"/>
  <c r="AF204" i="2"/>
  <c r="AJ204" i="2" s="1"/>
  <c r="Z204" i="2"/>
  <c r="AI203" i="2"/>
  <c r="AH203" i="2"/>
  <c r="AF203" i="2"/>
  <c r="AJ203" i="2" s="1"/>
  <c r="Z203" i="2"/>
  <c r="AJ202" i="2"/>
  <c r="AI202" i="2"/>
  <c r="AH202" i="2"/>
  <c r="AF202" i="2"/>
  <c r="Z202" i="2"/>
  <c r="AI201" i="2"/>
  <c r="AH201" i="2"/>
  <c r="AF201" i="2"/>
  <c r="AJ201" i="2" s="1"/>
  <c r="Z201" i="2"/>
  <c r="AI200" i="2"/>
  <c r="AH200" i="2"/>
  <c r="AF200" i="2"/>
  <c r="AJ200" i="2" s="1"/>
  <c r="Z200" i="2"/>
  <c r="AI199" i="2"/>
  <c r="AH199" i="2"/>
  <c r="AF199" i="2"/>
  <c r="AJ199" i="2" s="1"/>
  <c r="Z199" i="2"/>
  <c r="AI198" i="2"/>
  <c r="AH198" i="2"/>
  <c r="AF198" i="2"/>
  <c r="AJ198" i="2" s="1"/>
  <c r="Z198" i="2"/>
  <c r="AI197" i="2"/>
  <c r="AH197" i="2"/>
  <c r="AF197" i="2"/>
  <c r="AJ197" i="2" s="1"/>
  <c r="Z197" i="2"/>
  <c r="AI196" i="2"/>
  <c r="AH196" i="2"/>
  <c r="AF196" i="2"/>
  <c r="AJ196" i="2" s="1"/>
  <c r="Z196" i="2"/>
  <c r="AJ195" i="2"/>
  <c r="AI195" i="2"/>
  <c r="AH195" i="2"/>
  <c r="AI194" i="2"/>
  <c r="AH194" i="2"/>
  <c r="AF194" i="2"/>
  <c r="AJ194" i="2" s="1"/>
  <c r="Z194" i="2"/>
  <c r="AI193" i="2"/>
  <c r="AH193" i="2"/>
  <c r="AF193" i="2"/>
  <c r="AJ193" i="2" s="1"/>
  <c r="Z193" i="2"/>
  <c r="AI192" i="2"/>
  <c r="AH192" i="2"/>
  <c r="AF192" i="2"/>
  <c r="AJ192" i="2" s="1"/>
  <c r="Z192" i="2"/>
  <c r="AI191" i="2"/>
  <c r="AH191" i="2"/>
  <c r="AF191" i="2"/>
  <c r="AJ191" i="2" s="1"/>
  <c r="Z191" i="2"/>
  <c r="AI190" i="2"/>
  <c r="AH190" i="2"/>
  <c r="AF190" i="2"/>
  <c r="AJ190" i="2" s="1"/>
  <c r="Z190" i="2"/>
  <c r="AI189" i="2"/>
  <c r="AH189" i="2"/>
  <c r="AF189" i="2"/>
  <c r="AJ189" i="2" s="1"/>
  <c r="Z189" i="2"/>
  <c r="AI188" i="2"/>
  <c r="AH188" i="2"/>
  <c r="AF188" i="2"/>
  <c r="AJ188" i="2" s="1"/>
  <c r="Z188" i="2"/>
  <c r="AI187" i="2"/>
  <c r="AH187" i="2"/>
  <c r="AF187" i="2"/>
  <c r="AJ187" i="2" s="1"/>
  <c r="Z187" i="2"/>
  <c r="AI186" i="2"/>
  <c r="AH186" i="2"/>
  <c r="AF186" i="2"/>
  <c r="AJ186" i="2" s="1"/>
  <c r="Z186" i="2"/>
  <c r="AI185" i="2"/>
  <c r="AH185" i="2"/>
  <c r="AF185" i="2"/>
  <c r="AJ185" i="2" s="1"/>
  <c r="Z185" i="2"/>
  <c r="AI184" i="2"/>
  <c r="AH184" i="2"/>
  <c r="AF184" i="2"/>
  <c r="AJ184" i="2" s="1"/>
  <c r="Z184" i="2"/>
  <c r="AI183" i="2"/>
  <c r="AH183" i="2"/>
  <c r="AF183" i="2"/>
  <c r="AJ183" i="2" s="1"/>
  <c r="Z183" i="2"/>
  <c r="AI182" i="2"/>
  <c r="AH182" i="2"/>
  <c r="AF182" i="2"/>
  <c r="AJ182" i="2" s="1"/>
  <c r="Z182" i="2"/>
  <c r="AI181" i="2"/>
  <c r="AH181" i="2"/>
  <c r="AF181" i="2"/>
  <c r="AJ181" i="2" s="1"/>
  <c r="Z181" i="2"/>
  <c r="AI180" i="2"/>
  <c r="AH180" i="2"/>
  <c r="AF180" i="2"/>
  <c r="AJ180" i="2" s="1"/>
  <c r="Z180" i="2"/>
  <c r="AI179" i="2"/>
  <c r="AH179" i="2"/>
  <c r="AF179" i="2"/>
  <c r="AJ179" i="2" s="1"/>
  <c r="Z179" i="2"/>
  <c r="AI178" i="2"/>
  <c r="AH178" i="2"/>
  <c r="AF178" i="2"/>
  <c r="AJ178" i="2" s="1"/>
  <c r="Z178" i="2"/>
  <c r="AI177" i="2"/>
  <c r="AH177" i="2"/>
  <c r="AF177" i="2"/>
  <c r="AJ177" i="2" s="1"/>
  <c r="Z177" i="2"/>
  <c r="AI176" i="2"/>
  <c r="AH176" i="2"/>
  <c r="AF176" i="2"/>
  <c r="AJ176" i="2" s="1"/>
  <c r="Z176" i="2"/>
  <c r="AI175" i="2"/>
  <c r="AH175" i="2"/>
  <c r="AF175" i="2"/>
  <c r="AJ175" i="2" s="1"/>
  <c r="Z175" i="2"/>
  <c r="AI174" i="2"/>
  <c r="AH174" i="2"/>
  <c r="AF174" i="2"/>
  <c r="AJ174" i="2" s="1"/>
  <c r="Z174" i="2"/>
  <c r="AI173" i="2"/>
  <c r="AH173" i="2"/>
  <c r="AF173" i="2"/>
  <c r="AJ173" i="2" s="1"/>
  <c r="Z173" i="2"/>
  <c r="AI172" i="2"/>
  <c r="AH172" i="2"/>
  <c r="AF172" i="2"/>
  <c r="AJ172" i="2" s="1"/>
  <c r="Z172" i="2"/>
  <c r="AI171" i="2"/>
  <c r="AH171" i="2"/>
  <c r="AF171" i="2"/>
  <c r="AJ171" i="2" s="1"/>
  <c r="Z171" i="2"/>
  <c r="AI170" i="2"/>
  <c r="AH170" i="2"/>
  <c r="AF170" i="2"/>
  <c r="AJ170" i="2" s="1"/>
  <c r="Z170" i="2"/>
  <c r="AI169" i="2"/>
  <c r="AH169" i="2"/>
  <c r="AF169" i="2"/>
  <c r="AJ169" i="2" s="1"/>
  <c r="Z169" i="2"/>
  <c r="AI168" i="2"/>
  <c r="AH168" i="2"/>
  <c r="AF168" i="2"/>
  <c r="AJ168" i="2" s="1"/>
  <c r="Z168" i="2"/>
  <c r="AI167" i="2"/>
  <c r="AH167" i="2"/>
  <c r="AF167" i="2"/>
  <c r="AJ167" i="2" s="1"/>
  <c r="Z167" i="2"/>
  <c r="AI166" i="2"/>
  <c r="AH166" i="2"/>
  <c r="AF166" i="2"/>
  <c r="AJ166" i="2" s="1"/>
  <c r="Z166" i="2"/>
  <c r="AI165" i="2"/>
  <c r="AH165" i="2"/>
  <c r="AF165" i="2"/>
  <c r="AJ165" i="2" s="1"/>
  <c r="Z165" i="2"/>
  <c r="AJ164" i="2"/>
  <c r="AI164" i="2"/>
  <c r="AH164" i="2"/>
  <c r="AI163" i="2"/>
  <c r="AH163" i="2"/>
  <c r="AF163" i="2"/>
  <c r="AJ163" i="2" s="1"/>
  <c r="Z163" i="2"/>
  <c r="AI162" i="2"/>
  <c r="AH162" i="2"/>
  <c r="AF162" i="2"/>
  <c r="AJ162" i="2" s="1"/>
  <c r="Z162" i="2"/>
  <c r="AI161" i="2"/>
  <c r="AH161" i="2"/>
  <c r="AF161" i="2"/>
  <c r="AJ161" i="2" s="1"/>
  <c r="Z161" i="2"/>
  <c r="AI160" i="2"/>
  <c r="AH160" i="2"/>
  <c r="AF160" i="2"/>
  <c r="AJ160" i="2" s="1"/>
  <c r="Z160" i="2"/>
  <c r="AI159" i="2"/>
  <c r="AH159" i="2"/>
  <c r="AF159" i="2"/>
  <c r="AJ159" i="2" s="1"/>
  <c r="Z159" i="2"/>
  <c r="AI158" i="2"/>
  <c r="AH158" i="2"/>
  <c r="AF158" i="2"/>
  <c r="AJ158" i="2" s="1"/>
  <c r="Z158" i="2"/>
  <c r="AI157" i="2"/>
  <c r="AH157" i="2"/>
  <c r="AF157" i="2"/>
  <c r="AJ157" i="2" s="1"/>
  <c r="Z157" i="2"/>
  <c r="AI156" i="2"/>
  <c r="AH156" i="2"/>
  <c r="AF156" i="2"/>
  <c r="AJ156" i="2" s="1"/>
  <c r="Z156" i="2"/>
  <c r="AI155" i="2"/>
  <c r="AH155" i="2"/>
  <c r="AF155" i="2"/>
  <c r="AJ155" i="2" s="1"/>
  <c r="Z155" i="2"/>
  <c r="AI154" i="2"/>
  <c r="AH154" i="2"/>
  <c r="AF154" i="2"/>
  <c r="AJ154" i="2" s="1"/>
  <c r="Z154" i="2"/>
  <c r="AI153" i="2"/>
  <c r="AH153" i="2"/>
  <c r="AF153" i="2"/>
  <c r="AJ153" i="2" s="1"/>
  <c r="Z153" i="2"/>
  <c r="AI152" i="2"/>
  <c r="AH152" i="2"/>
  <c r="AF152" i="2"/>
  <c r="AJ152" i="2" s="1"/>
  <c r="Z152" i="2"/>
  <c r="AI151" i="2"/>
  <c r="AH151" i="2"/>
  <c r="AF151" i="2"/>
  <c r="AJ151" i="2" s="1"/>
  <c r="Z151" i="2"/>
  <c r="AI150" i="2"/>
  <c r="AH150" i="2"/>
  <c r="AF150" i="2"/>
  <c r="AJ150" i="2" s="1"/>
  <c r="Z150" i="2"/>
  <c r="AI149" i="2"/>
  <c r="AH149" i="2"/>
  <c r="AF149" i="2"/>
  <c r="AJ149" i="2" s="1"/>
  <c r="Z149" i="2"/>
  <c r="AI148" i="2"/>
  <c r="AH148" i="2"/>
  <c r="AF148" i="2"/>
  <c r="AJ148" i="2" s="1"/>
  <c r="Z148" i="2"/>
  <c r="AI147" i="2"/>
  <c r="AH147" i="2"/>
  <c r="AF147" i="2"/>
  <c r="AJ147" i="2" s="1"/>
  <c r="Z147" i="2"/>
  <c r="AI146" i="2"/>
  <c r="AH146" i="2"/>
  <c r="AF146" i="2"/>
  <c r="AJ146" i="2" s="1"/>
  <c r="Z146" i="2"/>
  <c r="AI145" i="2"/>
  <c r="AH145" i="2"/>
  <c r="AF145" i="2"/>
  <c r="AJ145" i="2" s="1"/>
  <c r="Z145" i="2"/>
  <c r="AI144" i="2"/>
  <c r="AH144" i="2"/>
  <c r="AF144" i="2"/>
  <c r="AJ144" i="2" s="1"/>
  <c r="Z144" i="2"/>
  <c r="AI143" i="2"/>
  <c r="AH143" i="2"/>
  <c r="AF143" i="2"/>
  <c r="AJ143" i="2" s="1"/>
  <c r="Z143" i="2"/>
  <c r="AI142" i="2"/>
  <c r="AH142" i="2"/>
  <c r="AF142" i="2"/>
  <c r="AJ142" i="2" s="1"/>
  <c r="Z142" i="2"/>
  <c r="AJ141" i="2"/>
  <c r="AI141" i="2"/>
  <c r="AH141" i="2"/>
  <c r="AI140" i="2"/>
  <c r="AH140" i="2"/>
  <c r="AF140" i="2"/>
  <c r="AJ140" i="2" s="1"/>
  <c r="Z140" i="2"/>
  <c r="AI139" i="2"/>
  <c r="AH139" i="2"/>
  <c r="AF139" i="2"/>
  <c r="AJ139" i="2" s="1"/>
  <c r="Z139" i="2"/>
  <c r="AI138" i="2"/>
  <c r="AH138" i="2"/>
  <c r="AF138" i="2"/>
  <c r="AJ138" i="2" s="1"/>
  <c r="Z138" i="2"/>
  <c r="AI137" i="2"/>
  <c r="AH137" i="2"/>
  <c r="AF137" i="2"/>
  <c r="AJ137" i="2" s="1"/>
  <c r="Z137" i="2"/>
  <c r="AI136" i="2"/>
  <c r="AH136" i="2"/>
  <c r="AF136" i="2"/>
  <c r="AJ136" i="2" s="1"/>
  <c r="Z136" i="2"/>
  <c r="AI135" i="2"/>
  <c r="AH135" i="2"/>
  <c r="AF135" i="2"/>
  <c r="AJ135" i="2" s="1"/>
  <c r="Z135" i="2"/>
  <c r="AI134" i="2"/>
  <c r="AH134" i="2"/>
  <c r="AF134" i="2"/>
  <c r="AJ134" i="2" s="1"/>
  <c r="Z134" i="2"/>
  <c r="AI133" i="2"/>
  <c r="AH133" i="2"/>
  <c r="AF133" i="2"/>
  <c r="AJ133" i="2" s="1"/>
  <c r="Z133" i="2"/>
  <c r="AI132" i="2"/>
  <c r="AH132" i="2"/>
  <c r="AF132" i="2"/>
  <c r="AJ132" i="2" s="1"/>
  <c r="Z132" i="2"/>
  <c r="AI131" i="2"/>
  <c r="AH131" i="2"/>
  <c r="AF131" i="2"/>
  <c r="AJ131" i="2" s="1"/>
  <c r="Z131" i="2"/>
  <c r="AI130" i="2"/>
  <c r="AH130" i="2"/>
  <c r="AF130" i="2"/>
  <c r="AJ130" i="2" s="1"/>
  <c r="Z130" i="2"/>
  <c r="AI129" i="2"/>
  <c r="AH129" i="2"/>
  <c r="AF129" i="2"/>
  <c r="AJ129" i="2" s="1"/>
  <c r="Z129" i="2"/>
  <c r="AI128" i="2"/>
  <c r="AH128" i="2"/>
  <c r="AF128" i="2"/>
  <c r="AJ128" i="2" s="1"/>
  <c r="Z128" i="2"/>
  <c r="AI127" i="2"/>
  <c r="AH127" i="2"/>
  <c r="AF127" i="2"/>
  <c r="AJ127" i="2" s="1"/>
  <c r="Z127" i="2"/>
  <c r="AJ126" i="2"/>
  <c r="AI126" i="2"/>
  <c r="AH126" i="2"/>
  <c r="AI125" i="2"/>
  <c r="AH125" i="2"/>
  <c r="AF125" i="2"/>
  <c r="AJ125" i="2" s="1"/>
  <c r="Z125" i="2"/>
  <c r="AI124" i="2"/>
  <c r="AH124" i="2"/>
  <c r="AF124" i="2"/>
  <c r="AJ124" i="2" s="1"/>
  <c r="Z124" i="2"/>
  <c r="AI123" i="2"/>
  <c r="AH123" i="2"/>
  <c r="AF123" i="2"/>
  <c r="AJ123" i="2" s="1"/>
  <c r="Z123" i="2"/>
  <c r="AI122" i="2"/>
  <c r="AH122" i="2"/>
  <c r="AF122" i="2"/>
  <c r="AJ122" i="2" s="1"/>
  <c r="Z122" i="2"/>
  <c r="AI121" i="2"/>
  <c r="AH121" i="2"/>
  <c r="AF121" i="2"/>
  <c r="AJ121" i="2" s="1"/>
  <c r="Z121" i="2"/>
  <c r="AI120" i="2"/>
  <c r="AH120" i="2"/>
  <c r="AF120" i="2"/>
  <c r="AJ120" i="2" s="1"/>
  <c r="Z120" i="2"/>
  <c r="AI119" i="2"/>
  <c r="AH119" i="2"/>
  <c r="AF119" i="2"/>
  <c r="AJ119" i="2" s="1"/>
  <c r="Z119" i="2"/>
  <c r="AI118" i="2"/>
  <c r="AH118" i="2"/>
  <c r="AF118" i="2"/>
  <c r="AJ118" i="2" s="1"/>
  <c r="Z118" i="2"/>
  <c r="AI117" i="2"/>
  <c r="AH117" i="2"/>
  <c r="AF117" i="2"/>
  <c r="AJ117" i="2" s="1"/>
  <c r="Z117" i="2"/>
  <c r="AJ116" i="2"/>
  <c r="AI116" i="2"/>
  <c r="AH116" i="2"/>
  <c r="AI115" i="2"/>
  <c r="AH115" i="2"/>
  <c r="AF115" i="2"/>
  <c r="AJ115" i="2" s="1"/>
  <c r="Z115" i="2"/>
  <c r="AI114" i="2"/>
  <c r="AH114" i="2"/>
  <c r="AF114" i="2"/>
  <c r="AJ114" i="2" s="1"/>
  <c r="Z114" i="2"/>
  <c r="AI113" i="2"/>
  <c r="AH113" i="2"/>
  <c r="AF113" i="2"/>
  <c r="AJ113" i="2" s="1"/>
  <c r="Z113" i="2"/>
  <c r="AI112" i="2"/>
  <c r="AH112" i="2"/>
  <c r="AF112" i="2"/>
  <c r="AJ112" i="2" s="1"/>
  <c r="Z112" i="2"/>
  <c r="AI111" i="2"/>
  <c r="AH111" i="2"/>
  <c r="AF111" i="2"/>
  <c r="AJ111" i="2" s="1"/>
  <c r="Z111" i="2"/>
  <c r="AI110" i="2"/>
  <c r="AH110" i="2"/>
  <c r="AF110" i="2"/>
  <c r="AJ110" i="2" s="1"/>
  <c r="Z110" i="2"/>
  <c r="AI109" i="2"/>
  <c r="AH109" i="2"/>
  <c r="AF109" i="2"/>
  <c r="AJ109" i="2" s="1"/>
  <c r="Z109" i="2"/>
  <c r="AI108" i="2"/>
  <c r="AH108" i="2"/>
  <c r="AF108" i="2"/>
  <c r="AJ108" i="2" s="1"/>
  <c r="Z108" i="2"/>
  <c r="AI107" i="2"/>
  <c r="AH107" i="2"/>
  <c r="AF107" i="2"/>
  <c r="AJ107" i="2" s="1"/>
  <c r="Z107" i="2"/>
  <c r="AI106" i="2"/>
  <c r="AH106" i="2"/>
  <c r="AF106" i="2"/>
  <c r="AJ106" i="2" s="1"/>
  <c r="Z106" i="2"/>
  <c r="AI105" i="2"/>
  <c r="AH105" i="2"/>
  <c r="AF105" i="2"/>
  <c r="AJ105" i="2" s="1"/>
  <c r="Z105" i="2"/>
  <c r="AI104" i="2"/>
  <c r="AH104" i="2"/>
  <c r="AF104" i="2"/>
  <c r="AJ104" i="2" s="1"/>
  <c r="Z104" i="2"/>
  <c r="AI103" i="2"/>
  <c r="AH103" i="2"/>
  <c r="AF103" i="2"/>
  <c r="AJ103" i="2" s="1"/>
  <c r="Z103" i="2"/>
  <c r="AI102" i="2"/>
  <c r="AH102" i="2"/>
  <c r="AF102" i="2"/>
  <c r="AJ102" i="2" s="1"/>
  <c r="Z102" i="2"/>
  <c r="AI101" i="2"/>
  <c r="AH101" i="2"/>
  <c r="AF101" i="2"/>
  <c r="AJ101" i="2" s="1"/>
  <c r="Z101" i="2"/>
  <c r="AI100" i="2"/>
  <c r="AH100" i="2"/>
  <c r="AF100" i="2"/>
  <c r="AJ100" i="2" s="1"/>
  <c r="Z100" i="2"/>
  <c r="AI99" i="2"/>
  <c r="AH99" i="2"/>
  <c r="AF99" i="2"/>
  <c r="AJ99" i="2" s="1"/>
  <c r="Z99" i="2"/>
  <c r="AI98" i="2"/>
  <c r="AH98" i="2"/>
  <c r="AF98" i="2"/>
  <c r="AJ98" i="2" s="1"/>
  <c r="Z98" i="2"/>
  <c r="AI97" i="2"/>
  <c r="AH97" i="2"/>
  <c r="AF97" i="2"/>
  <c r="AJ97" i="2" s="1"/>
  <c r="Z97" i="2"/>
  <c r="AI96" i="2"/>
  <c r="AH96" i="2"/>
  <c r="AF96" i="2"/>
  <c r="AJ96" i="2" s="1"/>
  <c r="Z96" i="2"/>
  <c r="AI95" i="2"/>
  <c r="AH95" i="2"/>
  <c r="AF95" i="2"/>
  <c r="AJ95" i="2" s="1"/>
  <c r="Z95" i="2"/>
  <c r="AI94" i="2"/>
  <c r="AH94" i="2"/>
  <c r="AF94" i="2"/>
  <c r="AJ94" i="2" s="1"/>
  <c r="Z94" i="2"/>
  <c r="AI93" i="2"/>
  <c r="AH93" i="2"/>
  <c r="AF93" i="2"/>
  <c r="AJ93" i="2" s="1"/>
  <c r="Z93" i="2"/>
  <c r="AI92" i="2"/>
  <c r="AH92" i="2"/>
  <c r="AF92" i="2"/>
  <c r="AJ92" i="2" s="1"/>
  <c r="Z92" i="2"/>
  <c r="AJ91" i="2"/>
  <c r="AI91" i="2"/>
  <c r="AH91" i="2"/>
  <c r="AJ90" i="2"/>
  <c r="AI90" i="2"/>
  <c r="AH90" i="2"/>
  <c r="AI89" i="2"/>
  <c r="AH89" i="2"/>
  <c r="AF89" i="2"/>
  <c r="AJ89" i="2" s="1"/>
  <c r="Z89" i="2"/>
  <c r="AI88" i="2"/>
  <c r="AH88" i="2"/>
  <c r="AF88" i="2"/>
  <c r="AJ88" i="2" s="1"/>
  <c r="Z88" i="2"/>
  <c r="AI87" i="2"/>
  <c r="AH87" i="2"/>
  <c r="AF87" i="2"/>
  <c r="AJ87" i="2" s="1"/>
  <c r="Z87" i="2"/>
  <c r="AI86" i="2"/>
  <c r="AH86" i="2"/>
  <c r="AF86" i="2"/>
  <c r="AJ86" i="2" s="1"/>
  <c r="Z86" i="2"/>
  <c r="AI85" i="2"/>
  <c r="AH85" i="2"/>
  <c r="AF85" i="2"/>
  <c r="AJ85" i="2" s="1"/>
  <c r="Z85" i="2"/>
  <c r="AI84" i="2"/>
  <c r="AH84" i="2"/>
  <c r="AF84" i="2"/>
  <c r="AJ84" i="2" s="1"/>
  <c r="Z84" i="2"/>
  <c r="AI83" i="2"/>
  <c r="AH83" i="2"/>
  <c r="AF83" i="2"/>
  <c r="AJ83" i="2" s="1"/>
  <c r="Z83" i="2"/>
  <c r="AJ82" i="2"/>
  <c r="AI82" i="2"/>
  <c r="AH82" i="2"/>
  <c r="AI81" i="2"/>
  <c r="AH81" i="2"/>
  <c r="AF81" i="2"/>
  <c r="AJ81" i="2" s="1"/>
  <c r="Z81" i="2"/>
  <c r="AI80" i="2"/>
  <c r="AH80" i="2"/>
  <c r="AF80" i="2"/>
  <c r="AJ80" i="2" s="1"/>
  <c r="Z80" i="2"/>
  <c r="AI79" i="2"/>
  <c r="AH79" i="2"/>
  <c r="AF79" i="2"/>
  <c r="AJ79" i="2" s="1"/>
  <c r="Z79" i="2"/>
  <c r="AI78" i="2"/>
  <c r="AH78" i="2"/>
  <c r="AF78" i="2"/>
  <c r="AJ78" i="2" s="1"/>
  <c r="Z78" i="2"/>
  <c r="AI77" i="2"/>
  <c r="AH77" i="2"/>
  <c r="AF77" i="2"/>
  <c r="AJ77" i="2" s="1"/>
  <c r="Z77" i="2"/>
  <c r="AI76" i="2"/>
  <c r="AH76" i="2"/>
  <c r="AF76" i="2"/>
  <c r="AJ76" i="2" s="1"/>
  <c r="Z76" i="2"/>
  <c r="AI75" i="2"/>
  <c r="AH75" i="2"/>
  <c r="AF75" i="2"/>
  <c r="AJ75" i="2" s="1"/>
  <c r="Z75" i="2"/>
  <c r="AI74" i="2"/>
  <c r="AH74" i="2"/>
  <c r="AF74" i="2"/>
  <c r="AJ74" i="2" s="1"/>
  <c r="Z74" i="2"/>
  <c r="AI73" i="2"/>
  <c r="AH73" i="2"/>
  <c r="AF73" i="2"/>
  <c r="AJ73" i="2" s="1"/>
  <c r="Z73" i="2"/>
  <c r="AI72" i="2"/>
  <c r="AH72" i="2"/>
  <c r="AF72" i="2"/>
  <c r="AJ72" i="2" s="1"/>
  <c r="Z72" i="2"/>
  <c r="AI71" i="2"/>
  <c r="AH71" i="2"/>
  <c r="AF71" i="2"/>
  <c r="AJ71" i="2" s="1"/>
  <c r="Z71" i="2"/>
  <c r="AI70" i="2"/>
  <c r="AH70" i="2"/>
  <c r="AF70" i="2"/>
  <c r="AJ70" i="2" s="1"/>
  <c r="Z70" i="2"/>
  <c r="AI69" i="2"/>
  <c r="AH69" i="2"/>
  <c r="AF69" i="2"/>
  <c r="AJ69" i="2" s="1"/>
  <c r="Z69" i="2"/>
  <c r="AI68" i="2"/>
  <c r="AH68" i="2"/>
  <c r="AF68" i="2"/>
  <c r="AJ68" i="2" s="1"/>
  <c r="Z68" i="2"/>
  <c r="AI67" i="2"/>
  <c r="AH67" i="2"/>
  <c r="AF67" i="2"/>
  <c r="AJ67" i="2" s="1"/>
  <c r="Z67" i="2"/>
  <c r="AJ66" i="2"/>
  <c r="AI66" i="2"/>
  <c r="AH66" i="2"/>
  <c r="AI65" i="2"/>
  <c r="AH65" i="2"/>
  <c r="AF65" i="2"/>
  <c r="AJ65" i="2" s="1"/>
  <c r="Z65" i="2"/>
  <c r="AI64" i="2"/>
  <c r="AH64" i="2"/>
  <c r="AF64" i="2"/>
  <c r="AJ64" i="2" s="1"/>
  <c r="Z64" i="2"/>
  <c r="AI63" i="2"/>
  <c r="AH63" i="2"/>
  <c r="AF63" i="2"/>
  <c r="AJ63" i="2" s="1"/>
  <c r="Z63" i="2"/>
  <c r="AJ62" i="2"/>
  <c r="AI62" i="2"/>
  <c r="AH62" i="2"/>
  <c r="AI61" i="2"/>
  <c r="AH61" i="2"/>
  <c r="AF61" i="2"/>
  <c r="AJ61" i="2" s="1"/>
  <c r="Z61" i="2"/>
  <c r="AI60" i="2"/>
  <c r="AH60" i="2"/>
  <c r="AF60" i="2"/>
  <c r="AJ60" i="2" s="1"/>
  <c r="Z60" i="2"/>
  <c r="AI59" i="2"/>
  <c r="AH59" i="2"/>
  <c r="AF59" i="2"/>
  <c r="AJ59" i="2" s="1"/>
  <c r="Z59" i="2"/>
  <c r="AI58" i="2"/>
  <c r="AH58" i="2"/>
  <c r="AF58" i="2"/>
  <c r="AJ58" i="2" s="1"/>
  <c r="Z58" i="2"/>
  <c r="AJ57" i="2"/>
  <c r="AI57" i="2"/>
  <c r="AH57" i="2"/>
  <c r="AJ56" i="2"/>
  <c r="AI56" i="2"/>
  <c r="AH56" i="2"/>
  <c r="AI55" i="2"/>
  <c r="AH55" i="2"/>
  <c r="AF55" i="2"/>
  <c r="AJ55" i="2" s="1"/>
  <c r="Z55" i="2"/>
  <c r="AI54" i="2"/>
  <c r="AH54" i="2"/>
  <c r="AF54" i="2"/>
  <c r="AJ54" i="2" s="1"/>
  <c r="Z54" i="2"/>
  <c r="AJ53" i="2"/>
  <c r="AI53" i="2"/>
  <c r="AH53" i="2"/>
  <c r="AI52" i="2"/>
  <c r="AH52" i="2"/>
  <c r="AF52" i="2"/>
  <c r="AJ52" i="2" s="1"/>
  <c r="Z52" i="2"/>
  <c r="AI51" i="2"/>
  <c r="AH51" i="2"/>
  <c r="AF51" i="2"/>
  <c r="AJ51" i="2" s="1"/>
  <c r="Z51" i="2"/>
  <c r="AI50" i="2"/>
  <c r="AH50" i="2"/>
  <c r="AF50" i="2"/>
  <c r="AJ50" i="2" s="1"/>
  <c r="Z50" i="2"/>
  <c r="AI49" i="2"/>
  <c r="AH49" i="2"/>
  <c r="AF49" i="2"/>
  <c r="AJ49" i="2" s="1"/>
  <c r="Z49" i="2"/>
  <c r="AI48" i="2"/>
  <c r="AH48" i="2"/>
  <c r="AF48" i="2"/>
  <c r="AJ48" i="2" s="1"/>
  <c r="Z48" i="2"/>
  <c r="AI47" i="2"/>
  <c r="AH47" i="2"/>
  <c r="AF47" i="2"/>
  <c r="AJ47" i="2" s="1"/>
  <c r="Z47" i="2"/>
  <c r="AI46" i="2"/>
  <c r="AH46" i="2"/>
  <c r="AF46" i="2"/>
  <c r="AJ46" i="2" s="1"/>
  <c r="Z46" i="2"/>
  <c r="AI45" i="2"/>
  <c r="AH45" i="2"/>
  <c r="AF45" i="2"/>
  <c r="AJ45" i="2" s="1"/>
  <c r="Z45" i="2"/>
  <c r="AI44" i="2"/>
  <c r="AH44" i="2"/>
  <c r="AF44" i="2"/>
  <c r="AJ44" i="2" s="1"/>
  <c r="Z44" i="2"/>
  <c r="AI43" i="2"/>
  <c r="AH43" i="2"/>
  <c r="AF43" i="2"/>
  <c r="AJ43" i="2" s="1"/>
  <c r="Z43" i="2"/>
  <c r="AI42" i="2"/>
  <c r="AH42" i="2"/>
  <c r="AF42" i="2"/>
  <c r="AJ42" i="2" s="1"/>
  <c r="Z42" i="2"/>
  <c r="AI41" i="2"/>
  <c r="AH41" i="2"/>
  <c r="AF41" i="2"/>
  <c r="AJ41" i="2" s="1"/>
  <c r="Z41" i="2"/>
  <c r="AI40" i="2"/>
  <c r="AH40" i="2"/>
  <c r="AF40" i="2"/>
  <c r="AJ40" i="2" s="1"/>
  <c r="Z40" i="2"/>
  <c r="AI39" i="2"/>
  <c r="AH39" i="2"/>
  <c r="AF39" i="2"/>
  <c r="AJ39" i="2" s="1"/>
  <c r="Z39" i="2"/>
  <c r="AI38" i="2"/>
  <c r="AH38" i="2"/>
  <c r="AF38" i="2"/>
  <c r="AJ38" i="2" s="1"/>
  <c r="Z38" i="2"/>
  <c r="AI37" i="2"/>
  <c r="AH37" i="2"/>
  <c r="AF37" i="2"/>
  <c r="AJ37" i="2" s="1"/>
  <c r="Z37" i="2"/>
  <c r="AI36" i="2"/>
  <c r="AH36" i="2"/>
  <c r="AF36" i="2"/>
  <c r="AJ36" i="2" s="1"/>
  <c r="Z36" i="2"/>
  <c r="AI35" i="2"/>
  <c r="AH35" i="2"/>
  <c r="AF35" i="2"/>
  <c r="AJ35" i="2" s="1"/>
  <c r="Z35" i="2"/>
  <c r="AI34" i="2"/>
  <c r="AH34" i="2"/>
  <c r="AF34" i="2"/>
  <c r="AJ34" i="2" s="1"/>
  <c r="Z34" i="2"/>
  <c r="AI33" i="2"/>
  <c r="AH33" i="2"/>
  <c r="AF33" i="2"/>
  <c r="AJ33" i="2" s="1"/>
  <c r="Z33" i="2"/>
  <c r="AI32" i="2"/>
  <c r="AH32" i="2"/>
  <c r="AF32" i="2"/>
  <c r="AJ32" i="2" s="1"/>
  <c r="Z32" i="2"/>
  <c r="AI31" i="2"/>
  <c r="AH31" i="2"/>
  <c r="AF31" i="2"/>
  <c r="AJ31" i="2" s="1"/>
  <c r="Z31" i="2"/>
  <c r="AI30" i="2"/>
  <c r="AH30" i="2"/>
  <c r="AF30" i="2"/>
  <c r="AJ30" i="2" s="1"/>
  <c r="Z30" i="2"/>
  <c r="AI29" i="2"/>
  <c r="AH29" i="2"/>
  <c r="AF29" i="2"/>
  <c r="AJ29" i="2" s="1"/>
  <c r="Z29" i="2"/>
  <c r="AI28" i="2"/>
  <c r="AH28" i="2"/>
  <c r="AF28" i="2"/>
  <c r="AJ28" i="2" s="1"/>
  <c r="Z28" i="2"/>
  <c r="AI27" i="2"/>
  <c r="AH27" i="2"/>
  <c r="AF27" i="2"/>
  <c r="AJ27" i="2" s="1"/>
  <c r="Z27" i="2"/>
  <c r="AI26" i="2"/>
  <c r="AH26" i="2"/>
  <c r="AF26" i="2"/>
  <c r="AJ26" i="2" s="1"/>
  <c r="Z26" i="2"/>
  <c r="AI25" i="2"/>
  <c r="AH25" i="2"/>
  <c r="AF25" i="2"/>
  <c r="AJ25" i="2" s="1"/>
  <c r="Z25" i="2"/>
  <c r="AI24" i="2"/>
  <c r="AH24" i="2"/>
  <c r="AF24" i="2"/>
  <c r="AJ24" i="2" s="1"/>
  <c r="Z24" i="2"/>
  <c r="AI23" i="2"/>
  <c r="AH23" i="2"/>
  <c r="AF23" i="2"/>
  <c r="AJ23" i="2" s="1"/>
  <c r="Z23" i="2"/>
  <c r="AI22" i="2"/>
  <c r="AH22" i="2"/>
  <c r="AF22" i="2"/>
  <c r="AJ22" i="2" s="1"/>
  <c r="Z22" i="2"/>
  <c r="AI21" i="2"/>
  <c r="AH21" i="2"/>
  <c r="AF21" i="2"/>
  <c r="AJ21" i="2" s="1"/>
  <c r="Z21" i="2"/>
  <c r="AI20" i="2"/>
  <c r="AH20" i="2"/>
  <c r="AF20" i="2"/>
  <c r="AJ20" i="2" s="1"/>
  <c r="Z20" i="2"/>
  <c r="AI19" i="2"/>
  <c r="AH19" i="2"/>
  <c r="AF19" i="2"/>
  <c r="AJ19" i="2" s="1"/>
  <c r="Z19" i="2"/>
  <c r="AI18" i="2"/>
  <c r="AH18" i="2"/>
  <c r="AF18" i="2"/>
  <c r="AJ18" i="2" s="1"/>
  <c r="Z18" i="2"/>
  <c r="AI17" i="2"/>
  <c r="AH17" i="2"/>
  <c r="AF17" i="2"/>
  <c r="AJ17" i="2" s="1"/>
  <c r="Z17" i="2"/>
  <c r="AJ16" i="2"/>
  <c r="AI16" i="2"/>
  <c r="AH16" i="2"/>
  <c r="AI15" i="2"/>
  <c r="AH15" i="2"/>
  <c r="AF15" i="2"/>
  <c r="AJ15" i="2" s="1"/>
  <c r="Z15" i="2"/>
  <c r="AI14" i="2"/>
  <c r="AH14" i="2"/>
  <c r="AF14" i="2"/>
  <c r="AJ14" i="2" s="1"/>
  <c r="Z14" i="2"/>
  <c r="AI13" i="2"/>
  <c r="AH13" i="2"/>
  <c r="AF13" i="2"/>
  <c r="AJ13" i="2" s="1"/>
  <c r="Z13" i="2"/>
  <c r="AI12" i="2"/>
  <c r="AH12" i="2"/>
  <c r="AF12" i="2"/>
  <c r="AJ12" i="2" s="1"/>
  <c r="Z12" i="2"/>
  <c r="AI11" i="2"/>
  <c r="AH11" i="2"/>
  <c r="AF11" i="2"/>
  <c r="AJ11" i="2" s="1"/>
  <c r="Z11" i="2"/>
  <c r="AI10" i="2"/>
  <c r="AH10" i="2"/>
  <c r="AF10" i="2"/>
  <c r="AJ10" i="2" s="1"/>
  <c r="Z10" i="2"/>
  <c r="AI9" i="2"/>
  <c r="AH9" i="2"/>
  <c r="AF9" i="2"/>
  <c r="AJ9" i="2" s="1"/>
  <c r="Z9" i="2"/>
  <c r="N7" i="2"/>
  <c r="V40" i="1" l="1"/>
  <c r="N40" i="1"/>
  <c r="AD40" i="1"/>
  <c r="AJ539" i="2"/>
  <c r="AJ540" i="2" s="1"/>
  <c r="AJ538" i="2"/>
</calcChain>
</file>

<file path=xl/sharedStrings.xml><?xml version="1.0" encoding="utf-8"?>
<sst xmlns="http://schemas.openxmlformats.org/spreadsheetml/2006/main" count="2578" uniqueCount="1071">
  <si>
    <t xml:space="preserve">Foto </t>
  </si>
  <si>
    <t>Comp. (m)</t>
  </si>
  <si>
    <t>Total</t>
  </si>
  <si>
    <r>
      <t>Total (m</t>
    </r>
    <r>
      <rPr>
        <b/>
        <sz val="11"/>
        <color theme="1"/>
        <rFont val="Calibri"/>
        <family val="2"/>
      </rPr>
      <t>²)</t>
    </r>
  </si>
  <si>
    <t>Altura (m) 
Comprimento (m)</t>
  </si>
  <si>
    <t>Desconto (m²)</t>
  </si>
  <si>
    <t>Subtotal</t>
  </si>
  <si>
    <t>Itens</t>
  </si>
  <si>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</si>
  <si>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</si>
  <si>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</si>
  <si>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</si>
  <si>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</si>
  <si>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04</t>
  </si>
  <si>
    <t>Material sem BDI</t>
  </si>
  <si>
    <t>Mão de obra sem BDI</t>
  </si>
  <si>
    <t>MAFFENG ENGENHARIA E MANUTENÇÃO LTDA</t>
  </si>
  <si>
    <t xml:space="preserve">CNPJ: </t>
  </si>
  <si>
    <t>33.624.704/0001-94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</si>
  <si>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</si>
  <si>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</si>
  <si>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</si>
  <si>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</si>
  <si>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</si>
  <si>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</si>
  <si>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</si>
  <si>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</si>
  <si>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</si>
  <si>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</si>
  <si>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</si>
  <si>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</si>
  <si>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</si>
  <si>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</si>
  <si>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</si>
  <si>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</si>
  <si>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</si>
  <si>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</si>
  <si>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</si>
  <si>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</si>
  <si>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</si>
  <si>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</si>
  <si>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</si>
  <si>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</si>
  <si>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</si>
  <si>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</si>
  <si>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</si>
  <si>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</si>
  <si>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</si>
  <si>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</si>
  <si>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</si>
  <si>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</si>
  <si>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</si>
  <si>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Deslocamento Fluvial</t>
  </si>
  <si>
    <t>Km</t>
  </si>
  <si>
    <t>Desconto Calculado Material Efetivo</t>
  </si>
  <si>
    <t>1.7</t>
  </si>
  <si>
    <t>Laudo técnico fotográfico - Elementos de Sinalização - Padrão BB</t>
  </si>
  <si>
    <t>UN</t>
  </si>
  <si>
    <t>Desconto Calculado Mão de Obra Efetivo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</si>
  <si>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</si>
  <si>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</si>
  <si>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</si>
  <si>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</si>
  <si>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</si>
  <si>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</si>
  <si>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</si>
  <si>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</si>
  <si>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</si>
  <si>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</si>
  <si>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</si>
  <si>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</si>
  <si>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</si>
  <si>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</si>
  <si>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</si>
  <si>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</si>
  <si>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</si>
  <si>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</si>
  <si>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</si>
  <si>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</si>
  <si>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</si>
  <si>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</si>
  <si>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</si>
  <si>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</si>
  <si>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</si>
  <si>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</si>
  <si>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</si>
  <si>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</si>
  <si>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</si>
  <si>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</si>
  <si>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</si>
  <si>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</si>
  <si>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</si>
  <si>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</si>
  <si>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</si>
  <si>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</si>
  <si>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</si>
  <si>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</si>
  <si>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</si>
  <si>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</si>
  <si>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</si>
  <si>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</si>
  <si>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</si>
  <si>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</si>
  <si>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</si>
  <si>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</si>
  <si>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</si>
  <si>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</si>
  <si>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</si>
  <si>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</si>
  <si>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</si>
  <si>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</si>
  <si>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</si>
  <si>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</si>
  <si>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</si>
  <si>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</si>
  <si>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</si>
  <si>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</si>
  <si>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</si>
  <si>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</si>
  <si>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</si>
  <si>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</si>
  <si>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</si>
  <si>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</si>
  <si>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</si>
  <si>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</si>
  <si>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</si>
  <si>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</si>
  <si>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</si>
  <si>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</si>
  <si>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</si>
  <si>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</si>
  <si>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</si>
  <si>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</si>
  <si>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</si>
  <si>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</si>
  <si>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</si>
  <si>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</si>
  <si>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</si>
  <si>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</si>
  <si>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</si>
  <si>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</si>
  <si>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</si>
  <si>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</si>
  <si>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3.1</t>
  </si>
  <si>
    <t>Escavação Manual em Solo</t>
  </si>
  <si>
    <t>3.2</t>
  </si>
  <si>
    <t>Reaterro/Aterro Manual de Solo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</si>
  <si>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</si>
  <si>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</si>
  <si>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</si>
  <si>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</si>
  <si>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</si>
  <si>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</si>
  <si>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</si>
  <si>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</si>
  <si>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</si>
  <si>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</si>
  <si>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</si>
  <si>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</si>
  <si>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</si>
  <si>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</si>
  <si>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</si>
  <si>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</si>
  <si>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</si>
  <si>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</si>
  <si>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</si>
  <si>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</si>
  <si>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</si>
  <si>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</si>
  <si>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</si>
  <si>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</si>
  <si>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</si>
  <si>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</si>
  <si>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</si>
  <si>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</si>
  <si>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</si>
  <si>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</si>
  <si>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</si>
  <si>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</si>
  <si>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</si>
  <si>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</si>
  <si>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</si>
  <si>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</si>
  <si>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</si>
  <si>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</si>
  <si>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</si>
  <si>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</si>
  <si>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</si>
  <si>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</si>
  <si>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</si>
  <si>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Fixação/Refixação de telha e Cumeeira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</si>
  <si>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</si>
  <si>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</si>
  <si>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</si>
  <si>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</si>
  <si>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</si>
  <si>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</si>
  <si>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</si>
  <si>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</si>
  <si>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</si>
  <si>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</si>
  <si>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</si>
  <si>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</si>
  <si>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</si>
  <si>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</si>
  <si>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</si>
  <si>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</si>
  <si>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</si>
  <si>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</si>
  <si>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</si>
  <si>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</si>
  <si>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</si>
  <si>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</si>
  <si>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</si>
  <si>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</si>
  <si>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</si>
  <si>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</si>
  <si>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</si>
  <si>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</si>
  <si>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</si>
  <si>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</si>
  <si>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</si>
  <si>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</si>
  <si>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</si>
  <si>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</si>
  <si>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</si>
  <si>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</si>
  <si>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</si>
  <si>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</si>
  <si>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</si>
  <si>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</si>
  <si>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</si>
  <si>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</si>
  <si>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</si>
  <si>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</si>
  <si>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</si>
  <si>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</si>
  <si>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</si>
  <si>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</si>
  <si>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</si>
  <si>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</si>
  <si>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</si>
  <si>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</si>
  <si>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</si>
  <si>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</si>
  <si>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</si>
  <si>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</si>
  <si>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</si>
  <si>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</si>
  <si>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</si>
  <si>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</si>
  <si>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</si>
  <si>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</si>
  <si>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</si>
  <si>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</si>
  <si>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</si>
  <si>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</si>
  <si>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</si>
  <si>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10.24</t>
  </si>
  <si>
    <t>Aplicação de Solução Antiderrapante em Pisos Frios, Inclusive mão de obra especializada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</si>
  <si>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</si>
  <si>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</si>
  <si>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</si>
  <si>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</si>
  <si>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</si>
  <si>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</si>
  <si>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</si>
  <si>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</si>
  <si>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</si>
  <si>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</si>
  <si>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</si>
  <si>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</si>
  <si>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</si>
  <si>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</si>
  <si>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</si>
  <si>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</si>
  <si>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</si>
  <si>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</si>
  <si>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</si>
  <si>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</si>
  <si>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</si>
  <si>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</si>
  <si>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</si>
  <si>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</si>
  <si>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</si>
  <si>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</si>
  <si>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</si>
  <si>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</si>
  <si>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</si>
  <si>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</si>
  <si>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</si>
  <si>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</si>
  <si>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</si>
  <si>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</si>
  <si>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</si>
  <si>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</si>
  <si>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</si>
  <si>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</si>
  <si>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</si>
  <si>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</si>
  <si>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</si>
  <si>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</si>
  <si>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</si>
  <si>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</si>
  <si>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</si>
  <si>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</si>
  <si>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</si>
  <si>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</si>
  <si>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</si>
  <si>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</si>
  <si>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</si>
  <si>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</si>
  <si>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</si>
  <si>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</si>
  <si>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</si>
  <si>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</si>
  <si>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</si>
  <si>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</si>
  <si>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</si>
  <si>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</si>
  <si>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</si>
  <si>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</si>
  <si>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</si>
  <si>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</si>
  <si>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</si>
  <si>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</si>
  <si>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</si>
  <si>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</si>
  <si>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</si>
  <si>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</si>
  <si>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</si>
  <si>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</si>
  <si>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</si>
  <si>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</si>
  <si>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</si>
  <si>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</si>
  <si>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</si>
  <si>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</si>
  <si>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</si>
  <si>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</si>
  <si>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</si>
  <si>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</si>
  <si>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</si>
  <si>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</si>
  <si>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</si>
  <si>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</si>
  <si>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</si>
  <si>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</si>
  <si>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</si>
  <si>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</si>
  <si>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</si>
  <si>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</si>
  <si>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</si>
  <si>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</si>
  <si>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</si>
  <si>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</si>
  <si>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</si>
  <si>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</si>
  <si>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</si>
  <si>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</si>
  <si>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</si>
  <si>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</si>
  <si>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</si>
  <si>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</si>
  <si>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</si>
  <si>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</si>
  <si>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</si>
  <si>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</si>
  <si>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</si>
  <si>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</si>
  <si>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</si>
  <si>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</si>
  <si>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</si>
  <si>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</si>
  <si>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</si>
  <si>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</si>
  <si>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</si>
  <si>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</si>
  <si>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</si>
  <si>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</si>
  <si>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</si>
  <si>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</si>
  <si>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</si>
  <si>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</si>
  <si>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</si>
  <si>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</si>
  <si>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</si>
  <si>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</si>
  <si>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</si>
  <si>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</si>
  <si>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</si>
  <si>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</si>
  <si>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</si>
  <si>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</si>
  <si>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</si>
  <si>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</si>
  <si>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</si>
  <si>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</si>
  <si>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</si>
  <si>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</si>
  <si>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</si>
  <si>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</si>
  <si>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</si>
  <si>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</si>
  <si>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</si>
  <si>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</si>
  <si>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</si>
  <si>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</si>
  <si>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</si>
  <si>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</si>
  <si>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</si>
  <si>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</si>
  <si>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14.30</t>
  </si>
  <si>
    <t>Corrimão tubular em aço inox 1 1/2"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</si>
  <si>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</si>
  <si>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</si>
  <si>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</si>
  <si>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</si>
  <si>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</si>
  <si>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</si>
  <si>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</si>
  <si>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</si>
  <si>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</si>
  <si>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</si>
  <si>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</si>
  <si>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</si>
  <si>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</si>
  <si>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</si>
  <si>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</si>
  <si>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</si>
  <si>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</si>
  <si>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</si>
  <si>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</si>
  <si>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</si>
  <si>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</si>
  <si>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</si>
  <si>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</si>
  <si>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</si>
  <si>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</si>
  <si>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</si>
  <si>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</si>
  <si>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</si>
  <si>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</si>
  <si>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</si>
  <si>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</si>
  <si>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</si>
  <si>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</si>
  <si>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</si>
  <si>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</si>
  <si>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</si>
  <si>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15.18</t>
  </si>
  <si>
    <t>Dobradiça em aço inox, para Porta de vidro temperado (dobradiça inferior ou superior completa)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</si>
  <si>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</si>
  <si>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</si>
  <si>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</si>
  <si>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</si>
  <si>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</si>
  <si>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</si>
  <si>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</si>
  <si>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</si>
  <si>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</si>
  <si>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</si>
  <si>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</si>
  <si>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</si>
  <si>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</si>
  <si>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</si>
  <si>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</si>
  <si>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</si>
  <si>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</si>
  <si>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</si>
  <si>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</si>
  <si>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</si>
  <si>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</si>
  <si>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</si>
  <si>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</si>
  <si>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</si>
  <si>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</si>
  <si>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</si>
  <si>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</si>
  <si>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</si>
  <si>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</si>
  <si>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</si>
  <si>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</si>
  <si>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</si>
  <si>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</si>
  <si>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</si>
  <si>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</si>
  <si>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</si>
  <si>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</si>
  <si>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</si>
  <si>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16.19</t>
  </si>
  <si>
    <t>Remoção/reinstalação de persianas com ou sem reaproveitamento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</si>
  <si>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</si>
  <si>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</si>
  <si>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</si>
  <si>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</si>
  <si>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</si>
  <si>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</si>
  <si>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</si>
  <si>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</si>
  <si>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</si>
  <si>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</si>
  <si>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</si>
  <si>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</si>
  <si>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</si>
  <si>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</si>
  <si>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</si>
  <si>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</si>
  <si>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</si>
  <si>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</si>
  <si>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</si>
  <si>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</si>
  <si>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</si>
  <si>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</si>
  <si>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</si>
  <si>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</si>
  <si>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</si>
  <si>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</si>
  <si>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</si>
  <si>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</si>
  <si>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</si>
  <si>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</si>
  <si>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</si>
  <si>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</si>
  <si>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</si>
  <si>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</si>
  <si>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</si>
  <si>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</si>
  <si>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</si>
  <si>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</si>
  <si>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</si>
  <si>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</si>
  <si>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</si>
  <si>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</si>
  <si>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</si>
  <si>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</si>
  <si>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</si>
  <si>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</si>
  <si>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</si>
  <si>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</si>
  <si>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</si>
  <si>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</si>
  <si>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</si>
  <si>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</si>
  <si>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</si>
  <si>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</si>
  <si>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</si>
  <si>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</si>
  <si>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</si>
  <si>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</si>
  <si>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</si>
  <si>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</si>
  <si>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</si>
  <si>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</si>
  <si>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</si>
  <si>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</si>
  <si>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</si>
  <si>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</si>
  <si>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</si>
  <si>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</si>
  <si>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</si>
  <si>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</si>
  <si>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</si>
  <si>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</si>
  <si>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</si>
  <si>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</si>
  <si>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</si>
  <si>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</si>
  <si>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</si>
  <si>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</si>
  <si>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</si>
  <si>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</si>
  <si>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</si>
  <si>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</si>
  <si>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</si>
  <si>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</si>
  <si>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</si>
  <si>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</si>
  <si>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</si>
  <si>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</si>
  <si>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</si>
  <si>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</si>
  <si>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</si>
  <si>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</si>
  <si>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</si>
  <si>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</si>
  <si>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</si>
  <si>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</si>
  <si>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</si>
  <si>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</si>
  <si>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</si>
  <si>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</si>
  <si>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</si>
  <si>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</si>
  <si>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</si>
  <si>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</si>
  <si>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</si>
  <si>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</si>
  <si>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</si>
  <si>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</si>
  <si>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</si>
  <si>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</si>
  <si>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</si>
  <si>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</si>
  <si>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</si>
  <si>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</si>
  <si>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</si>
  <si>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</si>
  <si>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</si>
  <si>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</si>
  <si>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</si>
  <si>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</si>
  <si>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</si>
  <si>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</si>
  <si>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</si>
  <si>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</si>
  <si>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</si>
  <si>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</si>
  <si>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</si>
  <si>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</si>
  <si>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</si>
  <si>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</si>
  <si>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</si>
  <si>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</si>
  <si>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</si>
  <si>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</si>
  <si>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</si>
  <si>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</si>
  <si>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</si>
  <si>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</si>
  <si>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</si>
  <si>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</si>
  <si>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</si>
  <si>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</si>
  <si>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</si>
  <si>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</si>
  <si>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</si>
  <si>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</si>
  <si>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</si>
  <si>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</si>
  <si>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</si>
  <si>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</si>
  <si>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</si>
  <si>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</si>
  <si>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</si>
  <si>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</si>
  <si>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</si>
  <si>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</si>
  <si>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25A</t>
  </si>
  <si>
    <t>19.67</t>
  </si>
  <si>
    <t>Contator de Potencia até 45A</t>
  </si>
  <si>
    <t>19.68</t>
  </si>
  <si>
    <t>Contator de Potencia até 38A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</si>
  <si>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</si>
  <si>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</si>
  <si>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</si>
  <si>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</si>
  <si>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</si>
  <si>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</si>
  <si>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</si>
  <si>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Cabo de cobre flexivel anti-chama 0,6/1kv de 10 a 16mm2</t>
  </si>
  <si>
    <t>19.73</t>
  </si>
  <si>
    <t>Cabo de cobre flexivel anti-chama 0,6/1kv de 25 a 35mm2</t>
  </si>
  <si>
    <t>19.74</t>
  </si>
  <si>
    <t>Cabo de cobre flexivel anti-chama 0,6/1kv de 50 a 70mm2</t>
  </si>
  <si>
    <t>19.75</t>
  </si>
  <si>
    <t>Cabo de cobre flexível anti-chama 0,6/1kv de 95 a 150mm2</t>
  </si>
  <si>
    <t>19.76</t>
  </si>
  <si>
    <t>Cabo de cobre flexível anti-chama 0,6/1kv de 185 a 240mm2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</si>
  <si>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</si>
  <si>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</si>
  <si>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</si>
  <si>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</si>
  <si>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</si>
  <si>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</si>
  <si>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</si>
  <si>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</si>
  <si>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</si>
  <si>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</si>
  <si>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</si>
  <si>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</si>
  <si>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</si>
  <si>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</si>
  <si>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</si>
  <si>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</si>
  <si>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</si>
  <si>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</si>
  <si>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</si>
  <si>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</si>
  <si>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</si>
  <si>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</si>
  <si>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</si>
  <si>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</si>
  <si>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</si>
  <si>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</si>
  <si>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</si>
  <si>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</si>
  <si>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</si>
  <si>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</si>
  <si>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</si>
  <si>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</si>
  <si>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</si>
  <si>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</si>
  <si>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</si>
  <si>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</si>
  <si>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</si>
  <si>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</si>
  <si>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</si>
  <si>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</si>
  <si>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</si>
  <si>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</si>
  <si>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</si>
  <si>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</si>
  <si>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</si>
  <si>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</si>
  <si>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</si>
  <si>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</si>
  <si>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</si>
  <si>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</si>
  <si>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Kit ATM Completo - Fechadura Eletromagnética de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</si>
  <si>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</si>
  <si>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</si>
  <si>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</si>
  <si>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</si>
  <si>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</si>
  <si>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</si>
  <si>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</si>
  <si>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</si>
  <si>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</si>
  <si>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</si>
  <si>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</si>
  <si>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</si>
  <si>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</si>
  <si>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</si>
  <si>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</si>
  <si>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</si>
  <si>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</si>
  <si>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</si>
  <si>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</si>
  <si>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</si>
  <si>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</si>
  <si>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</si>
  <si>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</si>
  <si>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</si>
  <si>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</si>
  <si>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</si>
  <si>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Luminária LED retangular de embutir ou sobrepor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</si>
  <si>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</si>
  <si>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</si>
  <si>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</si>
  <si>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</si>
  <si>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</si>
  <si>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</si>
  <si>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</si>
  <si>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</si>
  <si>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</si>
  <si>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</si>
  <si>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</si>
  <si>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</si>
  <si>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</si>
  <si>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</si>
  <si>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</si>
  <si>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</si>
  <si>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</si>
  <si>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</si>
  <si>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</si>
  <si>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</si>
  <si>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</si>
  <si>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</si>
  <si>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</si>
  <si>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</si>
  <si>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</si>
  <si>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</si>
  <si>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</si>
  <si>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</si>
  <si>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</si>
  <si>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</si>
  <si>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</si>
  <si>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</si>
  <si>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</si>
  <si>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</si>
  <si>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</si>
  <si>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</si>
  <si>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</si>
  <si>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</si>
  <si>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</si>
  <si>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</si>
  <si>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</si>
  <si>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</si>
  <si>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</si>
  <si>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</si>
  <si>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</si>
  <si>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</si>
  <si>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</si>
  <si>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</si>
  <si>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</si>
  <si>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</si>
  <si>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</si>
  <si>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</si>
  <si>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</si>
  <si>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</si>
  <si>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</si>
  <si>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</si>
  <si>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</si>
  <si>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</si>
  <si>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</si>
  <si>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</si>
  <si>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</si>
  <si>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</si>
  <si>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</si>
  <si>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</si>
  <si>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</si>
  <si>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</si>
  <si>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</si>
  <si>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</si>
  <si>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</si>
  <si>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</si>
  <si>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</si>
  <si>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</si>
  <si>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</si>
  <si>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</si>
  <si>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</si>
  <si>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</si>
  <si>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</si>
  <si>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</si>
  <si>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</si>
  <si>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</si>
  <si>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</si>
  <si>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</si>
  <si>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</si>
  <si>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</si>
  <si>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</si>
  <si>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</si>
  <si>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</si>
  <si>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</si>
  <si>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</si>
  <si>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</si>
  <si>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</si>
  <si>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</si>
  <si>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</si>
  <si>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</si>
  <si>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</si>
  <si>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</si>
  <si>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</si>
  <si>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</si>
  <si>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</si>
  <si>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</si>
  <si>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</si>
  <si>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</si>
  <si>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</si>
  <si>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</si>
  <si>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</si>
  <si>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</si>
  <si>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</si>
  <si>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</si>
  <si>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</si>
  <si>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</si>
  <si>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</si>
  <si>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</si>
  <si>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</si>
  <si>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</si>
  <si>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</si>
  <si>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</si>
  <si>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</si>
  <si>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</si>
  <si>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</si>
  <si>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</si>
  <si>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</si>
  <si>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</si>
  <si>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</si>
  <si>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</si>
  <si>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</si>
  <si>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</si>
  <si>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</si>
  <si>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</si>
  <si>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</si>
  <si>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</si>
  <si>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</si>
  <si>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</si>
  <si>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</si>
  <si>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</si>
  <si>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</si>
  <si>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</si>
  <si>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</si>
  <si>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</si>
  <si>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</si>
  <si>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</si>
  <si>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</si>
  <si>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</si>
  <si>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</si>
  <si>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</si>
  <si>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</si>
  <si>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</si>
  <si>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</si>
  <si>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</si>
  <si>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</si>
  <si>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</si>
  <si>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</si>
  <si>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</si>
  <si>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</si>
  <si>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</si>
  <si>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</si>
  <si>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</si>
  <si>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</si>
  <si>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</si>
  <si>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</si>
  <si>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</si>
  <si>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</si>
  <si>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</si>
  <si>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</si>
  <si>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</si>
  <si>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</si>
  <si>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</si>
  <si>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</si>
  <si>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</si>
  <si>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</si>
  <si>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</si>
  <si>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</si>
  <si>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</si>
  <si>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</si>
  <si>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</si>
  <si>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</si>
  <si>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</si>
  <si>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</si>
  <si>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</si>
  <si>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</si>
  <si>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</si>
  <si>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</si>
  <si>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</si>
  <si>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</si>
  <si>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</si>
  <si>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</si>
  <si>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</si>
  <si>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</si>
  <si>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</si>
  <si>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</si>
  <si>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</si>
  <si>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</si>
  <si>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</si>
  <si>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</si>
  <si>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</si>
  <si>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</si>
  <si>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</si>
  <si>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</si>
  <si>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</si>
  <si>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</si>
  <si>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</si>
  <si>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</si>
  <si>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</si>
  <si>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</si>
  <si>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</si>
  <si>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</si>
  <si>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</si>
  <si>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</si>
  <si>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</si>
  <si>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</si>
  <si>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</si>
  <si>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</si>
  <si>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 xml:space="preserve">Fita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</si>
  <si>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</si>
  <si>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</si>
  <si>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</si>
  <si>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</si>
  <si>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</si>
  <si>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</si>
  <si>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</si>
  <si>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</si>
  <si>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</si>
  <si>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</si>
  <si>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</si>
  <si>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</si>
  <si>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</si>
  <si>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</si>
  <si>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</si>
  <si>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</si>
  <si>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</si>
  <si>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</si>
  <si>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</si>
  <si>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</si>
  <si>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</si>
  <si>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</si>
  <si>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</si>
  <si>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</si>
  <si>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</si>
  <si>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</si>
  <si>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</si>
  <si>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</si>
  <si>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</si>
  <si>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</si>
  <si>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</si>
  <si>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</si>
  <si>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</si>
  <si>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</si>
  <si>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</si>
  <si>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</si>
  <si>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</si>
  <si>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</si>
  <si>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</si>
  <si>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</si>
  <si>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</si>
  <si>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</si>
  <si>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</si>
  <si>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</si>
  <si>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</si>
  <si>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</si>
  <si>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</si>
  <si>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</si>
  <si>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</si>
  <si>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</si>
  <si>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</si>
  <si>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</si>
  <si>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</si>
  <si>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</si>
  <si>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</si>
  <si>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</si>
  <si>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</si>
  <si>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</si>
  <si>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</si>
  <si>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</si>
  <si>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</si>
  <si>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</si>
  <si>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</si>
  <si>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</si>
  <si>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</si>
  <si>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</si>
  <si>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</si>
  <si>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</si>
  <si>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</si>
  <si>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</si>
  <si>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</si>
  <si>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</si>
  <si>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</si>
  <si>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</si>
  <si>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</si>
  <si>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</si>
  <si>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</si>
  <si>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</si>
  <si>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</si>
  <si>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</si>
  <si>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</si>
  <si>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</si>
  <si>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</si>
  <si>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</si>
  <si>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</si>
  <si>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</si>
  <si>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</si>
  <si>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</si>
  <si>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</si>
  <si>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</si>
  <si>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</si>
  <si>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</si>
  <si>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</si>
  <si>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</si>
  <si>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</si>
  <si>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</si>
  <si>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</si>
  <si>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</si>
  <si>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</si>
  <si>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 xml:space="preserve">Altura (m) </t>
  </si>
  <si>
    <t>Total (X3)</t>
  </si>
  <si>
    <t>PINTURA ESMALTE EM PORTA</t>
  </si>
  <si>
    <t>ITENS M² COM DESCONTO</t>
  </si>
  <si>
    <t>ITENS M² SEM DESCONTO</t>
  </si>
  <si>
    <t>ITENS M³ - ENTULHO, ETC</t>
  </si>
  <si>
    <r>
      <t>Total (m³</t>
    </r>
    <r>
      <rPr>
        <b/>
        <sz val="11"/>
        <color theme="1"/>
        <rFont val="Calibri"/>
        <family val="2"/>
      </rPr>
      <t>)</t>
    </r>
  </si>
  <si>
    <t>Unidade</t>
  </si>
  <si>
    <t xml:space="preserve">Total </t>
  </si>
  <si>
    <t>Quantitativo</t>
  </si>
  <si>
    <t>ITENS UNITÁRIOS (M, UM,</t>
  </si>
  <si>
    <t>Total (dividido por 10)</t>
  </si>
  <si>
    <r>
      <t>Total (m</t>
    </r>
    <r>
      <rPr>
        <b/>
        <sz val="11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</si>
</sst>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,##0.0000"/>
    <numFmt numFmtId="166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</cellStyleXfs>
  <cellXfs count="137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5" fillId="6" borderId="10" xfId="3" applyNumberFormat="1" applyFont="1" applyFill="1" applyBorder="1" applyAlignment="1" applyProtection="1">
      <alignment horizontal="left" vertical="center"/>
    </xf>
    <xf numFmtId="4" fontId="1" fillId="0" borderId="0" xfId="0" applyNumberFormat="1" applyFont="1" applyAlignment="1">
      <alignment vertical="center" wrapText="1"/>
    </xf>
    <xf numFmtId="49" fontId="5" fillId="7" borderId="0" xfId="3" applyNumberFormat="1" applyFont="1" applyFill="1" applyBorder="1" applyAlignment="1" applyProtection="1">
      <alignment horizontal="left" vertical="center"/>
    </xf>
    <xf numFmtId="2" fontId="5" fillId="7" borderId="0" xfId="3" applyNumberFormat="1" applyFont="1" applyFill="1" applyBorder="1" applyAlignment="1" applyProtection="1">
      <alignment vertical="center"/>
    </xf>
    <xf numFmtId="2" fontId="5" fillId="7" borderId="0" xfId="3" applyNumberFormat="1" applyFont="1" applyFill="1" applyBorder="1" applyAlignment="1" applyProtection="1">
      <alignment horizontal="right" vertical="center"/>
    </xf>
    <xf numFmtId="49" fontId="5" fillId="5" borderId="0" xfId="3" applyNumberFormat="1" applyFont="1" applyFill="1" applyBorder="1" applyAlignment="1" applyProtection="1">
      <alignment horizontal="center" vertical="center"/>
    </xf>
    <xf numFmtId="2" fontId="5" fillId="7" borderId="12" xfId="3" applyNumberFormat="1" applyFont="1" applyFill="1" applyBorder="1" applyAlignment="1" applyProtection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49" fontId="5" fillId="7" borderId="13" xfId="3" applyNumberFormat="1" applyFont="1" applyFill="1" applyBorder="1" applyAlignment="1" applyProtection="1">
      <alignment horizontal="left" vertical="center"/>
    </xf>
    <xf numFmtId="49" fontId="5" fillId="5" borderId="13" xfId="3" applyNumberFormat="1" applyFont="1" applyFill="1" applyBorder="1" applyAlignment="1" applyProtection="1">
      <alignment horizontal="left" vertical="center"/>
      <protection locked="0"/>
    </xf>
    <xf numFmtId="1" fontId="6" fillId="7" borderId="13" xfId="3" applyNumberFormat="1" applyFont="1" applyFill="1" applyBorder="1" applyAlignment="1" applyProtection="1">
      <alignment horizontal="center" vertical="center" wrapText="1"/>
    </xf>
    <xf numFmtId="49" fontId="7" fillId="7" borderId="13" xfId="3" applyNumberFormat="1" applyFont="1" applyFill="1" applyBorder="1" applyAlignment="1" applyProtection="1">
      <alignment horizontal="right" vertical="center"/>
    </xf>
    <xf numFmtId="4" fontId="6" fillId="7" borderId="13" xfId="3" applyNumberFormat="1" applyFont="1" applyFill="1" applyBorder="1" applyAlignment="1" applyProtection="1">
      <alignment horizontal="right" vertical="center"/>
    </xf>
    <xf numFmtId="10" fontId="6" fillId="7" borderId="14" xfId="2" applyNumberFormat="1" applyFont="1" applyFill="1" applyBorder="1" applyAlignment="1" applyProtection="1">
      <alignment horizontal="center" vertical="center"/>
    </xf>
    <xf numFmtId="10" fontId="1" fillId="5" borderId="1" xfId="2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left"/>
    </xf>
    <xf numFmtId="0" fontId="1" fillId="0" borderId="0" xfId="0" applyFont="1"/>
    <xf numFmtId="49" fontId="7" fillId="4" borderId="0" xfId="3" applyNumberFormat="1" applyFont="1" applyFill="1" applyBorder="1" applyAlignment="1" applyProtection="1">
      <alignment horizontal="left" vertical="center"/>
    </xf>
    <xf numFmtId="10" fontId="9" fillId="9" borderId="0" xfId="2" applyNumberFormat="1" applyFont="1" applyFill="1" applyBorder="1" applyAlignment="1" applyProtection="1">
      <alignment horizontal="left" vertical="center" wrapText="1"/>
    </xf>
    <xf numFmtId="164" fontId="7" fillId="9" borderId="0" xfId="3" applyNumberFormat="1" applyFont="1" applyFill="1" applyBorder="1" applyAlignment="1" applyProtection="1">
      <alignment horizontal="right" vertical="center" wrapText="1"/>
    </xf>
    <xf numFmtId="4" fontId="7" fillId="9" borderId="0" xfId="3" applyNumberFormat="1" applyFont="1" applyFill="1" applyBorder="1" applyAlignment="1" applyProtection="1">
      <alignment horizontal="center" vertical="center" wrapText="1"/>
    </xf>
    <xf numFmtId="4" fontId="7" fillId="9" borderId="0" xfId="3" applyNumberFormat="1" applyFont="1" applyFill="1" applyBorder="1" applyAlignment="1" applyProtection="1">
      <alignment horizontal="right" vertical="center"/>
    </xf>
    <xf numFmtId="0" fontId="8" fillId="0" borderId="0" xfId="0" applyFont="1" applyAlignment="1">
      <alignment horizontal="center"/>
    </xf>
    <xf numFmtId="49" fontId="6" fillId="10" borderId="15" xfId="0" applyNumberFormat="1" applyFont="1" applyFill="1" applyBorder="1" applyAlignment="1">
      <alignment horizontal="left" vertical="center"/>
    </xf>
    <xf numFmtId="2" fontId="6" fillId="10" borderId="15" xfId="0" applyNumberFormat="1" applyFont="1" applyFill="1" applyBorder="1" applyAlignment="1">
      <alignment horizontal="left" vertical="center"/>
    </xf>
    <xf numFmtId="1" fontId="6" fillId="10" borderId="16" xfId="0" applyNumberFormat="1" applyFont="1" applyFill="1" applyBorder="1" applyAlignment="1">
      <alignment horizontal="center" vertical="center"/>
    </xf>
    <xf numFmtId="2" fontId="6" fillId="10" borderId="8" xfId="0" applyNumberFormat="1" applyFont="1" applyFill="1" applyBorder="1" applyAlignment="1">
      <alignment horizontal="center" vertical="center"/>
    </xf>
    <xf numFmtId="2" fontId="6" fillId="10" borderId="8" xfId="0" applyNumberFormat="1" applyFont="1" applyFill="1" applyBorder="1" applyAlignment="1">
      <alignment horizontal="center" vertical="center" wrapText="1"/>
    </xf>
    <xf numFmtId="4" fontId="6" fillId="10" borderId="8" xfId="3" applyNumberFormat="1" applyFont="1" applyFill="1" applyBorder="1" applyAlignment="1" applyProtection="1">
      <alignment horizontal="center" vertical="center" wrapText="1"/>
    </xf>
    <xf numFmtId="4" fontId="6" fillId="10" borderId="9" xfId="3" applyNumberFormat="1" applyFont="1" applyFill="1" applyBorder="1" applyAlignment="1" applyProtection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0" fontId="10" fillId="11" borderId="1" xfId="2" applyNumberFormat="1" applyFont="1" applyFill="1" applyBorder="1" applyAlignment="1" applyProtection="1">
      <alignment horizontal="center" vertical="center"/>
    </xf>
    <xf numFmtId="4" fontId="6" fillId="10" borderId="8" xfId="1" applyNumberFormat="1" applyFont="1" applyFill="1" applyBorder="1" applyAlignment="1" applyProtection="1">
      <alignment horizontal="center" vertical="center" wrapText="1"/>
    </xf>
    <xf numFmtId="4" fontId="6" fillId="10" borderId="17" xfId="1" applyNumberFormat="1" applyFont="1" applyFill="1" applyBorder="1" applyAlignment="1" applyProtection="1">
      <alignment horizontal="center" vertical="center" wrapText="1"/>
    </xf>
    <xf numFmtId="0" fontId="4" fillId="12" borderId="7" xfId="0" applyFont="1" applyFill="1" applyBorder="1" applyAlignment="1">
      <alignment horizontal="center" vertical="center"/>
    </xf>
    <xf numFmtId="2" fontId="4" fillId="12" borderId="7" xfId="0" applyNumberFormat="1" applyFont="1" applyFill="1" applyBorder="1" applyAlignment="1">
      <alignment horizontal="left" vertical="center" wrapText="1"/>
    </xf>
    <xf numFmtId="1" fontId="4" fillId="12" borderId="7" xfId="0" applyNumberFormat="1" applyFont="1" applyFill="1" applyBorder="1" applyAlignment="1">
      <alignment horizontal="center" vertical="center" wrapText="1"/>
    </xf>
    <xf numFmtId="2" fontId="4" fillId="12" borderId="7" xfId="0" applyNumberFormat="1" applyFont="1" applyFill="1" applyBorder="1" applyAlignment="1">
      <alignment horizontal="center" vertical="center" wrapText="1"/>
    </xf>
    <xf numFmtId="4" fontId="4" fillId="12" borderId="18" xfId="3" applyNumberFormat="1" applyFont="1" applyFill="1" applyBorder="1" applyAlignment="1" applyProtection="1">
      <alignment horizontal="center" vertical="center"/>
    </xf>
    <xf numFmtId="0" fontId="0" fillId="12" borderId="7" xfId="0" applyFill="1" applyBorder="1"/>
    <xf numFmtId="0" fontId="0" fillId="12" borderId="1" xfId="0" applyFill="1" applyBorder="1"/>
    <xf numFmtId="4" fontId="4" fillId="12" borderId="7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3" fontId="7" fillId="13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justify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4" fontId="7" fillId="0" borderId="1" xfId="3" applyNumberFormat="1" applyFont="1" applyFill="1" applyBorder="1" applyAlignment="1" applyProtection="1">
      <alignment horizontal="center" vertical="center"/>
    </xf>
    <xf numFmtId="4" fontId="7" fillId="13" borderId="19" xfId="3" applyNumberFormat="1" applyFont="1" applyFill="1" applyBorder="1" applyAlignment="1" applyProtection="1">
      <alignment horizontal="center" vertical="center"/>
    </xf>
    <xf numFmtId="165" fontId="7" fillId="0" borderId="1" xfId="1" applyNumberFormat="1" applyFont="1" applyFill="1" applyBorder="1" applyAlignment="1" applyProtection="1">
      <alignment horizontal="center" vertical="center"/>
    </xf>
    <xf numFmtId="4" fontId="7" fillId="0" borderId="1" xfId="1" applyNumberFormat="1" applyFont="1" applyFill="1" applyBorder="1" applyAlignment="1" applyProtection="1">
      <alignment horizontal="center" vertical="center"/>
    </xf>
    <xf numFmtId="10" fontId="0" fillId="0" borderId="1" xfId="2" applyNumberFormat="1" applyFont="1" applyBorder="1" applyProtection="1"/>
    <xf numFmtId="9" fontId="0" fillId="0" borderId="0" xfId="2" applyFont="1" applyProtection="1"/>
    <xf numFmtId="4" fontId="6" fillId="0" borderId="0" xfId="0" applyNumberFormat="1" applyFont="1" applyAlignment="1">
      <alignment horizontal="center" vertical="center" wrapText="1"/>
    </xf>
    <xf numFmtId="10" fontId="10" fillId="14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left" vertical="center" wrapText="1"/>
    </xf>
    <xf numFmtId="1" fontId="7" fillId="12" borderId="1" xfId="0" applyNumberFormat="1" applyFont="1" applyFill="1" applyBorder="1" applyAlignment="1">
      <alignment horizontal="center" vertical="center" wrapText="1"/>
    </xf>
    <xf numFmtId="4" fontId="7" fillId="12" borderId="1" xfId="0" applyNumberFormat="1" applyFont="1" applyFill="1" applyBorder="1" applyAlignment="1">
      <alignment horizontal="center" vertical="center" wrapText="1"/>
    </xf>
    <xf numFmtId="4" fontId="4" fillId="12" borderId="19" xfId="3" applyNumberFormat="1" applyFont="1" applyFill="1" applyBorder="1" applyAlignment="1" applyProtection="1">
      <alignment horizontal="center" vertical="center"/>
    </xf>
    <xf numFmtId="4" fontId="4" fillId="12" borderId="1" xfId="1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vertical="center"/>
    </xf>
    <xf numFmtId="4" fontId="7" fillId="0" borderId="0" xfId="1" applyNumberFormat="1" applyFont="1" applyFill="1" applyBorder="1" applyAlignment="1" applyProtection="1">
      <alignment horizontal="center" vertical="center"/>
      <protection locked="0"/>
    </xf>
    <xf numFmtId="4" fontId="4" fillId="12" borderId="7" xfId="3" applyNumberFormat="1" applyFont="1" applyFill="1" applyBorder="1" applyAlignment="1" applyProtection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4" fontId="4" fillId="0" borderId="0" xfId="1" applyNumberFormat="1" applyFont="1" applyFill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>
      <alignment horizontal="justify" vertical="center" wrapText="1"/>
    </xf>
    <xf numFmtId="4" fontId="7" fillId="0" borderId="1" xfId="0" applyNumberFormat="1" applyFont="1" applyBorder="1" applyAlignment="1">
      <alignment horizontal="left" vertical="center" wrapText="1"/>
    </xf>
    <xf numFmtId="0" fontId="4" fillId="12" borderId="1" xfId="4" applyFont="1" applyFill="1" applyBorder="1" applyAlignment="1">
      <alignment horizontal="center" vertical="center"/>
    </xf>
    <xf numFmtId="2" fontId="4" fillId="12" borderId="1" xfId="4" applyNumberFormat="1" applyFont="1" applyFill="1" applyBorder="1" applyAlignment="1">
      <alignment horizontal="left" vertical="center" wrapText="1"/>
    </xf>
    <xf numFmtId="49" fontId="7" fillId="13" borderId="1" xfId="4" applyNumberFormat="1" applyFont="1" applyFill="1" applyBorder="1" applyAlignment="1">
      <alignment horizontal="center" vertical="center"/>
    </xf>
    <xf numFmtId="2" fontId="4" fillId="12" borderId="1" xfId="4" applyNumberFormat="1" applyFont="1" applyFill="1" applyBorder="1" applyAlignment="1">
      <alignment horizontal="left" vertical="center"/>
    </xf>
    <xf numFmtId="49" fontId="5" fillId="16" borderId="1" xfId="4" applyNumberFormat="1" applyFont="1" applyFill="1" applyBorder="1" applyAlignment="1">
      <alignment horizontal="left" vertical="center"/>
    </xf>
    <xf numFmtId="2" fontId="5" fillId="16" borderId="1" xfId="4" applyNumberFormat="1" applyFont="1" applyFill="1" applyBorder="1" applyAlignment="1">
      <alignment horizontal="left" vertical="center" wrapText="1"/>
    </xf>
    <xf numFmtId="1" fontId="5" fillId="16" borderId="1" xfId="4" applyNumberFormat="1" applyFont="1" applyFill="1" applyBorder="1" applyAlignment="1">
      <alignment horizontal="center" vertical="center" wrapText="1"/>
    </xf>
    <xf numFmtId="2" fontId="13" fillId="16" borderId="1" xfId="4" applyNumberFormat="1" applyFont="1" applyFill="1" applyBorder="1" applyAlignment="1">
      <alignment horizontal="center" vertical="center" wrapText="1"/>
    </xf>
    <xf numFmtId="4" fontId="8" fillId="16" borderId="1" xfId="5" applyNumberFormat="1" applyFont="1" applyFill="1" applyBorder="1" applyAlignment="1" applyProtection="1">
      <alignment horizontal="center" vertical="center"/>
    </xf>
    <xf numFmtId="4" fontId="5" fillId="16" borderId="1" xfId="6" applyNumberFormat="1" applyFont="1" applyFill="1" applyBorder="1" applyAlignment="1" applyProtection="1">
      <alignment horizontal="center" vertical="center"/>
    </xf>
    <xf numFmtId="43" fontId="0" fillId="0" borderId="1" xfId="1" applyFont="1" applyFill="1" applyBorder="1" applyProtection="1"/>
    <xf numFmtId="9" fontId="0" fillId="0" borderId="1" xfId="2" applyFont="1" applyBorder="1" applyProtection="1"/>
    <xf numFmtId="10" fontId="0" fillId="0" borderId="0" xfId="0" applyNumberFormat="1"/>
    <xf numFmtId="0" fontId="14" fillId="0" borderId="0" xfId="0" applyFont="1" applyAlignment="1">
      <alignment horizontal="center" vertical="center"/>
    </xf>
    <xf numFmtId="2" fontId="13" fillId="0" borderId="0" xfId="4" applyNumberFormat="1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11" fillId="15" borderId="22" xfId="0" applyFont="1" applyFill="1" applyBorder="1" applyAlignment="1">
      <alignment horizontal="center" vertical="center" wrapText="1"/>
    </xf>
    <xf numFmtId="0" fontId="11" fillId="15" borderId="23" xfId="0" applyFont="1" applyFill="1" applyBorder="1" applyAlignment="1">
      <alignment horizontal="center" vertical="center" wrapText="1"/>
    </xf>
    <xf numFmtId="0" fontId="11" fillId="15" borderId="20" xfId="0" applyFont="1" applyFill="1" applyBorder="1" applyAlignment="1">
      <alignment horizontal="center" vertical="center" wrapText="1"/>
    </xf>
    <xf numFmtId="0" fontId="11" fillId="15" borderId="21" xfId="0" applyFont="1" applyFill="1" applyBorder="1" applyAlignment="1">
      <alignment horizontal="center" vertical="center" wrapText="1"/>
    </xf>
    <xf numFmtId="1" fontId="5" fillId="6" borderId="10" xfId="3" applyNumberFormat="1" applyFont="1" applyFill="1" applyBorder="1" applyAlignment="1" applyProtection="1">
      <alignment horizontal="center" vertical="center"/>
    </xf>
    <xf numFmtId="1" fontId="5" fillId="6" borderId="11" xfId="3" applyNumberFormat="1" applyFont="1" applyFill="1" applyBorder="1" applyAlignment="1" applyProtection="1">
      <alignment horizontal="center" vertical="center"/>
    </xf>
    <xf numFmtId="4" fontId="6" fillId="5" borderId="2" xfId="0" applyNumberFormat="1" applyFont="1" applyFill="1" applyBorder="1" applyAlignment="1">
      <alignment horizontal="center" vertical="center" wrapText="1"/>
    </xf>
    <xf numFmtId="4" fontId="6" fillId="5" borderId="4" xfId="0" applyNumberFormat="1" applyFont="1" applyFill="1" applyBorder="1" applyAlignment="1">
      <alignment horizontal="center" vertical="center" wrapText="1"/>
    </xf>
    <xf numFmtId="4" fontId="7" fillId="5" borderId="13" xfId="3" applyNumberFormat="1" applyFont="1" applyFill="1" applyBorder="1" applyAlignment="1" applyProtection="1">
      <alignment horizontal="center" vertical="center"/>
    </xf>
    <xf numFmtId="4" fontId="6" fillId="8" borderId="5" xfId="0" applyNumberFormat="1" applyFont="1" applyFill="1" applyBorder="1" applyAlignment="1">
      <alignment horizontal="center" vertical="center" wrapText="1"/>
    </xf>
    <xf numFmtId="4" fontId="6" fillId="8" borderId="6" xfId="0" applyNumberFormat="1" applyFont="1" applyFill="1" applyBorder="1" applyAlignment="1">
      <alignment horizontal="center" vertical="center" wrapText="1"/>
    </xf>
    <xf numFmtId="4" fontId="6" fillId="8" borderId="20" xfId="0" applyNumberFormat="1" applyFont="1" applyFill="1" applyBorder="1" applyAlignment="1">
      <alignment horizontal="center" vertical="center" wrapText="1"/>
    </xf>
    <xf numFmtId="4" fontId="6" fillId="8" borderId="21" xfId="0" applyNumberFormat="1" applyFont="1" applyFill="1" applyBorder="1" applyAlignment="1">
      <alignment horizontal="center" vertical="center" wrapText="1"/>
    </xf>
    <xf numFmtId="4" fontId="6" fillId="8" borderId="2" xfId="0" applyNumberFormat="1" applyFont="1" applyFill="1" applyBorder="1" applyAlignment="1">
      <alignment horizontal="center" vertical="center" wrapText="1"/>
    </xf>
    <xf numFmtId="4" fontId="6" fillId="8" borderId="4" xfId="0" applyNumberFormat="1" applyFont="1" applyFill="1" applyBorder="1" applyAlignment="1">
      <alignment horizontal="center" vertical="center" wrapText="1"/>
    </xf>
    <xf numFmtId="4" fontId="4" fillId="15" borderId="5" xfId="0" applyNumberFormat="1" applyFont="1" applyFill="1" applyBorder="1" applyAlignment="1">
      <alignment horizontal="center" vertical="center" wrapText="1"/>
    </xf>
    <xf numFmtId="4" fontId="4" fillId="15" borderId="6" xfId="0" applyNumberFormat="1" applyFont="1" applyFill="1" applyBorder="1" applyAlignment="1">
      <alignment horizontal="center" vertical="center" wrapText="1"/>
    </xf>
    <xf numFmtId="4" fontId="4" fillId="15" borderId="22" xfId="0" applyNumberFormat="1" applyFont="1" applyFill="1" applyBorder="1" applyAlignment="1">
      <alignment horizontal="center" vertical="center" wrapText="1"/>
    </xf>
    <xf numFmtId="4" fontId="4" fillId="15" borderId="23" xfId="0" applyNumberFormat="1" applyFont="1" applyFill="1" applyBorder="1" applyAlignment="1">
      <alignment horizontal="center" vertical="center" wrapText="1"/>
    </xf>
    <xf numFmtId="4" fontId="4" fillId="15" borderId="20" xfId="0" applyNumberFormat="1" applyFont="1" applyFill="1" applyBorder="1" applyAlignment="1">
      <alignment horizontal="center" vertical="center" wrapText="1"/>
    </xf>
    <xf numFmtId="4" fontId="4" fillId="15" borderId="2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90352402-13AC-4A64-B6BB-C3E2AB7F8449}"/>
    <cellStyle name="Porcentagem" xfId="2" builtinId="5"/>
    <cellStyle name="Vírgula" xfId="1" builtinId="3"/>
    <cellStyle name="Vírgula 2" xfId="3" xr:uid="{8A574AA1-687D-447D-9E3B-35256E74D4A0}"/>
    <cellStyle name="Vírgula 2 2" xfId="6" xr:uid="{2A9A3EB8-4DF1-470A-B336-933BADAD5B73}"/>
    <cellStyle name="Vírgula 2 2 2" xfId="5" xr:uid="{FBC59349-CB87-4E8C-8B30-DDFE0EE44F31}"/>
  </cellStyles>
  <dxfs count="1"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47AD-7CEC-4F6E-B3A6-CC35E8DAC3DA}">
  <dimension ref="A1:AJ87"/>
  <sheetViews>
    <sheetView tabSelected="1" zoomScale="85" zoomScaleNormal="85" workbookViewId="0">
      <selection activeCell="A40" sqref="A5:F40"/>
    </sheetView>
  </sheetViews>
  <sheetFormatPr defaultColWidth="8.88671875" defaultRowHeight="14.4" x14ac:dyDescent="0.3"/>
  <cols>
    <col min="1" max="1" width="7.44140625" customWidth="1"/>
    <col min="2" max="2" width="16.6640625" customWidth="1"/>
    <col min="3" max="3" width="18" customWidth="1"/>
    <col min="4" max="5" width="15.33203125" customWidth="1"/>
    <col min="6" max="6" width="24.77734375" customWidth="1"/>
    <col min="11" max="11" width="10" customWidth="1"/>
    <col min="12" max="14" width="16.5546875" customWidth="1"/>
    <col min="19" max="19" width="10" customWidth="1"/>
    <col min="20" max="20" width="19.21875" customWidth="1"/>
    <col min="21" max="21" width="21.33203125" customWidth="1"/>
    <col min="22" max="22" width="47" customWidth="1"/>
    <col min="27" max="27" width="8.21875" customWidth="1"/>
    <col min="28" max="30" width="16" customWidth="1"/>
    <col min="34" max="34" width="10.88671875" customWidth="1"/>
    <col min="35" max="35" width="63.109375" customWidth="1"/>
    <col min="36" max="36" width="23.77734375" customWidth="1"/>
  </cols>
  <sheetData>
    <row r="1" spans="1:36" ht="28.8" x14ac:dyDescent="0.3">
      <c r="A1" s="100" t="s">
        <v>1061</v>
      </c>
      <c r="B1" s="100"/>
      <c r="C1" s="100"/>
      <c r="D1" s="100"/>
      <c r="E1" s="100"/>
      <c r="F1" s="100"/>
      <c r="K1" s="100" t="s">
        <v>1062</v>
      </c>
      <c r="L1" s="100"/>
      <c r="M1" s="100"/>
      <c r="N1" s="100"/>
      <c r="O1" s="97"/>
      <c r="P1" s="97"/>
      <c r="S1" s="100" t="s">
        <v>1063</v>
      </c>
      <c r="T1" s="100"/>
      <c r="U1" s="100"/>
      <c r="V1" s="100"/>
      <c r="AA1" s="100" t="s">
        <v>1060</v>
      </c>
      <c r="AB1" s="100"/>
      <c r="AC1" s="100"/>
      <c r="AD1" s="100"/>
      <c r="AH1" s="100" t="s">
        <v>1068</v>
      </c>
      <c r="AI1" s="100"/>
      <c r="AJ1" s="100"/>
    </row>
    <row r="2" spans="1:36" ht="19.8" customHeight="1" x14ac:dyDescent="0.3"/>
    <row r="3" spans="1:36" ht="19.8" customHeight="1" x14ac:dyDescent="0.3"/>
    <row r="4" spans="1:36" ht="19.8" customHeight="1" x14ac:dyDescent="0.3"/>
    <row r="5" spans="1:36" x14ac:dyDescent="0.3">
      <c r="A5" s="105" t="s">
        <v>7</v>
      </c>
      <c r="B5" s="105"/>
      <c r="C5" s="105"/>
      <c r="D5" s="105"/>
      <c r="E5" s="105"/>
      <c r="F5" s="105"/>
      <c r="K5" s="105" t="s">
        <v>7</v>
      </c>
      <c r="L5" s="105"/>
      <c r="M5" s="105"/>
      <c r="N5" s="105"/>
      <c r="S5" s="105" t="s">
        <v>7</v>
      </c>
      <c r="T5" s="105"/>
      <c r="U5" s="105"/>
      <c r="V5" s="105"/>
      <c r="AA5" s="111" t="s">
        <v>7</v>
      </c>
      <c r="AB5" s="112"/>
      <c r="AC5" s="112"/>
      <c r="AD5" s="113"/>
      <c r="AH5" s="103" t="s">
        <v>7</v>
      </c>
      <c r="AI5" s="104"/>
      <c r="AJ5" s="104"/>
    </row>
    <row r="6" spans="1:36" ht="45.6" customHeight="1" x14ac:dyDescent="0.3">
      <c r="A6" s="9" t="s">
        <v>503</v>
      </c>
      <c r="B6" s="106" t="str">
        <f>VLOOKUP(A6,Itens!$A$7:$J$537,2,0)</f>
        <v xml:space="preserve">Pintura em látex acrílica premium fosca em paredes internas ou externas, exceto muros, com três demãos, sem emassamento, com aplicação de selador para alvenaria exterior.  </v>
      </c>
      <c r="C6" s="106"/>
      <c r="D6" s="106"/>
      <c r="E6" s="106"/>
      <c r="F6" s="106"/>
      <c r="G6" s="11"/>
      <c r="H6" s="11"/>
      <c r="I6" s="11"/>
      <c r="J6" s="11"/>
      <c r="K6" s="9"/>
      <c r="L6" s="106" t="e">
        <f>VLOOKUP(K6,Itens!$A$7:$J$537,2,0)</f>
        <v>#N/A</v>
      </c>
      <c r="M6" s="106"/>
      <c r="N6" s="106"/>
      <c r="S6" s="9" t="s">
        <v>100</v>
      </c>
      <c r="T6" s="106" t="str">
        <f>VLOOKUP(S6,Itens!$A$7:$J$537,2,0)</f>
        <v>Remoção de entulho com caçamba metálica, inclusive limpeza, transporte, carga, descarga e descarte conforme legislação ambiental - Material de descarte (alvenaria, estruturas metálicas, madeiramento, revestimentos cerâmicos, gesso, dry-wall, entre outros)</v>
      </c>
      <c r="U6" s="106"/>
      <c r="V6" s="106"/>
      <c r="AA6" s="10"/>
      <c r="AB6" s="106" t="e">
        <f>VLOOKUP(AA6,Itens!$A$7:$J$537,2,0)</f>
        <v>#N/A</v>
      </c>
      <c r="AC6" s="106"/>
      <c r="AD6" s="106"/>
      <c r="AH6" s="10" t="s">
        <v>331</v>
      </c>
      <c r="AI6" s="101" t="str">
        <f>VLOOKUP(AH6,Itens!$A$7:$J$537,2,0)</f>
        <v>Deslocamento ou remanejamento de mobiliário dentro da agência</v>
      </c>
      <c r="AJ6" s="102"/>
    </row>
    <row r="7" spans="1:36" ht="40.799999999999997" customHeight="1" x14ac:dyDescent="0.3">
      <c r="A7" s="1" t="s">
        <v>0</v>
      </c>
      <c r="B7" s="7" t="s">
        <v>1</v>
      </c>
      <c r="C7" s="8" t="s">
        <v>1058</v>
      </c>
      <c r="D7" s="7" t="s">
        <v>5</v>
      </c>
      <c r="E7" s="7" t="s">
        <v>6</v>
      </c>
      <c r="F7" s="7" t="s">
        <v>1070</v>
      </c>
      <c r="K7" s="1" t="s">
        <v>0</v>
      </c>
      <c r="L7" s="7" t="s">
        <v>1</v>
      </c>
      <c r="M7" s="8" t="s">
        <v>1058</v>
      </c>
      <c r="N7" s="7" t="s">
        <v>3</v>
      </c>
      <c r="S7" s="1" t="s">
        <v>0</v>
      </c>
      <c r="T7" s="7" t="s">
        <v>1</v>
      </c>
      <c r="U7" s="8" t="s">
        <v>1058</v>
      </c>
      <c r="V7" s="7" t="s">
        <v>1064</v>
      </c>
      <c r="AA7" s="1" t="s">
        <v>0</v>
      </c>
      <c r="AB7" s="1" t="s">
        <v>1</v>
      </c>
      <c r="AC7" s="5" t="s">
        <v>4</v>
      </c>
      <c r="AD7" s="1" t="s">
        <v>3</v>
      </c>
      <c r="AH7" s="1" t="s">
        <v>0</v>
      </c>
      <c r="AI7" s="5" t="s">
        <v>1067</v>
      </c>
      <c r="AJ7" s="1" t="s">
        <v>1065</v>
      </c>
    </row>
    <row r="8" spans="1:36" x14ac:dyDescent="0.3">
      <c r="A8" s="4">
        <v>177</v>
      </c>
      <c r="B8" s="2">
        <v>8.1</v>
      </c>
      <c r="C8" s="2">
        <v>3</v>
      </c>
      <c r="D8" s="2">
        <v>1.89</v>
      </c>
      <c r="E8" s="2">
        <f>C8*B8</f>
        <v>24.299999999999997</v>
      </c>
      <c r="F8" s="2">
        <f>E8-D8</f>
        <v>22.409999999999997</v>
      </c>
      <c r="K8" s="4"/>
      <c r="L8" s="2"/>
      <c r="M8" s="2"/>
      <c r="N8" s="2">
        <f>M8*L8</f>
        <v>0</v>
      </c>
      <c r="S8" s="4">
        <v>290</v>
      </c>
      <c r="T8" s="2">
        <v>3.94</v>
      </c>
      <c r="U8" s="2">
        <v>1</v>
      </c>
      <c r="V8" s="2">
        <f>U8*T8</f>
        <v>3.94</v>
      </c>
      <c r="AA8" s="4"/>
      <c r="AB8" s="2"/>
      <c r="AC8" s="2">
        <v>2.1</v>
      </c>
      <c r="AD8" s="2">
        <f t="shared" ref="AD8:AD39" si="0">AB8*AC8</f>
        <v>0</v>
      </c>
      <c r="AH8" s="4">
        <v>167</v>
      </c>
      <c r="AI8" s="2">
        <v>2</v>
      </c>
      <c r="AJ8" s="1" t="str">
        <f>UPPER(VLOOKUP($AH$6,Itens!$A$7:$J$537,4,0))</f>
        <v>UN</v>
      </c>
    </row>
    <row r="9" spans="1:36" hidden="1" x14ac:dyDescent="0.3">
      <c r="A9" s="4"/>
      <c r="B9" s="2"/>
      <c r="C9" s="2"/>
      <c r="D9" s="2"/>
      <c r="E9" s="2">
        <f t="shared" ref="E9:E39" si="1">C9*B9</f>
        <v>0</v>
      </c>
      <c r="F9" s="2">
        <f t="shared" ref="F9:F39" si="2">E9-D9</f>
        <v>0</v>
      </c>
      <c r="K9" s="4"/>
      <c r="L9" s="2"/>
      <c r="M9" s="2"/>
      <c r="N9" s="2">
        <f t="shared" ref="N9:N39" si="3">M9*L9</f>
        <v>0</v>
      </c>
      <c r="S9" s="4"/>
      <c r="T9" s="2"/>
      <c r="U9" s="2"/>
      <c r="V9" s="2">
        <f t="shared" ref="V9:V39" si="4">U9*T9</f>
        <v>0</v>
      </c>
      <c r="AA9" s="4"/>
      <c r="AB9" s="2"/>
      <c r="AC9" s="2">
        <v>2.1</v>
      </c>
      <c r="AD9" s="2">
        <f t="shared" si="0"/>
        <v>0</v>
      </c>
      <c r="AH9" s="4"/>
      <c r="AI9" s="2"/>
      <c r="AJ9" s="1" t="str">
        <f>UPPER(VLOOKUP($AH$6,Itens!$A$7:$J$537,4,0))</f>
        <v>UN</v>
      </c>
    </row>
    <row r="10" spans="1:36" hidden="1" x14ac:dyDescent="0.3">
      <c r="A10" s="4"/>
      <c r="B10" s="2"/>
      <c r="C10" s="2"/>
      <c r="D10" s="2"/>
      <c r="E10" s="2">
        <f t="shared" si="1"/>
        <v>0</v>
      </c>
      <c r="F10" s="2">
        <f t="shared" si="2"/>
        <v>0</v>
      </c>
      <c r="K10" s="4"/>
      <c r="L10" s="2"/>
      <c r="M10" s="2"/>
      <c r="N10" s="2">
        <f t="shared" si="3"/>
        <v>0</v>
      </c>
      <c r="S10" s="4"/>
      <c r="T10" s="2"/>
      <c r="U10" s="2"/>
      <c r="V10" s="2">
        <f t="shared" si="4"/>
        <v>0</v>
      </c>
      <c r="AA10" s="4"/>
      <c r="AB10" s="2"/>
      <c r="AC10" s="2">
        <v>2.1</v>
      </c>
      <c r="AD10" s="2">
        <f t="shared" si="0"/>
        <v>0</v>
      </c>
      <c r="AH10" s="4"/>
      <c r="AI10" s="2"/>
      <c r="AJ10" s="1" t="str">
        <f>UPPER(VLOOKUP($AH$6,Itens!$A$7:$J$537,4,0))</f>
        <v>UN</v>
      </c>
    </row>
    <row r="11" spans="1:36" hidden="1" x14ac:dyDescent="0.3">
      <c r="A11" s="4"/>
      <c r="B11" s="2"/>
      <c r="C11" s="2"/>
      <c r="D11" s="2"/>
      <c r="E11" s="2">
        <f t="shared" si="1"/>
        <v>0</v>
      </c>
      <c r="F11" s="2">
        <f t="shared" si="2"/>
        <v>0</v>
      </c>
      <c r="K11" s="4"/>
      <c r="L11" s="2"/>
      <c r="M11" s="2"/>
      <c r="N11" s="2">
        <f t="shared" si="3"/>
        <v>0</v>
      </c>
      <c r="S11" s="4"/>
      <c r="T11" s="2"/>
      <c r="U11" s="2"/>
      <c r="V11" s="2">
        <f t="shared" si="4"/>
        <v>0</v>
      </c>
      <c r="AA11" s="4"/>
      <c r="AB11" s="2"/>
      <c r="AC11" s="2">
        <v>2.1</v>
      </c>
      <c r="AD11" s="2">
        <f t="shared" si="0"/>
        <v>0</v>
      </c>
      <c r="AH11" s="4"/>
      <c r="AI11" s="2"/>
      <c r="AJ11" s="1" t="str">
        <f>UPPER(VLOOKUP($AH$6,Itens!$A$7:$J$537,4,0))</f>
        <v>UN</v>
      </c>
    </row>
    <row r="12" spans="1:36" hidden="1" x14ac:dyDescent="0.3">
      <c r="A12" s="4"/>
      <c r="B12" s="2"/>
      <c r="C12" s="2"/>
      <c r="D12" s="2"/>
      <c r="E12" s="2">
        <f t="shared" si="1"/>
        <v>0</v>
      </c>
      <c r="F12" s="2">
        <f t="shared" si="2"/>
        <v>0</v>
      </c>
      <c r="K12" s="4"/>
      <c r="L12" s="2"/>
      <c r="M12" s="2"/>
      <c r="N12" s="2">
        <f t="shared" si="3"/>
        <v>0</v>
      </c>
      <c r="S12" s="4"/>
      <c r="T12" s="2"/>
      <c r="U12" s="2"/>
      <c r="V12" s="2">
        <f t="shared" si="4"/>
        <v>0</v>
      </c>
      <c r="AA12" s="4"/>
      <c r="AB12" s="2"/>
      <c r="AC12" s="2">
        <v>2.1</v>
      </c>
      <c r="AD12" s="2">
        <f t="shared" si="0"/>
        <v>0</v>
      </c>
      <c r="AH12" s="4"/>
      <c r="AI12" s="2"/>
      <c r="AJ12" s="1" t="str">
        <f>UPPER(VLOOKUP($AH$6,Itens!$A$7:$J$537,4,0))</f>
        <v>UN</v>
      </c>
    </row>
    <row r="13" spans="1:36" hidden="1" x14ac:dyDescent="0.3">
      <c r="A13" s="4"/>
      <c r="B13" s="2"/>
      <c r="C13" s="2"/>
      <c r="D13" s="2"/>
      <c r="E13" s="2">
        <f t="shared" si="1"/>
        <v>0</v>
      </c>
      <c r="F13" s="2">
        <f t="shared" si="2"/>
        <v>0</v>
      </c>
      <c r="K13" s="4"/>
      <c r="L13" s="2"/>
      <c r="M13" s="2"/>
      <c r="N13" s="2">
        <f t="shared" si="3"/>
        <v>0</v>
      </c>
      <c r="S13" s="4"/>
      <c r="T13" s="2"/>
      <c r="U13" s="2"/>
      <c r="V13" s="2">
        <f t="shared" si="4"/>
        <v>0</v>
      </c>
      <c r="AA13" s="4"/>
      <c r="AB13" s="2"/>
      <c r="AC13" s="2">
        <v>2.1</v>
      </c>
      <c r="AD13" s="2">
        <f t="shared" si="0"/>
        <v>0</v>
      </c>
      <c r="AH13" s="4"/>
      <c r="AI13" s="2"/>
      <c r="AJ13" s="1" t="str">
        <f>UPPER(VLOOKUP($AH$6,Itens!$A$7:$J$537,4,0))</f>
        <v>UN</v>
      </c>
    </row>
    <row r="14" spans="1:36" hidden="1" x14ac:dyDescent="0.3">
      <c r="A14" s="4"/>
      <c r="B14" s="2"/>
      <c r="C14" s="2"/>
      <c r="D14" s="2"/>
      <c r="E14" s="2">
        <f t="shared" si="1"/>
        <v>0</v>
      </c>
      <c r="F14" s="2">
        <f t="shared" si="2"/>
        <v>0</v>
      </c>
      <c r="K14" s="4"/>
      <c r="L14" s="2"/>
      <c r="M14" s="2"/>
      <c r="N14" s="2">
        <f t="shared" si="3"/>
        <v>0</v>
      </c>
      <c r="S14" s="4"/>
      <c r="T14" s="2"/>
      <c r="U14" s="2"/>
      <c r="V14" s="2">
        <f t="shared" si="4"/>
        <v>0</v>
      </c>
      <c r="AA14" s="4"/>
      <c r="AB14" s="2"/>
      <c r="AC14" s="2">
        <v>2.1</v>
      </c>
      <c r="AD14" s="2">
        <f t="shared" si="0"/>
        <v>0</v>
      </c>
      <c r="AH14" s="4"/>
      <c r="AI14" s="2"/>
      <c r="AJ14" s="1" t="str">
        <f>UPPER(VLOOKUP($AH$6,Itens!$A$7:$J$537,4,0))</f>
        <v>UN</v>
      </c>
    </row>
    <row r="15" spans="1:36" hidden="1" x14ac:dyDescent="0.3">
      <c r="A15" s="4"/>
      <c r="B15" s="2"/>
      <c r="C15" s="2"/>
      <c r="D15" s="2"/>
      <c r="E15" s="2">
        <f t="shared" si="1"/>
        <v>0</v>
      </c>
      <c r="F15" s="2">
        <f t="shared" si="2"/>
        <v>0</v>
      </c>
      <c r="K15" s="4"/>
      <c r="L15" s="2"/>
      <c r="M15" s="2"/>
      <c r="N15" s="2">
        <f t="shared" si="3"/>
        <v>0</v>
      </c>
      <c r="S15" s="4"/>
      <c r="T15" s="2"/>
      <c r="U15" s="2"/>
      <c r="V15" s="2">
        <f t="shared" si="4"/>
        <v>0</v>
      </c>
      <c r="AA15" s="4"/>
      <c r="AB15" s="2"/>
      <c r="AC15" s="2">
        <v>2.1</v>
      </c>
      <c r="AD15" s="2">
        <f t="shared" si="0"/>
        <v>0</v>
      </c>
      <c r="AH15" s="4"/>
      <c r="AI15" s="2"/>
      <c r="AJ15" s="1" t="str">
        <f>UPPER(VLOOKUP($AH$6,Itens!$A$7:$J$537,4,0))</f>
        <v>UN</v>
      </c>
    </row>
    <row r="16" spans="1:36" hidden="1" x14ac:dyDescent="0.3">
      <c r="A16" s="4"/>
      <c r="B16" s="2"/>
      <c r="C16" s="2"/>
      <c r="D16" s="2"/>
      <c r="E16" s="2">
        <f t="shared" si="1"/>
        <v>0</v>
      </c>
      <c r="F16" s="2">
        <f t="shared" si="2"/>
        <v>0</v>
      </c>
      <c r="K16" s="4"/>
      <c r="L16" s="2"/>
      <c r="M16" s="2"/>
      <c r="N16" s="2">
        <f t="shared" si="3"/>
        <v>0</v>
      </c>
      <c r="S16" s="4"/>
      <c r="T16" s="2"/>
      <c r="U16" s="2"/>
      <c r="V16" s="2">
        <f t="shared" si="4"/>
        <v>0</v>
      </c>
      <c r="AA16" s="4"/>
      <c r="AB16" s="2"/>
      <c r="AC16" s="2">
        <v>2.1</v>
      </c>
      <c r="AD16" s="2">
        <f t="shared" si="0"/>
        <v>0</v>
      </c>
      <c r="AH16" s="4"/>
      <c r="AI16" s="2"/>
      <c r="AJ16" s="1" t="str">
        <f>UPPER(VLOOKUP($AH$6,Itens!$A$7:$J$537,4,0))</f>
        <v>UN</v>
      </c>
    </row>
    <row r="17" spans="1:36" hidden="1" x14ac:dyDescent="0.3">
      <c r="A17" s="4"/>
      <c r="B17" s="2"/>
      <c r="C17" s="2"/>
      <c r="D17" s="2"/>
      <c r="E17" s="2">
        <f t="shared" si="1"/>
        <v>0</v>
      </c>
      <c r="F17" s="2">
        <f t="shared" si="2"/>
        <v>0</v>
      </c>
      <c r="K17" s="4"/>
      <c r="L17" s="2"/>
      <c r="M17" s="2"/>
      <c r="N17" s="2">
        <f t="shared" si="3"/>
        <v>0</v>
      </c>
      <c r="S17" s="4"/>
      <c r="T17" s="2"/>
      <c r="U17" s="2"/>
      <c r="V17" s="2">
        <f t="shared" si="4"/>
        <v>0</v>
      </c>
      <c r="AA17" s="4"/>
      <c r="AB17" s="2"/>
      <c r="AC17" s="2">
        <v>2.1</v>
      </c>
      <c r="AD17" s="2">
        <f t="shared" si="0"/>
        <v>0</v>
      </c>
      <c r="AH17" s="4"/>
      <c r="AI17" s="2"/>
      <c r="AJ17" s="1" t="str">
        <f>UPPER(VLOOKUP($AH$6,Itens!$A$7:$J$537,4,0))</f>
        <v>UN</v>
      </c>
    </row>
    <row r="18" spans="1:36" hidden="1" x14ac:dyDescent="0.3">
      <c r="A18" s="4"/>
      <c r="B18" s="2"/>
      <c r="C18" s="2"/>
      <c r="D18" s="2"/>
      <c r="E18" s="2">
        <f t="shared" si="1"/>
        <v>0</v>
      </c>
      <c r="F18" s="2">
        <f t="shared" si="2"/>
        <v>0</v>
      </c>
      <c r="K18" s="4"/>
      <c r="L18" s="2"/>
      <c r="M18" s="2"/>
      <c r="N18" s="2">
        <f t="shared" si="3"/>
        <v>0</v>
      </c>
      <c r="S18" s="4"/>
      <c r="T18" s="2"/>
      <c r="U18" s="2"/>
      <c r="V18" s="2">
        <f t="shared" si="4"/>
        <v>0</v>
      </c>
      <c r="AA18" s="4"/>
      <c r="AB18" s="2"/>
      <c r="AC18" s="2">
        <v>2.1</v>
      </c>
      <c r="AD18" s="2">
        <f t="shared" si="0"/>
        <v>0</v>
      </c>
      <c r="AH18" s="4"/>
      <c r="AI18" s="2"/>
      <c r="AJ18" s="1" t="str">
        <f>UPPER(VLOOKUP($AH$6,Itens!$A$7:$J$537,4,0))</f>
        <v>UN</v>
      </c>
    </row>
    <row r="19" spans="1:36" hidden="1" x14ac:dyDescent="0.3">
      <c r="A19" s="4"/>
      <c r="B19" s="2"/>
      <c r="C19" s="2"/>
      <c r="D19" s="2"/>
      <c r="E19" s="2">
        <f t="shared" si="1"/>
        <v>0</v>
      </c>
      <c r="F19" s="2">
        <f t="shared" si="2"/>
        <v>0</v>
      </c>
      <c r="K19" s="4"/>
      <c r="L19" s="2"/>
      <c r="M19" s="2"/>
      <c r="N19" s="2">
        <f t="shared" si="3"/>
        <v>0</v>
      </c>
      <c r="S19" s="4"/>
      <c r="T19" s="2"/>
      <c r="U19" s="2"/>
      <c r="V19" s="2">
        <f t="shared" si="4"/>
        <v>0</v>
      </c>
      <c r="AA19" s="4"/>
      <c r="AB19" s="2"/>
      <c r="AC19" s="2">
        <v>2.1</v>
      </c>
      <c r="AD19" s="2">
        <f t="shared" si="0"/>
        <v>0</v>
      </c>
      <c r="AH19" s="4"/>
      <c r="AI19" s="2"/>
      <c r="AJ19" s="1" t="str">
        <f>UPPER(VLOOKUP($AH$6,Itens!$A$7:$J$537,4,0))</f>
        <v>UN</v>
      </c>
    </row>
    <row r="20" spans="1:36" hidden="1" x14ac:dyDescent="0.3">
      <c r="A20" s="4"/>
      <c r="B20" s="2"/>
      <c r="C20" s="2"/>
      <c r="D20" s="2"/>
      <c r="E20" s="2">
        <f t="shared" si="1"/>
        <v>0</v>
      </c>
      <c r="F20" s="2">
        <f t="shared" si="2"/>
        <v>0</v>
      </c>
      <c r="K20" s="4"/>
      <c r="L20" s="2"/>
      <c r="M20" s="2"/>
      <c r="N20" s="2">
        <f t="shared" si="3"/>
        <v>0</v>
      </c>
      <c r="S20" s="4"/>
      <c r="T20" s="2"/>
      <c r="U20" s="2"/>
      <c r="V20" s="2">
        <f t="shared" si="4"/>
        <v>0</v>
      </c>
      <c r="AA20" s="4"/>
      <c r="AB20" s="2"/>
      <c r="AC20" s="2">
        <v>2.1</v>
      </c>
      <c r="AD20" s="2">
        <f t="shared" si="0"/>
        <v>0</v>
      </c>
      <c r="AH20" s="4"/>
      <c r="AI20" s="2"/>
      <c r="AJ20" s="1" t="str">
        <f>UPPER(VLOOKUP($AH$6,Itens!$A$7:$J$537,4,0))</f>
        <v>UN</v>
      </c>
    </row>
    <row r="21" spans="1:36" hidden="1" x14ac:dyDescent="0.3">
      <c r="A21" s="4"/>
      <c r="B21" s="2"/>
      <c r="C21" s="2"/>
      <c r="D21" s="2"/>
      <c r="E21" s="2">
        <f t="shared" si="1"/>
        <v>0</v>
      </c>
      <c r="F21" s="2">
        <f t="shared" si="2"/>
        <v>0</v>
      </c>
      <c r="K21" s="4"/>
      <c r="L21" s="2"/>
      <c r="M21" s="2"/>
      <c r="N21" s="2">
        <f t="shared" si="3"/>
        <v>0</v>
      </c>
      <c r="S21" s="4"/>
      <c r="T21" s="2"/>
      <c r="U21" s="2"/>
      <c r="V21" s="2">
        <f t="shared" si="4"/>
        <v>0</v>
      </c>
      <c r="AA21" s="4"/>
      <c r="AB21" s="2"/>
      <c r="AC21" s="2">
        <v>2.1</v>
      </c>
      <c r="AD21" s="2">
        <f t="shared" si="0"/>
        <v>0</v>
      </c>
      <c r="AH21" s="4"/>
      <c r="AI21" s="2"/>
      <c r="AJ21" s="1" t="str">
        <f>UPPER(VLOOKUP($AH$6,Itens!$A$7:$J$537,4,0))</f>
        <v>UN</v>
      </c>
    </row>
    <row r="22" spans="1:36" hidden="1" x14ac:dyDescent="0.3">
      <c r="A22" s="4"/>
      <c r="B22" s="2"/>
      <c r="C22" s="2"/>
      <c r="D22" s="2"/>
      <c r="E22" s="2">
        <f t="shared" si="1"/>
        <v>0</v>
      </c>
      <c r="F22" s="2">
        <f t="shared" si="2"/>
        <v>0</v>
      </c>
      <c r="K22" s="4"/>
      <c r="L22" s="2"/>
      <c r="M22" s="2"/>
      <c r="N22" s="2">
        <f t="shared" si="3"/>
        <v>0</v>
      </c>
      <c r="S22" s="4"/>
      <c r="T22" s="2"/>
      <c r="U22" s="2"/>
      <c r="V22" s="2">
        <f t="shared" si="4"/>
        <v>0</v>
      </c>
      <c r="AA22" s="4"/>
      <c r="AB22" s="2"/>
      <c r="AC22" s="2">
        <v>2.1</v>
      </c>
      <c r="AD22" s="2">
        <f t="shared" si="0"/>
        <v>0</v>
      </c>
      <c r="AH22" s="4"/>
      <c r="AI22" s="2"/>
      <c r="AJ22" s="1" t="str">
        <f>UPPER(VLOOKUP($AH$6,Itens!$A$7:$J$537,4,0))</f>
        <v>UN</v>
      </c>
    </row>
    <row r="23" spans="1:36" hidden="1" x14ac:dyDescent="0.3">
      <c r="A23" s="4"/>
      <c r="B23" s="2"/>
      <c r="C23" s="2"/>
      <c r="D23" s="2"/>
      <c r="E23" s="2">
        <f t="shared" si="1"/>
        <v>0</v>
      </c>
      <c r="F23" s="2">
        <f t="shared" si="2"/>
        <v>0</v>
      </c>
      <c r="I23" s="6"/>
      <c r="K23" s="4"/>
      <c r="L23" s="2"/>
      <c r="M23" s="2"/>
      <c r="N23" s="2">
        <f t="shared" si="3"/>
        <v>0</v>
      </c>
      <c r="S23" s="4"/>
      <c r="T23" s="2"/>
      <c r="U23" s="2"/>
      <c r="V23" s="2">
        <f t="shared" si="4"/>
        <v>0</v>
      </c>
      <c r="AA23" s="4"/>
      <c r="AB23" s="2"/>
      <c r="AC23" s="2">
        <v>2.1</v>
      </c>
      <c r="AD23" s="2">
        <f t="shared" si="0"/>
        <v>0</v>
      </c>
      <c r="AH23" s="4"/>
      <c r="AI23" s="2"/>
      <c r="AJ23" s="1" t="str">
        <f>UPPER(VLOOKUP($AH$6,Itens!$A$7:$J$537,4,0))</f>
        <v>UN</v>
      </c>
    </row>
    <row r="24" spans="1:36" hidden="1" x14ac:dyDescent="0.3">
      <c r="A24" s="4"/>
      <c r="B24" s="2"/>
      <c r="C24" s="2"/>
      <c r="D24" s="2"/>
      <c r="E24" s="2">
        <f t="shared" si="1"/>
        <v>0</v>
      </c>
      <c r="F24" s="2">
        <f t="shared" si="2"/>
        <v>0</v>
      </c>
      <c r="K24" s="4"/>
      <c r="L24" s="2"/>
      <c r="M24" s="2"/>
      <c r="N24" s="2">
        <f t="shared" si="3"/>
        <v>0</v>
      </c>
      <c r="S24" s="4"/>
      <c r="T24" s="2"/>
      <c r="U24" s="2"/>
      <c r="V24" s="2">
        <f t="shared" si="4"/>
        <v>0</v>
      </c>
      <c r="AA24" s="4"/>
      <c r="AB24" s="2"/>
      <c r="AC24" s="2">
        <v>2.1</v>
      </c>
      <c r="AD24" s="2">
        <f t="shared" si="0"/>
        <v>0</v>
      </c>
      <c r="AH24" s="4"/>
      <c r="AI24" s="2"/>
      <c r="AJ24" s="1" t="str">
        <f>UPPER(VLOOKUP($AH$6,Itens!$A$7:$J$537,4,0))</f>
        <v>UN</v>
      </c>
    </row>
    <row r="25" spans="1:36" hidden="1" x14ac:dyDescent="0.3">
      <c r="A25" s="4"/>
      <c r="B25" s="2"/>
      <c r="C25" s="2"/>
      <c r="D25" s="2"/>
      <c r="E25" s="2">
        <f t="shared" si="1"/>
        <v>0</v>
      </c>
      <c r="F25" s="2">
        <f t="shared" si="2"/>
        <v>0</v>
      </c>
      <c r="K25" s="4"/>
      <c r="L25" s="2"/>
      <c r="M25" s="2"/>
      <c r="N25" s="2">
        <f t="shared" si="3"/>
        <v>0</v>
      </c>
      <c r="S25" s="4"/>
      <c r="T25" s="2"/>
      <c r="U25" s="2"/>
      <c r="V25" s="2">
        <f t="shared" si="4"/>
        <v>0</v>
      </c>
      <c r="AA25" s="4"/>
      <c r="AB25" s="2"/>
      <c r="AC25" s="2">
        <v>2.1</v>
      </c>
      <c r="AD25" s="2">
        <f t="shared" si="0"/>
        <v>0</v>
      </c>
      <c r="AH25" s="4"/>
      <c r="AI25" s="2"/>
      <c r="AJ25" s="1" t="str">
        <f>UPPER(VLOOKUP($AH$6,Itens!$A$7:$J$537,4,0))</f>
        <v>UN</v>
      </c>
    </row>
    <row r="26" spans="1:36" hidden="1" x14ac:dyDescent="0.3">
      <c r="A26" s="4"/>
      <c r="B26" s="2"/>
      <c r="C26" s="2"/>
      <c r="D26" s="2"/>
      <c r="E26" s="2">
        <f t="shared" si="1"/>
        <v>0</v>
      </c>
      <c r="F26" s="2">
        <f t="shared" si="2"/>
        <v>0</v>
      </c>
      <c r="K26" s="4"/>
      <c r="L26" s="2"/>
      <c r="M26" s="2"/>
      <c r="N26" s="2">
        <f t="shared" si="3"/>
        <v>0</v>
      </c>
      <c r="S26" s="4"/>
      <c r="T26" s="2"/>
      <c r="U26" s="2"/>
      <c r="V26" s="2">
        <f t="shared" si="4"/>
        <v>0</v>
      </c>
      <c r="AA26" s="4"/>
      <c r="AB26" s="2"/>
      <c r="AC26" s="2">
        <v>2.1</v>
      </c>
      <c r="AD26" s="2">
        <f t="shared" si="0"/>
        <v>0</v>
      </c>
      <c r="AH26" s="4"/>
      <c r="AI26" s="2"/>
      <c r="AJ26" s="1" t="str">
        <f>UPPER(VLOOKUP($AH$6,Itens!$A$7:$J$537,4,0))</f>
        <v>UN</v>
      </c>
    </row>
    <row r="27" spans="1:36" hidden="1" x14ac:dyDescent="0.3">
      <c r="A27" s="4"/>
      <c r="B27" s="2"/>
      <c r="C27" s="2"/>
      <c r="D27" s="2"/>
      <c r="E27" s="2">
        <f t="shared" si="1"/>
        <v>0</v>
      </c>
      <c r="F27" s="2">
        <f t="shared" si="2"/>
        <v>0</v>
      </c>
      <c r="K27" s="4"/>
      <c r="L27" s="2"/>
      <c r="M27" s="2"/>
      <c r="N27" s="2">
        <f t="shared" si="3"/>
        <v>0</v>
      </c>
      <c r="S27" s="4"/>
      <c r="T27" s="2"/>
      <c r="U27" s="2"/>
      <c r="V27" s="2">
        <f t="shared" si="4"/>
        <v>0</v>
      </c>
      <c r="AA27" s="4"/>
      <c r="AB27" s="2"/>
      <c r="AC27" s="2">
        <v>2.1</v>
      </c>
      <c r="AD27" s="2">
        <f t="shared" si="0"/>
        <v>0</v>
      </c>
      <c r="AH27" s="4"/>
      <c r="AI27" s="2"/>
      <c r="AJ27" s="1" t="str">
        <f>UPPER(VLOOKUP($AH$6,Itens!$A$7:$J$537,4,0))</f>
        <v>UN</v>
      </c>
    </row>
    <row r="28" spans="1:36" hidden="1" x14ac:dyDescent="0.3">
      <c r="A28" s="4"/>
      <c r="B28" s="2"/>
      <c r="C28" s="2"/>
      <c r="D28" s="2"/>
      <c r="E28" s="2">
        <f t="shared" si="1"/>
        <v>0</v>
      </c>
      <c r="F28" s="2">
        <f t="shared" si="2"/>
        <v>0</v>
      </c>
      <c r="K28" s="4"/>
      <c r="L28" s="2"/>
      <c r="M28" s="2"/>
      <c r="N28" s="2">
        <f t="shared" si="3"/>
        <v>0</v>
      </c>
      <c r="S28" s="4"/>
      <c r="T28" s="2"/>
      <c r="U28" s="2"/>
      <c r="V28" s="2">
        <f t="shared" si="4"/>
        <v>0</v>
      </c>
      <c r="AA28" s="4"/>
      <c r="AB28" s="2"/>
      <c r="AC28" s="2">
        <v>2.1</v>
      </c>
      <c r="AD28" s="2">
        <f t="shared" si="0"/>
        <v>0</v>
      </c>
      <c r="AH28" s="4"/>
      <c r="AI28" s="2"/>
      <c r="AJ28" s="1" t="str">
        <f>UPPER(VLOOKUP($AH$6,Itens!$A$7:$J$537,4,0))</f>
        <v>UN</v>
      </c>
    </row>
    <row r="29" spans="1:36" hidden="1" x14ac:dyDescent="0.3">
      <c r="A29" s="4"/>
      <c r="B29" s="2"/>
      <c r="C29" s="2"/>
      <c r="D29" s="2"/>
      <c r="E29" s="2">
        <f t="shared" si="1"/>
        <v>0</v>
      </c>
      <c r="F29" s="2">
        <f t="shared" si="2"/>
        <v>0</v>
      </c>
      <c r="K29" s="4"/>
      <c r="L29" s="2"/>
      <c r="M29" s="2"/>
      <c r="N29" s="2">
        <f t="shared" si="3"/>
        <v>0</v>
      </c>
      <c r="S29" s="4"/>
      <c r="T29" s="2"/>
      <c r="U29" s="2"/>
      <c r="V29" s="2">
        <f t="shared" si="4"/>
        <v>0</v>
      </c>
      <c r="AA29" s="4"/>
      <c r="AB29" s="2"/>
      <c r="AC29" s="2">
        <v>2.1</v>
      </c>
      <c r="AD29" s="2">
        <f t="shared" si="0"/>
        <v>0</v>
      </c>
      <c r="AH29" s="4"/>
      <c r="AI29" s="2"/>
      <c r="AJ29" s="1" t="str">
        <f>UPPER(VLOOKUP($AH$6,Itens!$A$7:$J$537,4,0))</f>
        <v>UN</v>
      </c>
    </row>
    <row r="30" spans="1:36" hidden="1" x14ac:dyDescent="0.3">
      <c r="A30" s="4"/>
      <c r="B30" s="2"/>
      <c r="C30" s="2"/>
      <c r="D30" s="2"/>
      <c r="E30" s="2">
        <f t="shared" si="1"/>
        <v>0</v>
      </c>
      <c r="F30" s="2">
        <f t="shared" si="2"/>
        <v>0</v>
      </c>
      <c r="K30" s="4"/>
      <c r="L30" s="2"/>
      <c r="M30" s="2"/>
      <c r="N30" s="2">
        <f t="shared" si="3"/>
        <v>0</v>
      </c>
      <c r="S30" s="4"/>
      <c r="T30" s="2"/>
      <c r="U30" s="2"/>
      <c r="V30" s="2">
        <f t="shared" si="4"/>
        <v>0</v>
      </c>
      <c r="AA30" s="4"/>
      <c r="AB30" s="2"/>
      <c r="AC30" s="2">
        <v>2.1</v>
      </c>
      <c r="AD30" s="2">
        <f t="shared" si="0"/>
        <v>0</v>
      </c>
      <c r="AH30" s="4"/>
      <c r="AI30" s="2"/>
      <c r="AJ30" s="1" t="str">
        <f>UPPER(VLOOKUP($AH$6,Itens!$A$7:$J$537,4,0))</f>
        <v>UN</v>
      </c>
    </row>
    <row r="31" spans="1:36" hidden="1" x14ac:dyDescent="0.3">
      <c r="A31" s="4"/>
      <c r="B31" s="2"/>
      <c r="C31" s="2"/>
      <c r="D31" s="2"/>
      <c r="E31" s="2">
        <f t="shared" si="1"/>
        <v>0</v>
      </c>
      <c r="F31" s="2">
        <f t="shared" si="2"/>
        <v>0</v>
      </c>
      <c r="K31" s="4"/>
      <c r="L31" s="2"/>
      <c r="M31" s="2"/>
      <c r="N31" s="2">
        <f t="shared" si="3"/>
        <v>0</v>
      </c>
      <c r="S31" s="4"/>
      <c r="T31" s="2"/>
      <c r="U31" s="2"/>
      <c r="V31" s="2">
        <f t="shared" si="4"/>
        <v>0</v>
      </c>
      <c r="AA31" s="4"/>
      <c r="AB31" s="2"/>
      <c r="AC31" s="2">
        <v>2.1</v>
      </c>
      <c r="AD31" s="2">
        <f t="shared" si="0"/>
        <v>0</v>
      </c>
      <c r="AH31" s="4"/>
      <c r="AI31" s="2"/>
      <c r="AJ31" s="1" t="str">
        <f>UPPER(VLOOKUP($AH$6,Itens!$A$7:$J$537,4,0))</f>
        <v>UN</v>
      </c>
    </row>
    <row r="32" spans="1:36" hidden="1" x14ac:dyDescent="0.3">
      <c r="A32" s="4"/>
      <c r="B32" s="2"/>
      <c r="C32" s="2"/>
      <c r="D32" s="2"/>
      <c r="E32" s="2">
        <f t="shared" si="1"/>
        <v>0</v>
      </c>
      <c r="F32" s="2">
        <f t="shared" si="2"/>
        <v>0</v>
      </c>
      <c r="K32" s="4"/>
      <c r="L32" s="2"/>
      <c r="M32" s="2"/>
      <c r="N32" s="2">
        <f t="shared" si="3"/>
        <v>0</v>
      </c>
      <c r="S32" s="4"/>
      <c r="T32" s="2"/>
      <c r="U32" s="2"/>
      <c r="V32" s="2">
        <f t="shared" si="4"/>
        <v>0</v>
      </c>
      <c r="AA32" s="4"/>
      <c r="AB32" s="2"/>
      <c r="AC32" s="2">
        <v>2.1</v>
      </c>
      <c r="AD32" s="2">
        <f t="shared" si="0"/>
        <v>0</v>
      </c>
      <c r="AH32" s="4"/>
      <c r="AI32" s="2"/>
      <c r="AJ32" s="1" t="str">
        <f>UPPER(VLOOKUP($AH$6,Itens!$A$7:$J$537,4,0))</f>
        <v>UN</v>
      </c>
    </row>
    <row r="33" spans="1:36" hidden="1" x14ac:dyDescent="0.3">
      <c r="A33" s="4"/>
      <c r="B33" s="2"/>
      <c r="C33" s="2"/>
      <c r="D33" s="2"/>
      <c r="E33" s="2">
        <f t="shared" si="1"/>
        <v>0</v>
      </c>
      <c r="F33" s="2">
        <f t="shared" si="2"/>
        <v>0</v>
      </c>
      <c r="K33" s="4"/>
      <c r="L33" s="2"/>
      <c r="M33" s="2"/>
      <c r="N33" s="2">
        <f t="shared" si="3"/>
        <v>0</v>
      </c>
      <c r="S33" s="4"/>
      <c r="T33" s="2"/>
      <c r="U33" s="2"/>
      <c r="V33" s="2">
        <f t="shared" si="4"/>
        <v>0</v>
      </c>
      <c r="AA33" s="4"/>
      <c r="AB33" s="2"/>
      <c r="AC33" s="2">
        <v>2.1</v>
      </c>
      <c r="AD33" s="2">
        <f t="shared" si="0"/>
        <v>0</v>
      </c>
      <c r="AH33" s="4"/>
      <c r="AI33" s="2"/>
      <c r="AJ33" s="1" t="str">
        <f>UPPER(VLOOKUP($AH$6,Itens!$A$7:$J$537,4,0))</f>
        <v>UN</v>
      </c>
    </row>
    <row r="34" spans="1:36" hidden="1" x14ac:dyDescent="0.3">
      <c r="A34" s="4"/>
      <c r="B34" s="2"/>
      <c r="C34" s="2"/>
      <c r="D34" s="2"/>
      <c r="E34" s="2">
        <f t="shared" si="1"/>
        <v>0</v>
      </c>
      <c r="F34" s="2">
        <f t="shared" si="2"/>
        <v>0</v>
      </c>
      <c r="K34" s="4"/>
      <c r="L34" s="2"/>
      <c r="M34" s="2"/>
      <c r="N34" s="2">
        <f t="shared" si="3"/>
        <v>0</v>
      </c>
      <c r="S34" s="4"/>
      <c r="T34" s="2"/>
      <c r="U34" s="2"/>
      <c r="V34" s="2">
        <f t="shared" si="4"/>
        <v>0</v>
      </c>
      <c r="AA34" s="4"/>
      <c r="AB34" s="2"/>
      <c r="AC34" s="2">
        <v>2.1</v>
      </c>
      <c r="AD34" s="2">
        <f t="shared" si="0"/>
        <v>0</v>
      </c>
      <c r="AH34" s="4"/>
      <c r="AI34" s="2"/>
      <c r="AJ34" s="1" t="str">
        <f>UPPER(VLOOKUP($AH$6,Itens!$A$7:$J$537,4,0))</f>
        <v>UN</v>
      </c>
    </row>
    <row r="35" spans="1:36" hidden="1" x14ac:dyDescent="0.3">
      <c r="A35" s="4"/>
      <c r="B35" s="2"/>
      <c r="C35" s="2"/>
      <c r="D35" s="2"/>
      <c r="E35" s="2">
        <f t="shared" si="1"/>
        <v>0</v>
      </c>
      <c r="F35" s="2">
        <f t="shared" si="2"/>
        <v>0</v>
      </c>
      <c r="K35" s="4"/>
      <c r="L35" s="2"/>
      <c r="M35" s="2"/>
      <c r="N35" s="2">
        <f t="shared" si="3"/>
        <v>0</v>
      </c>
      <c r="S35" s="4"/>
      <c r="T35" s="2"/>
      <c r="U35" s="2"/>
      <c r="V35" s="2">
        <f t="shared" si="4"/>
        <v>0</v>
      </c>
      <c r="AA35" s="4"/>
      <c r="AB35" s="2"/>
      <c r="AC35" s="2">
        <v>2.1</v>
      </c>
      <c r="AD35" s="2">
        <f t="shared" si="0"/>
        <v>0</v>
      </c>
      <c r="AH35" s="4"/>
      <c r="AI35" s="2"/>
      <c r="AJ35" s="1" t="str">
        <f>UPPER(VLOOKUP($AH$6,Itens!$A$7:$J$537,4,0))</f>
        <v>UN</v>
      </c>
    </row>
    <row r="36" spans="1:36" hidden="1" x14ac:dyDescent="0.3">
      <c r="A36" s="4"/>
      <c r="B36" s="2"/>
      <c r="C36" s="2"/>
      <c r="D36" s="2"/>
      <c r="E36" s="2">
        <f t="shared" si="1"/>
        <v>0</v>
      </c>
      <c r="F36" s="2">
        <f t="shared" si="2"/>
        <v>0</v>
      </c>
      <c r="K36" s="4"/>
      <c r="L36" s="2"/>
      <c r="M36" s="2"/>
      <c r="N36" s="2">
        <f t="shared" si="3"/>
        <v>0</v>
      </c>
      <c r="S36" s="4"/>
      <c r="T36" s="2"/>
      <c r="U36" s="2"/>
      <c r="V36" s="2">
        <f t="shared" si="4"/>
        <v>0</v>
      </c>
      <c r="AA36" s="4"/>
      <c r="AB36" s="2"/>
      <c r="AC36" s="2">
        <v>2.1</v>
      </c>
      <c r="AD36" s="2">
        <f t="shared" si="0"/>
        <v>0</v>
      </c>
      <c r="AH36" s="4"/>
      <c r="AI36" s="2"/>
      <c r="AJ36" s="1" t="str">
        <f>UPPER(VLOOKUP($AH$6,Itens!$A$7:$J$537,4,0))</f>
        <v>UN</v>
      </c>
    </row>
    <row r="37" spans="1:36" hidden="1" x14ac:dyDescent="0.3">
      <c r="A37" s="4"/>
      <c r="B37" s="2"/>
      <c r="C37" s="2"/>
      <c r="D37" s="2"/>
      <c r="E37" s="2">
        <f t="shared" si="1"/>
        <v>0</v>
      </c>
      <c r="F37" s="2">
        <f t="shared" si="2"/>
        <v>0</v>
      </c>
      <c r="K37" s="4"/>
      <c r="L37" s="2"/>
      <c r="M37" s="2"/>
      <c r="N37" s="2">
        <f t="shared" si="3"/>
        <v>0</v>
      </c>
      <c r="S37" s="4"/>
      <c r="T37" s="2"/>
      <c r="U37" s="2"/>
      <c r="V37" s="2">
        <f t="shared" si="4"/>
        <v>0</v>
      </c>
      <c r="AA37" s="4"/>
      <c r="AB37" s="2"/>
      <c r="AC37" s="2">
        <v>2.1</v>
      </c>
      <c r="AD37" s="2">
        <f t="shared" si="0"/>
        <v>0</v>
      </c>
      <c r="AH37" s="4"/>
      <c r="AI37" s="2"/>
      <c r="AJ37" s="1" t="str">
        <f>UPPER(VLOOKUP($AH$6,Itens!$A$7:$J$537,4,0))</f>
        <v>UN</v>
      </c>
    </row>
    <row r="38" spans="1:36" hidden="1" x14ac:dyDescent="0.3">
      <c r="A38" s="4"/>
      <c r="B38" s="2"/>
      <c r="C38" s="2"/>
      <c r="D38" s="2"/>
      <c r="E38" s="2">
        <f t="shared" si="1"/>
        <v>0</v>
      </c>
      <c r="F38" s="2">
        <f t="shared" si="2"/>
        <v>0</v>
      </c>
      <c r="I38" s="6"/>
      <c r="K38" s="4"/>
      <c r="L38" s="2"/>
      <c r="M38" s="2"/>
      <c r="N38" s="2">
        <f t="shared" si="3"/>
        <v>0</v>
      </c>
      <c r="S38" s="4"/>
      <c r="T38" s="2"/>
      <c r="U38" s="2"/>
      <c r="V38" s="2">
        <f t="shared" si="4"/>
        <v>0</v>
      </c>
      <c r="AA38" s="4"/>
      <c r="AB38" s="2"/>
      <c r="AC38" s="2">
        <v>2.1</v>
      </c>
      <c r="AD38" s="2">
        <f t="shared" si="0"/>
        <v>0</v>
      </c>
      <c r="AH38" s="4"/>
      <c r="AI38" s="2"/>
      <c r="AJ38" s="1" t="str">
        <f>UPPER(VLOOKUP($AH$6,Itens!$A$7:$J$537,4,0))</f>
        <v>UN</v>
      </c>
    </row>
    <row r="39" spans="1:36" hidden="1" x14ac:dyDescent="0.3">
      <c r="A39" s="4"/>
      <c r="B39" s="2"/>
      <c r="C39" s="2"/>
      <c r="D39" s="2"/>
      <c r="E39" s="2">
        <f t="shared" si="1"/>
        <v>0</v>
      </c>
      <c r="F39" s="2">
        <f t="shared" si="2"/>
        <v>0</v>
      </c>
      <c r="K39" s="4"/>
      <c r="L39" s="2"/>
      <c r="M39" s="2"/>
      <c r="N39" s="2">
        <f t="shared" si="3"/>
        <v>0</v>
      </c>
      <c r="S39" s="4"/>
      <c r="T39" s="2"/>
      <c r="U39" s="2"/>
      <c r="V39" s="2">
        <f t="shared" si="4"/>
        <v>0</v>
      </c>
      <c r="AA39" s="4"/>
      <c r="AB39" s="2"/>
      <c r="AC39" s="2">
        <v>2.1</v>
      </c>
      <c r="AD39" s="2">
        <f t="shared" si="0"/>
        <v>0</v>
      </c>
      <c r="AH39" s="4"/>
      <c r="AI39" s="2"/>
      <c r="AJ39" s="1" t="str">
        <f>UPPER(VLOOKUP($AH$6,Itens!$A$7:$J$537,4,0))</f>
        <v>UN</v>
      </c>
    </row>
    <row r="40" spans="1:36" x14ac:dyDescent="0.3">
      <c r="A40" s="107" t="s">
        <v>2</v>
      </c>
      <c r="B40" s="108"/>
      <c r="C40" s="108"/>
      <c r="D40" s="108"/>
      <c r="E40" s="109"/>
      <c r="F40" s="3">
        <f>SUM(F8:F39)</f>
        <v>22.409999999999997</v>
      </c>
      <c r="K40" s="107" t="s">
        <v>2</v>
      </c>
      <c r="L40" s="108"/>
      <c r="M40" s="109"/>
      <c r="N40" s="3">
        <f>SUM(N8:N39)</f>
        <v>0</v>
      </c>
      <c r="S40" s="107" t="s">
        <v>1069</v>
      </c>
      <c r="T40" s="108"/>
      <c r="U40" s="109"/>
      <c r="V40" s="3">
        <f>SUM(V8:V39)/10</f>
        <v>0.39400000000000002</v>
      </c>
      <c r="AA40" s="107" t="s">
        <v>1059</v>
      </c>
      <c r="AB40" s="110"/>
      <c r="AC40" s="110"/>
      <c r="AD40" s="3">
        <f>SUM(AD8:AD39)*3</f>
        <v>0</v>
      </c>
      <c r="AH40" s="98" t="s">
        <v>1066</v>
      </c>
      <c r="AI40" s="99">
        <f>SUM(AI8:AI39)</f>
        <v>2</v>
      </c>
      <c r="AJ40" s="99" t="str">
        <f>UPPER(AJ8)</f>
        <v>UN</v>
      </c>
    </row>
    <row r="52" spans="27:36" ht="23.4" customHeight="1" x14ac:dyDescent="0.3"/>
    <row r="53" spans="27:36" ht="67.8" customHeight="1" x14ac:dyDescent="0.3"/>
    <row r="54" spans="27:36" ht="48.6" customHeight="1" x14ac:dyDescent="0.3"/>
    <row r="55" spans="27:36" ht="15" customHeight="1" x14ac:dyDescent="0.3"/>
    <row r="56" spans="27:36" ht="15" customHeight="1" x14ac:dyDescent="0.3"/>
    <row r="57" spans="27:36" ht="15" customHeight="1" x14ac:dyDescent="0.3"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27:36" s="11" customFormat="1" ht="15" customHeight="1" x14ac:dyDescent="0.3">
      <c r="AA58"/>
      <c r="AB58"/>
      <c r="AC58"/>
      <c r="AD58"/>
      <c r="AE58"/>
      <c r="AF58"/>
      <c r="AG58"/>
      <c r="AH58"/>
      <c r="AI58"/>
      <c r="AJ58"/>
    </row>
    <row r="59" spans="27:36" ht="15" customHeight="1" x14ac:dyDescent="0.3"/>
    <row r="60" spans="27:36" ht="15" customHeight="1" x14ac:dyDescent="0.3"/>
    <row r="61" spans="27:36" ht="15" customHeight="1" x14ac:dyDescent="0.3"/>
    <row r="62" spans="27:36" ht="15" customHeight="1" x14ac:dyDescent="0.3"/>
    <row r="63" spans="27:36" ht="15" customHeight="1" x14ac:dyDescent="0.3"/>
    <row r="64" spans="27:3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</sheetData>
  <mergeCells count="19">
    <mergeCell ref="S40:U40"/>
    <mergeCell ref="AA40:AC40"/>
    <mergeCell ref="AB6:AD6"/>
    <mergeCell ref="B6:F6"/>
    <mergeCell ref="A5:F5"/>
    <mergeCell ref="K5:N5"/>
    <mergeCell ref="L6:N6"/>
    <mergeCell ref="A40:E40"/>
    <mergeCell ref="K40:M40"/>
    <mergeCell ref="AA5:AD5"/>
    <mergeCell ref="A1:F1"/>
    <mergeCell ref="K1:N1"/>
    <mergeCell ref="S1:V1"/>
    <mergeCell ref="AA1:AD1"/>
    <mergeCell ref="AI6:AJ6"/>
    <mergeCell ref="AH5:AJ5"/>
    <mergeCell ref="AH1:AJ1"/>
    <mergeCell ref="S5:V5"/>
    <mergeCell ref="T6:V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3296-D0C5-49F0-9078-A577372EC6AD}">
  <dimension ref="A1:AM550"/>
  <sheetViews>
    <sheetView topLeftCell="A483" zoomScale="85" zoomScaleNormal="85" workbookViewId="0">
      <selection activeCell="A495" sqref="A495"/>
    </sheetView>
  </sheetViews>
  <sheetFormatPr defaultColWidth="9.33203125" defaultRowHeight="14.4" x14ac:dyDescent="0.3"/>
  <cols>
    <col min="1" max="1" width="8.33203125" customWidth="1"/>
    <col min="2" max="2" width="90.5546875" customWidth="1"/>
    <col min="3" max="3" width="9.6640625" customWidth="1"/>
    <col min="4" max="4" width="9.6640625" bestFit="1" customWidth="1"/>
    <col min="5" max="5" width="14.5546875" bestFit="1" customWidth="1"/>
    <col min="6" max="6" width="13.33203125" bestFit="1" customWidth="1"/>
    <col min="7" max="7" width="16.5546875" customWidth="1"/>
    <col min="8" max="8" width="20.33203125" customWidth="1"/>
    <col min="9" max="9" width="19.44140625" customWidth="1"/>
    <col min="10" max="10" width="21.44140625" customWidth="1"/>
    <col min="11" max="12" width="5.33203125" customWidth="1"/>
    <col min="13" max="13" width="53" customWidth="1"/>
    <col min="14" max="14" width="48.6640625" customWidth="1"/>
    <col min="15" max="20" width="9.6640625" customWidth="1"/>
    <col min="21" max="21" width="9.6640625" hidden="1" customWidth="1"/>
    <col min="22" max="22" width="12.44140625" hidden="1" customWidth="1"/>
    <col min="23" max="23" width="8.33203125" hidden="1" customWidth="1"/>
    <col min="24" max="24" width="18.6640625" hidden="1" customWidth="1"/>
    <col min="25" max="26" width="15.6640625" hidden="1" customWidth="1"/>
    <col min="27" max="29" width="9.3320312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33203125" hidden="1" customWidth="1"/>
    <col min="34" max="34" width="15.33203125" hidden="1" customWidth="1"/>
    <col min="35" max="35" width="18.6640625" hidden="1" customWidth="1"/>
    <col min="36" max="36" width="16.33203125" hidden="1" customWidth="1"/>
    <col min="37" max="37" width="9.33203125" hidden="1" customWidth="1"/>
    <col min="38" max="38" width="12.33203125" hidden="1" customWidth="1"/>
  </cols>
  <sheetData>
    <row r="1" spans="1:39" ht="27" customHeight="1" x14ac:dyDescent="0.3">
      <c r="B1" s="12" t="s">
        <v>8</v>
      </c>
    </row>
    <row r="2" spans="1:39" ht="15" thickBot="1" x14ac:dyDescent="0.35"/>
    <row r="3" spans="1:39" ht="107.25" customHeight="1" x14ac:dyDescent="0.3">
      <c r="A3" s="13"/>
      <c r="B3" s="13"/>
      <c r="C3" s="120" t="s">
        <v>9</v>
      </c>
      <c r="D3" s="120"/>
      <c r="E3" s="120"/>
      <c r="F3" s="120"/>
      <c r="G3" s="120"/>
      <c r="H3" s="120"/>
      <c r="I3" s="120"/>
      <c r="J3" s="121"/>
      <c r="M3" s="122" t="s">
        <v>10</v>
      </c>
      <c r="N3" s="123"/>
      <c r="O3" s="14"/>
      <c r="P3" s="14"/>
      <c r="Q3" s="14"/>
      <c r="R3" s="14"/>
      <c r="S3" s="14"/>
      <c r="T3" s="14"/>
      <c r="U3" s="14"/>
      <c r="V3" s="14"/>
      <c r="W3" s="14"/>
    </row>
    <row r="4" spans="1:39" ht="24" customHeight="1" x14ac:dyDescent="0.3">
      <c r="A4" s="15"/>
      <c r="B4" s="15" t="s">
        <v>11</v>
      </c>
      <c r="C4" s="16"/>
      <c r="D4" s="16"/>
      <c r="E4" s="16"/>
      <c r="F4" s="16"/>
      <c r="G4" s="17" t="s">
        <v>12</v>
      </c>
      <c r="H4" s="18" t="s">
        <v>13</v>
      </c>
      <c r="I4" s="16"/>
      <c r="J4" s="19"/>
      <c r="M4" s="20" t="s">
        <v>14</v>
      </c>
      <c r="N4" s="20" t="s">
        <v>15</v>
      </c>
      <c r="O4" s="21"/>
      <c r="P4" s="21"/>
      <c r="Q4" s="21"/>
      <c r="R4" s="21"/>
      <c r="S4" s="21"/>
      <c r="T4" s="21"/>
      <c r="U4" s="21"/>
      <c r="V4" s="21"/>
      <c r="W4" s="21"/>
    </row>
    <row r="5" spans="1:39" ht="38.25" customHeight="1" thickBot="1" x14ac:dyDescent="0.35">
      <c r="A5" s="22"/>
      <c r="B5" s="23" t="s">
        <v>16</v>
      </c>
      <c r="C5" s="24" t="s">
        <v>17</v>
      </c>
      <c r="D5" s="124" t="s">
        <v>18</v>
      </c>
      <c r="E5" s="124"/>
      <c r="F5" s="124"/>
      <c r="G5" s="124"/>
      <c r="H5" s="25"/>
      <c r="I5" s="26" t="s">
        <v>19</v>
      </c>
      <c r="J5" s="27">
        <v>0.31140000000000001</v>
      </c>
      <c r="M5" s="28">
        <v>0.2001</v>
      </c>
      <c r="N5" s="28">
        <v>0.2001</v>
      </c>
      <c r="V5" s="29" t="s">
        <v>20</v>
      </c>
      <c r="X5" s="29"/>
      <c r="AB5" s="29" t="s">
        <v>21</v>
      </c>
      <c r="AH5" s="30" t="s">
        <v>22</v>
      </c>
    </row>
    <row r="6" spans="1:39" ht="18.600000000000001" thickBot="1" x14ac:dyDescent="0.35">
      <c r="A6" s="31"/>
      <c r="B6" s="32"/>
      <c r="C6" s="33"/>
      <c r="D6" s="34"/>
      <c r="E6" s="34"/>
      <c r="F6" s="34"/>
      <c r="G6" s="34"/>
      <c r="H6" s="35"/>
      <c r="I6" s="35"/>
      <c r="J6" s="35"/>
      <c r="Y6" s="36"/>
      <c r="Z6" s="36"/>
    </row>
    <row r="7" spans="1:39" ht="58.2" thickBot="1" x14ac:dyDescent="0.35">
      <c r="A7" s="37" t="s">
        <v>23</v>
      </c>
      <c r="B7" s="38" t="s">
        <v>24</v>
      </c>
      <c r="C7" s="39" t="s">
        <v>25</v>
      </c>
      <c r="D7" s="40" t="s">
        <v>26</v>
      </c>
      <c r="E7" s="41" t="s">
        <v>27</v>
      </c>
      <c r="F7" s="41" t="s">
        <v>28</v>
      </c>
      <c r="G7" s="42" t="s">
        <v>29</v>
      </c>
      <c r="H7" s="42" t="s">
        <v>30</v>
      </c>
      <c r="I7" s="42" t="s">
        <v>31</v>
      </c>
      <c r="J7" s="43" t="s">
        <v>32</v>
      </c>
      <c r="M7" s="44" t="s">
        <v>33</v>
      </c>
      <c r="N7" s="45">
        <f>1-(J537/AF537)</f>
        <v>-0.14969529090778955</v>
      </c>
      <c r="V7" s="40" t="s">
        <v>25</v>
      </c>
      <c r="W7" s="40" t="s">
        <v>26</v>
      </c>
      <c r="X7" s="46" t="s">
        <v>34</v>
      </c>
      <c r="Y7" s="46" t="s">
        <v>35</v>
      </c>
      <c r="Z7" s="46" t="s">
        <v>36</v>
      </c>
      <c r="AB7" s="40" t="s">
        <v>25</v>
      </c>
      <c r="AC7" s="40" t="s">
        <v>26</v>
      </c>
      <c r="AD7" s="46" t="s">
        <v>34</v>
      </c>
      <c r="AE7" s="46" t="s">
        <v>35</v>
      </c>
      <c r="AF7" s="46" t="s">
        <v>36</v>
      </c>
      <c r="AH7" s="47" t="s">
        <v>34</v>
      </c>
      <c r="AI7" s="47" t="s">
        <v>35</v>
      </c>
      <c r="AJ7" s="47" t="s">
        <v>36</v>
      </c>
    </row>
    <row r="8" spans="1:39" ht="23.25" customHeight="1" x14ac:dyDescent="0.3">
      <c r="A8" s="48">
        <v>1</v>
      </c>
      <c r="B8" s="49" t="s">
        <v>37</v>
      </c>
      <c r="C8" s="50"/>
      <c r="D8" s="51"/>
      <c r="E8" s="51"/>
      <c r="F8" s="51"/>
      <c r="G8" s="51"/>
      <c r="H8" s="52">
        <v>805267.07</v>
      </c>
      <c r="I8" s="52">
        <v>312423.90000000002</v>
      </c>
      <c r="J8" s="52">
        <v>1117690.9699999997</v>
      </c>
      <c r="M8" s="125" t="s">
        <v>38</v>
      </c>
      <c r="N8" s="126"/>
      <c r="V8" s="53"/>
      <c r="W8" s="54"/>
      <c r="X8" s="55"/>
      <c r="Y8" s="55"/>
      <c r="Z8" s="55"/>
      <c r="AB8" s="53"/>
      <c r="AC8" s="54"/>
      <c r="AD8" s="55"/>
      <c r="AE8" s="55"/>
      <c r="AF8" s="55"/>
      <c r="AH8" s="56"/>
      <c r="AI8" s="56"/>
      <c r="AJ8" s="56"/>
    </row>
    <row r="9" spans="1:39" ht="26.25" customHeight="1" x14ac:dyDescent="0.3">
      <c r="A9" s="57" t="s">
        <v>39</v>
      </c>
      <c r="B9" s="58" t="s">
        <v>40</v>
      </c>
      <c r="C9" s="59">
        <v>249</v>
      </c>
      <c r="D9" s="60" t="s">
        <v>41</v>
      </c>
      <c r="E9" s="60">
        <v>0</v>
      </c>
      <c r="F9" s="60">
        <v>86.69</v>
      </c>
      <c r="G9" s="60">
        <v>86.69</v>
      </c>
      <c r="H9" s="61">
        <v>0</v>
      </c>
      <c r="I9" s="61">
        <v>21585.809999999998</v>
      </c>
      <c r="J9" s="62">
        <v>21585.809999999998</v>
      </c>
      <c r="M9" s="127"/>
      <c r="N9" s="128"/>
      <c r="V9" s="56">
        <v>392</v>
      </c>
      <c r="W9" s="56" t="s">
        <v>41</v>
      </c>
      <c r="X9" s="63">
        <v>0</v>
      </c>
      <c r="Y9" s="63">
        <v>106.2</v>
      </c>
      <c r="Z9" s="64">
        <f t="shared" ref="Z9:Z15" si="0">SUM(X9:Y9)</f>
        <v>106.2</v>
      </c>
      <c r="AB9" s="56">
        <v>392</v>
      </c>
      <c r="AC9" s="56" t="s">
        <v>41</v>
      </c>
      <c r="AD9" s="63">
        <v>0</v>
      </c>
      <c r="AE9" s="63">
        <v>135.41</v>
      </c>
      <c r="AF9" s="64">
        <f t="shared" ref="AF9:AF15" si="1">SUM(AD9:AE9)</f>
        <v>135.41</v>
      </c>
      <c r="AH9" s="65">
        <f t="shared" ref="AH9:AJ78" si="2">IF(E9=0,0,(E9/AD9)-1)</f>
        <v>0</v>
      </c>
      <c r="AI9" s="65">
        <f>IF(F9=0,0,(F9/AE9)-1)</f>
        <v>-0.35979617458090241</v>
      </c>
      <c r="AJ9" s="65">
        <f>IF(G9=0,0,(G9/AF9)-1)</f>
        <v>-0.35979617458090241</v>
      </c>
      <c r="AM9" s="66"/>
    </row>
    <row r="10" spans="1:39" ht="21.75" customHeight="1" x14ac:dyDescent="0.3">
      <c r="A10" s="57" t="s">
        <v>42</v>
      </c>
      <c r="B10" s="58" t="s">
        <v>43</v>
      </c>
      <c r="C10" s="59">
        <v>299981</v>
      </c>
      <c r="D10" s="60" t="s">
        <v>44</v>
      </c>
      <c r="E10" s="60">
        <v>1.66</v>
      </c>
      <c r="F10" s="60">
        <v>0.73</v>
      </c>
      <c r="G10" s="60">
        <v>2.3899999999999997</v>
      </c>
      <c r="H10" s="61">
        <v>497968.45999999996</v>
      </c>
      <c r="I10" s="61">
        <v>218986.13</v>
      </c>
      <c r="J10" s="62">
        <v>716954.58999999985</v>
      </c>
      <c r="M10" s="67"/>
      <c r="N10" s="67"/>
      <c r="V10" s="56">
        <v>200480</v>
      </c>
      <c r="W10" s="56" t="s">
        <v>44</v>
      </c>
      <c r="X10" s="63">
        <v>1.89</v>
      </c>
      <c r="Y10" s="63">
        <v>0.97</v>
      </c>
      <c r="Z10" s="64">
        <f t="shared" si="0"/>
        <v>2.86</v>
      </c>
      <c r="AB10" s="56">
        <v>200480</v>
      </c>
      <c r="AC10" s="56" t="s">
        <v>44</v>
      </c>
      <c r="AD10" s="63">
        <v>2.41</v>
      </c>
      <c r="AE10" s="63">
        <v>1.24</v>
      </c>
      <c r="AF10" s="64">
        <f t="shared" si="1"/>
        <v>3.6500000000000004</v>
      </c>
      <c r="AH10" s="65">
        <f t="shared" si="2"/>
        <v>-0.3112033195020748</v>
      </c>
      <c r="AI10" s="65">
        <f t="shared" si="2"/>
        <v>-0.41129032258064513</v>
      </c>
      <c r="AJ10" s="65">
        <f t="shared" si="2"/>
        <v>-0.34520547945205493</v>
      </c>
    </row>
    <row r="11" spans="1:39" ht="21.75" customHeight="1" x14ac:dyDescent="0.3">
      <c r="A11" s="57" t="s">
        <v>45</v>
      </c>
      <c r="B11" s="58" t="s">
        <v>46</v>
      </c>
      <c r="C11" s="59">
        <v>151</v>
      </c>
      <c r="D11" s="60" t="s">
        <v>41</v>
      </c>
      <c r="E11" s="60">
        <v>87.3</v>
      </c>
      <c r="F11" s="60">
        <v>468.71</v>
      </c>
      <c r="G11" s="60">
        <v>556.01</v>
      </c>
      <c r="H11" s="61">
        <v>13182.3</v>
      </c>
      <c r="I11" s="61">
        <v>70775.209999999992</v>
      </c>
      <c r="J11" s="62">
        <v>83957.51</v>
      </c>
      <c r="M11" s="67"/>
      <c r="N11" s="67"/>
      <c r="V11" s="56">
        <v>168</v>
      </c>
      <c r="W11" s="56" t="s">
        <v>41</v>
      </c>
      <c r="X11" s="63">
        <v>99.64</v>
      </c>
      <c r="Y11" s="63">
        <v>430.84</v>
      </c>
      <c r="Z11" s="64">
        <f t="shared" si="0"/>
        <v>530.48</v>
      </c>
      <c r="AB11" s="56">
        <v>168</v>
      </c>
      <c r="AC11" s="56" t="s">
        <v>41</v>
      </c>
      <c r="AD11" s="63">
        <v>127.04</v>
      </c>
      <c r="AE11" s="63">
        <v>549.32000000000005</v>
      </c>
      <c r="AF11" s="64">
        <f t="shared" si="1"/>
        <v>676.36</v>
      </c>
      <c r="AH11" s="65">
        <f t="shared" si="2"/>
        <v>-0.31281486146095727</v>
      </c>
      <c r="AI11" s="65">
        <f t="shared" si="2"/>
        <v>-0.14674506662783093</v>
      </c>
      <c r="AJ11" s="65">
        <f t="shared" si="2"/>
        <v>-0.17793778461174525</v>
      </c>
    </row>
    <row r="12" spans="1:39" ht="21.75" customHeight="1" x14ac:dyDescent="0.3">
      <c r="A12" s="57" t="s">
        <v>47</v>
      </c>
      <c r="B12" s="58" t="s">
        <v>48</v>
      </c>
      <c r="C12" s="59">
        <v>1</v>
      </c>
      <c r="D12" s="60" t="s">
        <v>41</v>
      </c>
      <c r="E12" s="60">
        <v>0</v>
      </c>
      <c r="F12" s="60">
        <v>442.2</v>
      </c>
      <c r="G12" s="60">
        <v>442.2</v>
      </c>
      <c r="H12" s="61">
        <v>0</v>
      </c>
      <c r="I12" s="61">
        <v>442.2</v>
      </c>
      <c r="J12" s="62">
        <v>442.2</v>
      </c>
      <c r="M12" s="67"/>
      <c r="N12" s="67"/>
      <c r="V12" s="56">
        <v>40</v>
      </c>
      <c r="W12" s="56" t="s">
        <v>41</v>
      </c>
      <c r="X12" s="63">
        <v>0</v>
      </c>
      <c r="Y12" s="63">
        <v>285.92</v>
      </c>
      <c r="Z12" s="64">
        <f t="shared" si="0"/>
        <v>285.92</v>
      </c>
      <c r="AB12" s="56">
        <v>40</v>
      </c>
      <c r="AC12" s="56" t="s">
        <v>41</v>
      </c>
      <c r="AD12" s="63">
        <v>0</v>
      </c>
      <c r="AE12" s="63">
        <v>364.55</v>
      </c>
      <c r="AF12" s="64">
        <f t="shared" si="1"/>
        <v>364.55</v>
      </c>
      <c r="AH12" s="65">
        <f t="shared" si="2"/>
        <v>0</v>
      </c>
      <c r="AI12" s="65">
        <f t="shared" si="2"/>
        <v>0.21300233164174998</v>
      </c>
      <c r="AJ12" s="65">
        <f t="shared" si="2"/>
        <v>0.21300233164174998</v>
      </c>
    </row>
    <row r="13" spans="1:39" ht="21.75" customHeight="1" x14ac:dyDescent="0.3">
      <c r="A13" s="57" t="s">
        <v>49</v>
      </c>
      <c r="B13" s="58" t="s">
        <v>50</v>
      </c>
      <c r="C13" s="59">
        <v>151</v>
      </c>
      <c r="D13" s="60" t="s">
        <v>41</v>
      </c>
      <c r="E13" s="60">
        <v>1947.18</v>
      </c>
      <c r="F13" s="60">
        <v>0</v>
      </c>
      <c r="G13" s="60">
        <v>1947.18</v>
      </c>
      <c r="H13" s="61">
        <v>294024.18</v>
      </c>
      <c r="I13" s="61">
        <v>0</v>
      </c>
      <c r="J13" s="62">
        <v>294024.18</v>
      </c>
      <c r="M13" s="67"/>
      <c r="N13" s="67"/>
      <c r="V13" s="56">
        <v>56</v>
      </c>
      <c r="W13" s="56" t="s">
        <v>41</v>
      </c>
      <c r="X13" s="63">
        <v>2222.54</v>
      </c>
      <c r="Y13" s="63">
        <v>0</v>
      </c>
      <c r="Z13" s="64">
        <f t="shared" si="0"/>
        <v>2222.54</v>
      </c>
      <c r="AB13" s="56">
        <v>56</v>
      </c>
      <c r="AC13" s="56" t="s">
        <v>41</v>
      </c>
      <c r="AD13" s="63">
        <v>2833.74</v>
      </c>
      <c r="AE13" s="63">
        <v>0</v>
      </c>
      <c r="AF13" s="64">
        <f t="shared" si="1"/>
        <v>2833.74</v>
      </c>
      <c r="AH13" s="65">
        <f t="shared" si="2"/>
        <v>-0.31285862499735329</v>
      </c>
      <c r="AI13" s="65">
        <f t="shared" si="2"/>
        <v>0</v>
      </c>
      <c r="AJ13" s="65">
        <f t="shared" si="2"/>
        <v>-0.31285862499735329</v>
      </c>
    </row>
    <row r="14" spans="1:39" ht="51.6" x14ac:dyDescent="0.3">
      <c r="A14" s="57" t="s">
        <v>51</v>
      </c>
      <c r="B14" s="58" t="s">
        <v>52</v>
      </c>
      <c r="C14" s="59">
        <v>2</v>
      </c>
      <c r="D14" s="60" t="s">
        <v>53</v>
      </c>
      <c r="E14" s="60">
        <v>0.82</v>
      </c>
      <c r="F14" s="60">
        <v>1.79</v>
      </c>
      <c r="G14" s="60">
        <v>2.61</v>
      </c>
      <c r="H14" s="61">
        <v>1.64</v>
      </c>
      <c r="I14" s="61">
        <v>3.58</v>
      </c>
      <c r="J14" s="62">
        <v>5.22</v>
      </c>
      <c r="M14" s="44" t="s">
        <v>54</v>
      </c>
      <c r="N14" s="68">
        <f>IF(M5=0,0,ROUND(AH540,4))</f>
        <v>-0.31409999999999999</v>
      </c>
      <c r="V14" s="56">
        <v>1</v>
      </c>
      <c r="W14" s="56" t="s">
        <v>53</v>
      </c>
      <c r="X14" s="63">
        <v>0.94</v>
      </c>
      <c r="Y14" s="63">
        <v>2.02</v>
      </c>
      <c r="Z14" s="64">
        <f t="shared" si="0"/>
        <v>2.96</v>
      </c>
      <c r="AB14" s="56">
        <v>1</v>
      </c>
      <c r="AC14" s="56" t="s">
        <v>53</v>
      </c>
      <c r="AD14" s="63">
        <v>1.2</v>
      </c>
      <c r="AE14" s="63">
        <v>2.58</v>
      </c>
      <c r="AF14" s="64">
        <f t="shared" si="1"/>
        <v>3.7800000000000002</v>
      </c>
      <c r="AH14" s="65">
        <f t="shared" si="2"/>
        <v>-0.31666666666666665</v>
      </c>
      <c r="AI14" s="65">
        <f t="shared" si="2"/>
        <v>-0.30620155038759689</v>
      </c>
      <c r="AJ14" s="65">
        <f t="shared" si="2"/>
        <v>-0.30952380952380965</v>
      </c>
    </row>
    <row r="15" spans="1:39" ht="48.75" customHeight="1" x14ac:dyDescent="0.3">
      <c r="A15" s="57" t="s">
        <v>55</v>
      </c>
      <c r="B15" s="58" t="s">
        <v>56</v>
      </c>
      <c r="C15" s="59">
        <v>1</v>
      </c>
      <c r="D15" s="60" t="s">
        <v>57</v>
      </c>
      <c r="E15" s="60">
        <v>90.49</v>
      </c>
      <c r="F15" s="60">
        <v>630.97</v>
      </c>
      <c r="G15" s="60">
        <v>721.46</v>
      </c>
      <c r="H15" s="61">
        <v>90.49</v>
      </c>
      <c r="I15" s="61">
        <v>630.97</v>
      </c>
      <c r="J15" s="62">
        <v>721.46</v>
      </c>
      <c r="M15" s="44" t="s">
        <v>58</v>
      </c>
      <c r="N15" s="68">
        <f>IF(N5=0,0,ROUND(AI540,4))</f>
        <v>-9.01E-2</v>
      </c>
      <c r="V15" s="56">
        <v>1</v>
      </c>
      <c r="W15" s="56" t="s">
        <v>57</v>
      </c>
      <c r="X15" s="63">
        <v>103.29</v>
      </c>
      <c r="Y15" s="63">
        <v>734.85</v>
      </c>
      <c r="Z15" s="64">
        <f t="shared" si="0"/>
        <v>838.14</v>
      </c>
      <c r="AB15" s="56">
        <v>1</v>
      </c>
      <c r="AC15" s="56" t="s">
        <v>57</v>
      </c>
      <c r="AD15" s="63">
        <v>131.69</v>
      </c>
      <c r="AE15" s="63">
        <v>936.93</v>
      </c>
      <c r="AF15" s="64">
        <f t="shared" si="1"/>
        <v>1068.6199999999999</v>
      </c>
      <c r="AH15" s="65">
        <f t="shared" si="2"/>
        <v>-0.31285594957855578</v>
      </c>
      <c r="AI15" s="65">
        <f t="shared" si="2"/>
        <v>-0.32655587930795249</v>
      </c>
      <c r="AJ15" s="65">
        <f t="shared" si="2"/>
        <v>-0.32486758623271128</v>
      </c>
    </row>
    <row r="16" spans="1:39" ht="20.25" customHeight="1" x14ac:dyDescent="0.3">
      <c r="A16" s="69">
        <v>2</v>
      </c>
      <c r="B16" s="70" t="s">
        <v>59</v>
      </c>
      <c r="C16" s="71"/>
      <c r="D16" s="72"/>
      <c r="E16" s="72"/>
      <c r="F16" s="72"/>
      <c r="G16" s="72"/>
      <c r="H16" s="73">
        <v>158849.07999999999</v>
      </c>
      <c r="I16" s="73">
        <v>206579.93</v>
      </c>
      <c r="J16" s="73">
        <v>365429.00999999995</v>
      </c>
      <c r="M16" s="129" t="s">
        <v>60</v>
      </c>
      <c r="N16" s="130"/>
      <c r="V16" s="74"/>
      <c r="W16" s="74"/>
      <c r="X16" s="74"/>
      <c r="Y16" s="74"/>
      <c r="Z16" s="74"/>
      <c r="AB16" s="74"/>
      <c r="AC16" s="74"/>
      <c r="AD16" s="74"/>
      <c r="AE16" s="74"/>
      <c r="AF16" s="74"/>
      <c r="AH16" s="65">
        <f t="shared" si="2"/>
        <v>0</v>
      </c>
      <c r="AI16" s="65">
        <f t="shared" si="2"/>
        <v>0</v>
      </c>
      <c r="AJ16" s="65">
        <f t="shared" si="2"/>
        <v>0</v>
      </c>
    </row>
    <row r="17" spans="1:36" ht="15" customHeight="1" x14ac:dyDescent="0.3">
      <c r="A17" s="57" t="s">
        <v>61</v>
      </c>
      <c r="B17" s="58" t="s">
        <v>62</v>
      </c>
      <c r="C17" s="59">
        <v>27</v>
      </c>
      <c r="D17" s="60" t="s">
        <v>63</v>
      </c>
      <c r="E17" s="60">
        <v>0</v>
      </c>
      <c r="F17" s="60">
        <v>347.88</v>
      </c>
      <c r="G17" s="60">
        <v>347.88</v>
      </c>
      <c r="H17" s="61">
        <v>0</v>
      </c>
      <c r="I17" s="61">
        <v>9392.76</v>
      </c>
      <c r="J17" s="62">
        <v>9392.76</v>
      </c>
      <c r="V17" s="56">
        <v>7</v>
      </c>
      <c r="W17" s="56" t="s">
        <v>63</v>
      </c>
      <c r="X17" s="64">
        <v>0</v>
      </c>
      <c r="Y17" s="64">
        <v>288.91000000000003</v>
      </c>
      <c r="Z17" s="64">
        <f t="shared" ref="Z17:Z52" si="3">SUM(X17:Y17)</f>
        <v>288.91000000000003</v>
      </c>
      <c r="AB17" s="56">
        <v>7</v>
      </c>
      <c r="AC17" s="56" t="s">
        <v>63</v>
      </c>
      <c r="AD17" s="64">
        <v>0</v>
      </c>
      <c r="AE17" s="64">
        <v>368.36</v>
      </c>
      <c r="AF17" s="64">
        <f t="shared" ref="AF17:AF52" si="4">SUM(AD17:AE17)</f>
        <v>368.36</v>
      </c>
      <c r="AH17" s="65">
        <f t="shared" si="2"/>
        <v>0</v>
      </c>
      <c r="AI17" s="65">
        <f t="shared" si="2"/>
        <v>-5.5597784775762937E-2</v>
      </c>
      <c r="AJ17" s="65">
        <f t="shared" si="2"/>
        <v>-5.5597784775762937E-2</v>
      </c>
    </row>
    <row r="18" spans="1:36" ht="15" customHeight="1" x14ac:dyDescent="0.3">
      <c r="A18" s="57" t="s">
        <v>64</v>
      </c>
      <c r="B18" s="58" t="s">
        <v>65</v>
      </c>
      <c r="C18" s="59">
        <v>51</v>
      </c>
      <c r="D18" s="60" t="s">
        <v>63</v>
      </c>
      <c r="E18" s="60">
        <v>0</v>
      </c>
      <c r="F18" s="60">
        <v>80.28</v>
      </c>
      <c r="G18" s="60">
        <v>80.28</v>
      </c>
      <c r="H18" s="61">
        <v>0</v>
      </c>
      <c r="I18" s="61">
        <v>4094.28</v>
      </c>
      <c r="J18" s="62">
        <v>4094.28</v>
      </c>
      <c r="M18" s="131" t="s">
        <v>66</v>
      </c>
      <c r="N18" s="132"/>
      <c r="V18" s="56">
        <v>23</v>
      </c>
      <c r="W18" s="56" t="s">
        <v>63</v>
      </c>
      <c r="X18" s="64">
        <v>0</v>
      </c>
      <c r="Y18" s="64">
        <v>66.67</v>
      </c>
      <c r="Z18" s="64">
        <f t="shared" si="3"/>
        <v>66.67</v>
      </c>
      <c r="AB18" s="56">
        <v>23</v>
      </c>
      <c r="AC18" s="56" t="s">
        <v>63</v>
      </c>
      <c r="AD18" s="64">
        <v>0</v>
      </c>
      <c r="AE18" s="64">
        <v>85</v>
      </c>
      <c r="AF18" s="64">
        <f t="shared" si="4"/>
        <v>85</v>
      </c>
      <c r="AH18" s="65">
        <f t="shared" si="2"/>
        <v>0</v>
      </c>
      <c r="AI18" s="65">
        <f t="shared" si="2"/>
        <v>-5.5529411764705827E-2</v>
      </c>
      <c r="AJ18" s="65">
        <f t="shared" si="2"/>
        <v>-5.5529411764705827E-2</v>
      </c>
    </row>
    <row r="19" spans="1:36" ht="15" customHeight="1" x14ac:dyDescent="0.3">
      <c r="A19" s="57" t="s">
        <v>67</v>
      </c>
      <c r="B19" s="58" t="s">
        <v>68</v>
      </c>
      <c r="C19" s="59">
        <v>362</v>
      </c>
      <c r="D19" s="60" t="s">
        <v>63</v>
      </c>
      <c r="E19" s="60">
        <v>0</v>
      </c>
      <c r="F19" s="60">
        <v>8.52</v>
      </c>
      <c r="G19" s="60">
        <v>8.52</v>
      </c>
      <c r="H19" s="61">
        <v>0</v>
      </c>
      <c r="I19" s="61">
        <v>3084.24</v>
      </c>
      <c r="J19" s="62">
        <v>3084.24</v>
      </c>
      <c r="M19" s="133"/>
      <c r="N19" s="134"/>
      <c r="V19" s="56">
        <v>116</v>
      </c>
      <c r="W19" s="56" t="s">
        <v>63</v>
      </c>
      <c r="X19" s="64">
        <v>0</v>
      </c>
      <c r="Y19" s="64">
        <v>7.43</v>
      </c>
      <c r="Z19" s="64">
        <f t="shared" si="3"/>
        <v>7.43</v>
      </c>
      <c r="AB19" s="56">
        <v>116</v>
      </c>
      <c r="AC19" s="56" t="s">
        <v>63</v>
      </c>
      <c r="AD19" s="64">
        <v>0</v>
      </c>
      <c r="AE19" s="64">
        <v>9.4700000000000006</v>
      </c>
      <c r="AF19" s="64">
        <f t="shared" si="4"/>
        <v>9.4700000000000006</v>
      </c>
      <c r="AH19" s="65">
        <f t="shared" si="2"/>
        <v>0</v>
      </c>
      <c r="AI19" s="65">
        <f t="shared" si="2"/>
        <v>-0.10031678986272452</v>
      </c>
      <c r="AJ19" s="65">
        <f t="shared" si="2"/>
        <v>-0.10031678986272452</v>
      </c>
    </row>
    <row r="20" spans="1:36" ht="30" customHeight="1" x14ac:dyDescent="0.3">
      <c r="A20" s="57" t="s">
        <v>69</v>
      </c>
      <c r="B20" s="58" t="s">
        <v>70</v>
      </c>
      <c r="C20" s="59">
        <v>293</v>
      </c>
      <c r="D20" s="60" t="s">
        <v>71</v>
      </c>
      <c r="E20" s="60">
        <v>0</v>
      </c>
      <c r="F20" s="60">
        <v>37.46</v>
      </c>
      <c r="G20" s="60">
        <v>37.46</v>
      </c>
      <c r="H20" s="61">
        <v>0</v>
      </c>
      <c r="I20" s="61">
        <v>10975.78</v>
      </c>
      <c r="J20" s="62">
        <v>10975.78</v>
      </c>
      <c r="M20" s="135"/>
      <c r="N20" s="136"/>
      <c r="V20" s="56">
        <v>35</v>
      </c>
      <c r="W20" s="56" t="s">
        <v>71</v>
      </c>
      <c r="X20" s="64">
        <v>0</v>
      </c>
      <c r="Y20" s="64">
        <v>31.11</v>
      </c>
      <c r="Z20" s="64">
        <f t="shared" si="3"/>
        <v>31.11</v>
      </c>
      <c r="AB20" s="56">
        <v>35</v>
      </c>
      <c r="AC20" s="56" t="s">
        <v>71</v>
      </c>
      <c r="AD20" s="64">
        <v>0</v>
      </c>
      <c r="AE20" s="64">
        <v>39.67</v>
      </c>
      <c r="AF20" s="64">
        <f t="shared" si="4"/>
        <v>39.67</v>
      </c>
      <c r="AH20" s="65">
        <f t="shared" si="2"/>
        <v>0</v>
      </c>
      <c r="AI20" s="65">
        <f t="shared" si="2"/>
        <v>-5.5709604234938315E-2</v>
      </c>
      <c r="AJ20" s="65">
        <f t="shared" si="2"/>
        <v>-5.5709604234938315E-2</v>
      </c>
    </row>
    <row r="21" spans="1:36" ht="28.8" x14ac:dyDescent="0.3">
      <c r="A21" s="57" t="s">
        <v>72</v>
      </c>
      <c r="B21" s="58" t="s">
        <v>73</v>
      </c>
      <c r="C21" s="59">
        <v>139</v>
      </c>
      <c r="D21" s="60" t="s">
        <v>71</v>
      </c>
      <c r="E21" s="60">
        <v>26.28</v>
      </c>
      <c r="F21" s="60">
        <v>18.73</v>
      </c>
      <c r="G21" s="60">
        <v>45.010000000000005</v>
      </c>
      <c r="H21" s="61">
        <v>3652.92</v>
      </c>
      <c r="I21" s="61">
        <v>2603.4700000000003</v>
      </c>
      <c r="J21" s="62">
        <v>6256.39</v>
      </c>
      <c r="V21" s="56">
        <v>73</v>
      </c>
      <c r="W21" s="56" t="s">
        <v>71</v>
      </c>
      <c r="X21" s="64">
        <v>23.22</v>
      </c>
      <c r="Y21" s="64">
        <v>15.56</v>
      </c>
      <c r="Z21" s="64">
        <f t="shared" si="3"/>
        <v>38.78</v>
      </c>
      <c r="AB21" s="56">
        <v>73</v>
      </c>
      <c r="AC21" s="56" t="s">
        <v>71</v>
      </c>
      <c r="AD21" s="64">
        <v>29.61</v>
      </c>
      <c r="AE21" s="64">
        <v>19.84</v>
      </c>
      <c r="AF21" s="64">
        <f t="shared" si="4"/>
        <v>49.45</v>
      </c>
      <c r="AH21" s="65">
        <f t="shared" si="2"/>
        <v>-0.11246200607902734</v>
      </c>
      <c r="AI21" s="65">
        <f t="shared" si="2"/>
        <v>-5.5947580645161255E-2</v>
      </c>
      <c r="AJ21" s="65">
        <f t="shared" si="2"/>
        <v>-8.9787664307381165E-2</v>
      </c>
    </row>
    <row r="22" spans="1:36" ht="15" customHeight="1" x14ac:dyDescent="0.3">
      <c r="A22" s="57" t="s">
        <v>74</v>
      </c>
      <c r="B22" s="58" t="s">
        <v>75</v>
      </c>
      <c r="C22" s="59">
        <v>6</v>
      </c>
      <c r="D22" s="60" t="s">
        <v>71</v>
      </c>
      <c r="E22" s="60">
        <v>0</v>
      </c>
      <c r="F22" s="60">
        <v>18.73</v>
      </c>
      <c r="G22" s="60">
        <v>18.73</v>
      </c>
      <c r="H22" s="61">
        <v>0</v>
      </c>
      <c r="I22" s="61">
        <v>112.38</v>
      </c>
      <c r="J22" s="62">
        <v>112.38</v>
      </c>
      <c r="V22" s="56">
        <v>1</v>
      </c>
      <c r="W22" s="56" t="s">
        <v>71</v>
      </c>
      <c r="X22" s="64">
        <v>0</v>
      </c>
      <c r="Y22" s="64">
        <v>15.56</v>
      </c>
      <c r="Z22" s="64">
        <f t="shared" si="3"/>
        <v>15.56</v>
      </c>
      <c r="AB22" s="56">
        <v>1</v>
      </c>
      <c r="AC22" s="56" t="s">
        <v>71</v>
      </c>
      <c r="AD22" s="64">
        <v>0</v>
      </c>
      <c r="AE22" s="64">
        <v>19.84</v>
      </c>
      <c r="AF22" s="64">
        <f t="shared" si="4"/>
        <v>19.84</v>
      </c>
      <c r="AH22" s="65">
        <f t="shared" si="2"/>
        <v>0</v>
      </c>
      <c r="AI22" s="65">
        <f t="shared" si="2"/>
        <v>-5.5947580645161255E-2</v>
      </c>
      <c r="AJ22" s="65">
        <f t="shared" si="2"/>
        <v>-5.5947580645161255E-2</v>
      </c>
    </row>
    <row r="23" spans="1:36" ht="15" customHeight="1" x14ac:dyDescent="0.3">
      <c r="A23" s="57" t="s">
        <v>76</v>
      </c>
      <c r="B23" s="58" t="s">
        <v>77</v>
      </c>
      <c r="C23" s="59">
        <v>35</v>
      </c>
      <c r="D23" s="60" t="s">
        <v>71</v>
      </c>
      <c r="E23" s="60">
        <v>0</v>
      </c>
      <c r="F23" s="60">
        <v>34.79</v>
      </c>
      <c r="G23" s="60">
        <v>34.79</v>
      </c>
      <c r="H23" s="61">
        <v>0</v>
      </c>
      <c r="I23" s="61">
        <v>1217.6499999999999</v>
      </c>
      <c r="J23" s="62">
        <v>1217.6499999999999</v>
      </c>
      <c r="V23" s="56">
        <v>1</v>
      </c>
      <c r="W23" s="56" t="s">
        <v>71</v>
      </c>
      <c r="X23" s="64">
        <v>0</v>
      </c>
      <c r="Y23" s="64">
        <v>28.89</v>
      </c>
      <c r="Z23" s="64">
        <f t="shared" si="3"/>
        <v>28.89</v>
      </c>
      <c r="AB23" s="56">
        <v>1</v>
      </c>
      <c r="AC23" s="56" t="s">
        <v>71</v>
      </c>
      <c r="AD23" s="64">
        <v>0</v>
      </c>
      <c r="AE23" s="64">
        <v>36.83</v>
      </c>
      <c r="AF23" s="64">
        <f t="shared" si="4"/>
        <v>36.83</v>
      </c>
      <c r="AH23" s="65">
        <f t="shared" si="2"/>
        <v>0</v>
      </c>
      <c r="AI23" s="65">
        <f t="shared" si="2"/>
        <v>-5.5389628020635295E-2</v>
      </c>
      <c r="AJ23" s="65">
        <f t="shared" si="2"/>
        <v>-5.5389628020635295E-2</v>
      </c>
    </row>
    <row r="24" spans="1:36" ht="15" customHeight="1" x14ac:dyDescent="0.3">
      <c r="A24" s="57" t="s">
        <v>78</v>
      </c>
      <c r="B24" s="58" t="s">
        <v>79</v>
      </c>
      <c r="C24" s="59">
        <v>939</v>
      </c>
      <c r="D24" s="60" t="s">
        <v>71</v>
      </c>
      <c r="E24" s="60">
        <v>0</v>
      </c>
      <c r="F24" s="60">
        <v>10.71</v>
      </c>
      <c r="G24" s="60">
        <v>10.71</v>
      </c>
      <c r="H24" s="61">
        <v>0</v>
      </c>
      <c r="I24" s="61">
        <v>10056.69</v>
      </c>
      <c r="J24" s="62">
        <v>10056.69</v>
      </c>
      <c r="M24" s="114" t="s">
        <v>80</v>
      </c>
      <c r="N24" s="115"/>
      <c r="V24" s="56">
        <v>850</v>
      </c>
      <c r="W24" s="56" t="s">
        <v>71</v>
      </c>
      <c r="X24" s="64">
        <v>0</v>
      </c>
      <c r="Y24" s="64">
        <v>8.89</v>
      </c>
      <c r="Z24" s="64">
        <f t="shared" si="3"/>
        <v>8.89</v>
      </c>
      <c r="AB24" s="56">
        <v>850</v>
      </c>
      <c r="AC24" s="56" t="s">
        <v>71</v>
      </c>
      <c r="AD24" s="64">
        <v>0</v>
      </c>
      <c r="AE24" s="64">
        <v>11.33</v>
      </c>
      <c r="AF24" s="64">
        <f t="shared" si="4"/>
        <v>11.33</v>
      </c>
      <c r="AH24" s="65">
        <f t="shared" si="2"/>
        <v>0</v>
      </c>
      <c r="AI24" s="65">
        <f t="shared" si="2"/>
        <v>-5.4721977052074045E-2</v>
      </c>
      <c r="AJ24" s="65">
        <f t="shared" si="2"/>
        <v>-5.4721977052074045E-2</v>
      </c>
    </row>
    <row r="25" spans="1:36" ht="15" customHeight="1" x14ac:dyDescent="0.3">
      <c r="A25" s="57" t="s">
        <v>81</v>
      </c>
      <c r="B25" s="58" t="s">
        <v>82</v>
      </c>
      <c r="C25" s="59">
        <v>203</v>
      </c>
      <c r="D25" s="60" t="s">
        <v>71</v>
      </c>
      <c r="E25" s="60">
        <v>0</v>
      </c>
      <c r="F25" s="60">
        <v>13.38</v>
      </c>
      <c r="G25" s="60">
        <v>13.38</v>
      </c>
      <c r="H25" s="61">
        <v>0</v>
      </c>
      <c r="I25" s="61">
        <v>2716.1400000000003</v>
      </c>
      <c r="J25" s="62">
        <v>2716.1400000000003</v>
      </c>
      <c r="M25" s="116"/>
      <c r="N25" s="117"/>
      <c r="V25" s="56">
        <v>6</v>
      </c>
      <c r="W25" s="56" t="s">
        <v>71</v>
      </c>
      <c r="X25" s="64">
        <v>0</v>
      </c>
      <c r="Y25" s="64">
        <v>11.11</v>
      </c>
      <c r="Z25" s="64">
        <f t="shared" si="3"/>
        <v>11.11</v>
      </c>
      <c r="AB25" s="56">
        <v>6</v>
      </c>
      <c r="AC25" s="56" t="s">
        <v>71</v>
      </c>
      <c r="AD25" s="64">
        <v>0</v>
      </c>
      <c r="AE25" s="64">
        <v>14.17</v>
      </c>
      <c r="AF25" s="64">
        <f t="shared" si="4"/>
        <v>14.17</v>
      </c>
      <c r="AH25" s="65">
        <f t="shared" si="2"/>
        <v>0</v>
      </c>
      <c r="AI25" s="65">
        <f t="shared" si="2"/>
        <v>-5.5751587861679552E-2</v>
      </c>
      <c r="AJ25" s="65">
        <f t="shared" si="2"/>
        <v>-5.5751587861679552E-2</v>
      </c>
    </row>
    <row r="26" spans="1:36" ht="15" customHeight="1" x14ac:dyDescent="0.3">
      <c r="A26" s="57" t="s">
        <v>83</v>
      </c>
      <c r="B26" s="58" t="s">
        <v>84</v>
      </c>
      <c r="C26" s="59">
        <v>61</v>
      </c>
      <c r="D26" s="60" t="s">
        <v>71</v>
      </c>
      <c r="E26" s="60">
        <v>0</v>
      </c>
      <c r="F26" s="60">
        <v>36.979999999999997</v>
      </c>
      <c r="G26" s="60">
        <v>36.979999999999997</v>
      </c>
      <c r="H26" s="61">
        <v>0</v>
      </c>
      <c r="I26" s="61">
        <v>2255.7799999999997</v>
      </c>
      <c r="J26" s="62">
        <v>2255.7799999999997</v>
      </c>
      <c r="M26" s="116"/>
      <c r="N26" s="117"/>
      <c r="V26" s="56">
        <v>1</v>
      </c>
      <c r="W26" s="56" t="s">
        <v>71</v>
      </c>
      <c r="X26" s="64">
        <v>0</v>
      </c>
      <c r="Y26" s="64">
        <v>31.33</v>
      </c>
      <c r="Z26" s="64">
        <f t="shared" si="3"/>
        <v>31.33</v>
      </c>
      <c r="AB26" s="56">
        <v>1</v>
      </c>
      <c r="AC26" s="56" t="s">
        <v>71</v>
      </c>
      <c r="AD26" s="64">
        <v>0</v>
      </c>
      <c r="AE26" s="64">
        <v>39.950000000000003</v>
      </c>
      <c r="AF26" s="64">
        <f t="shared" si="4"/>
        <v>39.950000000000003</v>
      </c>
      <c r="AH26" s="65">
        <f t="shared" si="2"/>
        <v>0</v>
      </c>
      <c r="AI26" s="65">
        <f t="shared" si="2"/>
        <v>-7.4342928660826146E-2</v>
      </c>
      <c r="AJ26" s="65">
        <f t="shared" si="2"/>
        <v>-7.4342928660826146E-2</v>
      </c>
    </row>
    <row r="27" spans="1:36" ht="15" customHeight="1" x14ac:dyDescent="0.3">
      <c r="A27" s="57" t="s">
        <v>85</v>
      </c>
      <c r="B27" s="58" t="s">
        <v>86</v>
      </c>
      <c r="C27" s="59">
        <v>152</v>
      </c>
      <c r="D27" s="60" t="s">
        <v>87</v>
      </c>
      <c r="E27" s="60">
        <v>0</v>
      </c>
      <c r="F27" s="60">
        <v>17.27</v>
      </c>
      <c r="G27" s="60">
        <v>17.27</v>
      </c>
      <c r="H27" s="61">
        <v>0</v>
      </c>
      <c r="I27" s="61">
        <v>2625.04</v>
      </c>
      <c r="J27" s="62">
        <v>2625.04</v>
      </c>
      <c r="M27" s="116"/>
      <c r="N27" s="117"/>
      <c r="V27" s="56">
        <v>203</v>
      </c>
      <c r="W27" s="56" t="s">
        <v>87</v>
      </c>
      <c r="X27" s="64">
        <v>0</v>
      </c>
      <c r="Y27" s="64">
        <v>15.47</v>
      </c>
      <c r="Z27" s="64">
        <f t="shared" si="3"/>
        <v>15.47</v>
      </c>
      <c r="AB27" s="56">
        <v>203</v>
      </c>
      <c r="AC27" s="56" t="s">
        <v>87</v>
      </c>
      <c r="AD27" s="64">
        <v>0</v>
      </c>
      <c r="AE27" s="64">
        <v>19.72</v>
      </c>
      <c r="AF27" s="64">
        <f t="shared" si="4"/>
        <v>19.72</v>
      </c>
      <c r="AH27" s="65">
        <f t="shared" si="2"/>
        <v>0</v>
      </c>
      <c r="AI27" s="65">
        <f t="shared" si="2"/>
        <v>-0.12423935091277882</v>
      </c>
      <c r="AJ27" s="65">
        <f t="shared" si="2"/>
        <v>-0.12423935091277882</v>
      </c>
    </row>
    <row r="28" spans="1:36" ht="15" customHeight="1" x14ac:dyDescent="0.3">
      <c r="A28" s="57" t="s">
        <v>88</v>
      </c>
      <c r="B28" s="58" t="s">
        <v>89</v>
      </c>
      <c r="C28" s="59">
        <v>814</v>
      </c>
      <c r="D28" s="60" t="s">
        <v>71</v>
      </c>
      <c r="E28" s="60">
        <v>11.07</v>
      </c>
      <c r="F28" s="60">
        <v>28.13</v>
      </c>
      <c r="G28" s="60">
        <v>39.200000000000003</v>
      </c>
      <c r="H28" s="61">
        <v>9010.98</v>
      </c>
      <c r="I28" s="61">
        <v>22897.82</v>
      </c>
      <c r="J28" s="62">
        <v>31908.800000000003</v>
      </c>
      <c r="M28" s="116"/>
      <c r="N28" s="117"/>
      <c r="V28" s="56">
        <v>3400</v>
      </c>
      <c r="W28" s="56" t="s">
        <v>71</v>
      </c>
      <c r="X28" s="64">
        <v>19.61</v>
      </c>
      <c r="Y28" s="64">
        <v>25.1</v>
      </c>
      <c r="Z28" s="64">
        <f t="shared" si="3"/>
        <v>44.71</v>
      </c>
      <c r="AB28" s="56">
        <v>3400</v>
      </c>
      <c r="AC28" s="56" t="s">
        <v>71</v>
      </c>
      <c r="AD28" s="64">
        <v>25</v>
      </c>
      <c r="AE28" s="64">
        <v>32</v>
      </c>
      <c r="AF28" s="64">
        <f t="shared" si="4"/>
        <v>57</v>
      </c>
      <c r="AH28" s="65">
        <f t="shared" si="2"/>
        <v>-0.55719999999999992</v>
      </c>
      <c r="AI28" s="65">
        <f t="shared" si="2"/>
        <v>-0.12093750000000003</v>
      </c>
      <c r="AJ28" s="65">
        <f t="shared" si="2"/>
        <v>-0.31228070175438594</v>
      </c>
    </row>
    <row r="29" spans="1:36" ht="14.4" customHeight="1" x14ac:dyDescent="0.3">
      <c r="A29" s="57" t="s">
        <v>90</v>
      </c>
      <c r="B29" s="58" t="s">
        <v>91</v>
      </c>
      <c r="C29" s="59">
        <v>2344</v>
      </c>
      <c r="D29" s="60" t="s">
        <v>71</v>
      </c>
      <c r="E29" s="60">
        <v>11.07</v>
      </c>
      <c r="F29" s="60">
        <v>14.23</v>
      </c>
      <c r="G29" s="60">
        <v>25.3</v>
      </c>
      <c r="H29" s="61">
        <v>25948.080000000002</v>
      </c>
      <c r="I29" s="61">
        <v>33355.120000000003</v>
      </c>
      <c r="J29" s="62">
        <v>59303.200000000004</v>
      </c>
      <c r="M29" s="116"/>
      <c r="N29" s="117"/>
      <c r="V29" s="56">
        <v>1913</v>
      </c>
      <c r="W29" s="56" t="s">
        <v>71</v>
      </c>
      <c r="X29" s="64">
        <v>19.61</v>
      </c>
      <c r="Y29" s="64">
        <v>12.91</v>
      </c>
      <c r="Z29" s="64">
        <f t="shared" si="3"/>
        <v>32.519999999999996</v>
      </c>
      <c r="AB29" s="56">
        <v>1913</v>
      </c>
      <c r="AC29" s="56" t="s">
        <v>71</v>
      </c>
      <c r="AD29" s="64">
        <v>25</v>
      </c>
      <c r="AE29" s="64">
        <v>16.46</v>
      </c>
      <c r="AF29" s="64">
        <f t="shared" si="4"/>
        <v>41.46</v>
      </c>
      <c r="AH29" s="65">
        <f t="shared" si="2"/>
        <v>-0.55719999999999992</v>
      </c>
      <c r="AI29" s="65">
        <f t="shared" si="2"/>
        <v>-0.13547995139732683</v>
      </c>
      <c r="AJ29" s="65">
        <f t="shared" si="2"/>
        <v>-0.38977327544621321</v>
      </c>
    </row>
    <row r="30" spans="1:36" ht="14.4" customHeight="1" x14ac:dyDescent="0.3">
      <c r="A30" s="57" t="s">
        <v>92</v>
      </c>
      <c r="B30" s="58" t="s">
        <v>93</v>
      </c>
      <c r="C30" s="59">
        <v>72</v>
      </c>
      <c r="D30" s="60" t="s">
        <v>71</v>
      </c>
      <c r="E30" s="60">
        <v>7.86</v>
      </c>
      <c r="F30" s="60">
        <v>74.09</v>
      </c>
      <c r="G30" s="60">
        <v>81.95</v>
      </c>
      <c r="H30" s="61">
        <v>565.92000000000007</v>
      </c>
      <c r="I30" s="61">
        <v>5334.4800000000005</v>
      </c>
      <c r="J30" s="62">
        <v>5900.4000000000005</v>
      </c>
      <c r="M30" s="116"/>
      <c r="N30" s="117"/>
      <c r="V30" s="56">
        <v>375</v>
      </c>
      <c r="W30" s="56" t="s">
        <v>71</v>
      </c>
      <c r="X30" s="64">
        <v>9.93</v>
      </c>
      <c r="Y30" s="64">
        <v>66.599999999999994</v>
      </c>
      <c r="Z30" s="64">
        <f t="shared" si="3"/>
        <v>76.53</v>
      </c>
      <c r="AB30" s="56">
        <v>375</v>
      </c>
      <c r="AC30" s="56" t="s">
        <v>71</v>
      </c>
      <c r="AD30" s="64">
        <v>12.66</v>
      </c>
      <c r="AE30" s="64">
        <v>84.92</v>
      </c>
      <c r="AF30" s="64">
        <f t="shared" si="4"/>
        <v>97.58</v>
      </c>
      <c r="AH30" s="65">
        <f t="shared" si="2"/>
        <v>-0.37914691943127965</v>
      </c>
      <c r="AI30" s="65">
        <f t="shared" si="2"/>
        <v>-0.12753179463024022</v>
      </c>
      <c r="AJ30" s="65">
        <f t="shared" si="2"/>
        <v>-0.16017626562820242</v>
      </c>
    </row>
    <row r="31" spans="1:36" ht="14.4" customHeight="1" x14ac:dyDescent="0.3">
      <c r="A31" s="57" t="s">
        <v>94</v>
      </c>
      <c r="B31" s="58" t="s">
        <v>95</v>
      </c>
      <c r="C31" s="59">
        <v>180</v>
      </c>
      <c r="D31" s="60" t="s">
        <v>71</v>
      </c>
      <c r="E31" s="60">
        <v>0</v>
      </c>
      <c r="F31" s="60">
        <v>34.130000000000003</v>
      </c>
      <c r="G31" s="60">
        <v>34.130000000000003</v>
      </c>
      <c r="H31" s="61">
        <v>0</v>
      </c>
      <c r="I31" s="61">
        <v>6143.4000000000005</v>
      </c>
      <c r="J31" s="62">
        <v>6143.4000000000005</v>
      </c>
      <c r="M31" s="116"/>
      <c r="N31" s="117"/>
      <c r="V31" s="56">
        <v>410</v>
      </c>
      <c r="W31" s="56" t="s">
        <v>71</v>
      </c>
      <c r="X31" s="64">
        <v>0</v>
      </c>
      <c r="Y31" s="64">
        <v>28.92</v>
      </c>
      <c r="Z31" s="64">
        <f t="shared" si="3"/>
        <v>28.92</v>
      </c>
      <c r="AB31" s="56">
        <v>410</v>
      </c>
      <c r="AC31" s="56" t="s">
        <v>71</v>
      </c>
      <c r="AD31" s="64">
        <v>0</v>
      </c>
      <c r="AE31" s="64">
        <v>36.869999999999997</v>
      </c>
      <c r="AF31" s="64">
        <f t="shared" si="4"/>
        <v>36.869999999999997</v>
      </c>
      <c r="AH31" s="65">
        <f t="shared" si="2"/>
        <v>0</v>
      </c>
      <c r="AI31" s="65">
        <f t="shared" si="2"/>
        <v>-7.4315161377813799E-2</v>
      </c>
      <c r="AJ31" s="65">
        <f t="shared" si="2"/>
        <v>-7.4315161377813799E-2</v>
      </c>
    </row>
    <row r="32" spans="1:36" ht="14.4" customHeight="1" x14ac:dyDescent="0.3">
      <c r="A32" s="57" t="s">
        <v>96</v>
      </c>
      <c r="B32" s="58" t="s">
        <v>97</v>
      </c>
      <c r="C32" s="59">
        <v>18</v>
      </c>
      <c r="D32" s="60" t="s">
        <v>71</v>
      </c>
      <c r="E32" s="60">
        <v>1.55</v>
      </c>
      <c r="F32" s="60">
        <v>80.31</v>
      </c>
      <c r="G32" s="60">
        <v>81.86</v>
      </c>
      <c r="H32" s="61">
        <v>27.900000000000002</v>
      </c>
      <c r="I32" s="61">
        <v>1445.58</v>
      </c>
      <c r="J32" s="62">
        <v>1473.48</v>
      </c>
      <c r="M32" s="116"/>
      <c r="N32" s="117"/>
      <c r="V32" s="56">
        <v>1</v>
      </c>
      <c r="W32" s="56" t="s">
        <v>71</v>
      </c>
      <c r="X32" s="64">
        <v>1.78</v>
      </c>
      <c r="Y32" s="64">
        <v>72.09</v>
      </c>
      <c r="Z32" s="64">
        <f t="shared" si="3"/>
        <v>73.87</v>
      </c>
      <c r="AB32" s="56">
        <v>1</v>
      </c>
      <c r="AC32" s="56" t="s">
        <v>71</v>
      </c>
      <c r="AD32" s="64">
        <v>2.27</v>
      </c>
      <c r="AE32" s="64">
        <v>91.91</v>
      </c>
      <c r="AF32" s="64">
        <f t="shared" si="4"/>
        <v>94.179999999999993</v>
      </c>
      <c r="AH32" s="65">
        <f t="shared" si="2"/>
        <v>-0.31718061674008813</v>
      </c>
      <c r="AI32" s="65">
        <f t="shared" si="2"/>
        <v>-0.1262104232401261</v>
      </c>
      <c r="AJ32" s="65">
        <f t="shared" si="2"/>
        <v>-0.13081333616479074</v>
      </c>
    </row>
    <row r="33" spans="1:36" ht="14.4" customHeight="1" x14ac:dyDescent="0.3">
      <c r="A33" s="57" t="s">
        <v>98</v>
      </c>
      <c r="B33" s="58" t="s">
        <v>99</v>
      </c>
      <c r="C33" s="59">
        <v>517</v>
      </c>
      <c r="D33" s="60" t="s">
        <v>71</v>
      </c>
      <c r="E33" s="60">
        <v>11.3</v>
      </c>
      <c r="F33" s="60">
        <v>19.12</v>
      </c>
      <c r="G33" s="60">
        <v>30.42</v>
      </c>
      <c r="H33" s="61">
        <v>5842.1</v>
      </c>
      <c r="I33" s="61">
        <v>9885.0400000000009</v>
      </c>
      <c r="J33" s="62">
        <v>15727.140000000001</v>
      </c>
      <c r="M33" s="116"/>
      <c r="N33" s="117"/>
      <c r="V33" s="56">
        <v>235</v>
      </c>
      <c r="W33" s="56" t="s">
        <v>71</v>
      </c>
      <c r="X33" s="64">
        <v>26.9</v>
      </c>
      <c r="Y33" s="64">
        <v>16.45</v>
      </c>
      <c r="Z33" s="64">
        <f t="shared" si="3"/>
        <v>43.349999999999994</v>
      </c>
      <c r="AB33" s="56">
        <v>235</v>
      </c>
      <c r="AC33" s="56" t="s">
        <v>71</v>
      </c>
      <c r="AD33" s="64">
        <v>34.299999999999997</v>
      </c>
      <c r="AE33" s="64">
        <v>20.97</v>
      </c>
      <c r="AF33" s="64">
        <f t="shared" si="4"/>
        <v>55.269999999999996</v>
      </c>
      <c r="AH33" s="65">
        <f t="shared" si="2"/>
        <v>-0.67055393586005829</v>
      </c>
      <c r="AI33" s="65">
        <f t="shared" si="2"/>
        <v>-8.8221268478779091E-2</v>
      </c>
      <c r="AJ33" s="65">
        <f t="shared" si="2"/>
        <v>-0.44961100054278991</v>
      </c>
    </row>
    <row r="34" spans="1:36" ht="43.2" x14ac:dyDescent="0.3">
      <c r="A34" s="57" t="s">
        <v>100</v>
      </c>
      <c r="B34" s="58" t="s">
        <v>101</v>
      </c>
      <c r="C34" s="59">
        <v>1000</v>
      </c>
      <c r="D34" s="60" t="s">
        <v>63</v>
      </c>
      <c r="E34" s="60">
        <v>55.11</v>
      </c>
      <c r="F34" s="60">
        <v>16.809999999999999</v>
      </c>
      <c r="G34" s="60">
        <v>71.92</v>
      </c>
      <c r="H34" s="61">
        <v>55110</v>
      </c>
      <c r="I34" s="61">
        <v>16810</v>
      </c>
      <c r="J34" s="62">
        <v>71920</v>
      </c>
      <c r="M34" s="116"/>
      <c r="N34" s="117"/>
      <c r="V34" s="56">
        <v>17</v>
      </c>
      <c r="W34" s="56" t="s">
        <v>63</v>
      </c>
      <c r="X34" s="64">
        <v>62.9</v>
      </c>
      <c r="Y34" s="64">
        <v>13.69</v>
      </c>
      <c r="Z34" s="64">
        <f t="shared" si="3"/>
        <v>76.59</v>
      </c>
      <c r="AB34" s="56">
        <v>17</v>
      </c>
      <c r="AC34" s="56" t="s">
        <v>63</v>
      </c>
      <c r="AD34" s="64">
        <v>80.2</v>
      </c>
      <c r="AE34" s="64">
        <v>17.45</v>
      </c>
      <c r="AF34" s="64">
        <f t="shared" si="4"/>
        <v>97.65</v>
      </c>
      <c r="AH34" s="65">
        <f t="shared" si="2"/>
        <v>-0.31284289276807986</v>
      </c>
      <c r="AI34" s="65">
        <f t="shared" si="2"/>
        <v>-3.667621776504304E-2</v>
      </c>
      <c r="AJ34" s="65">
        <f t="shared" si="2"/>
        <v>-0.26349206349206356</v>
      </c>
    </row>
    <row r="35" spans="1:36" ht="14.4" customHeight="1" x14ac:dyDescent="0.3">
      <c r="A35" s="57" t="s">
        <v>102</v>
      </c>
      <c r="B35" s="58" t="s">
        <v>103</v>
      </c>
      <c r="C35" s="59">
        <v>215</v>
      </c>
      <c r="D35" s="60" t="s">
        <v>41</v>
      </c>
      <c r="E35" s="60">
        <v>3.43</v>
      </c>
      <c r="F35" s="60">
        <v>51.72</v>
      </c>
      <c r="G35" s="60">
        <v>55.15</v>
      </c>
      <c r="H35" s="61">
        <v>737.45</v>
      </c>
      <c r="I35" s="61">
        <v>11119.8</v>
      </c>
      <c r="J35" s="62">
        <v>11857.25</v>
      </c>
      <c r="M35" s="116"/>
      <c r="N35" s="117"/>
      <c r="V35" s="56">
        <v>72</v>
      </c>
      <c r="W35" s="56" t="s">
        <v>41</v>
      </c>
      <c r="X35" s="64">
        <v>6.88</v>
      </c>
      <c r="Y35" s="64">
        <v>43.2</v>
      </c>
      <c r="Z35" s="64">
        <f t="shared" si="3"/>
        <v>50.080000000000005</v>
      </c>
      <c r="AB35" s="56">
        <v>72</v>
      </c>
      <c r="AC35" s="56" t="s">
        <v>41</v>
      </c>
      <c r="AD35" s="64">
        <v>8.77</v>
      </c>
      <c r="AE35" s="64">
        <v>55.08</v>
      </c>
      <c r="AF35" s="64">
        <f t="shared" si="4"/>
        <v>63.849999999999994</v>
      </c>
      <c r="AH35" s="65">
        <f t="shared" si="2"/>
        <v>-0.60889395667046742</v>
      </c>
      <c r="AI35" s="65">
        <f t="shared" si="2"/>
        <v>-6.1002178649237515E-2</v>
      </c>
      <c r="AJ35" s="65">
        <f t="shared" si="2"/>
        <v>-0.13625685199686766</v>
      </c>
    </row>
    <row r="36" spans="1:36" ht="14.4" customHeight="1" x14ac:dyDescent="0.3">
      <c r="A36" s="57" t="s">
        <v>104</v>
      </c>
      <c r="B36" s="58" t="s">
        <v>105</v>
      </c>
      <c r="C36" s="59">
        <v>291</v>
      </c>
      <c r="D36" s="60" t="s">
        <v>106</v>
      </c>
      <c r="E36" s="60">
        <v>18.95</v>
      </c>
      <c r="F36" s="60">
        <v>8.34</v>
      </c>
      <c r="G36" s="60">
        <v>27.29</v>
      </c>
      <c r="H36" s="61">
        <v>5514.45</v>
      </c>
      <c r="I36" s="61">
        <v>2426.94</v>
      </c>
      <c r="J36" s="62">
        <v>7941.3899999999994</v>
      </c>
      <c r="M36" s="116"/>
      <c r="N36" s="117"/>
      <c r="V36" s="56">
        <v>1033</v>
      </c>
      <c r="W36" s="56" t="s">
        <v>106</v>
      </c>
      <c r="X36" s="64">
        <v>17</v>
      </c>
      <c r="Y36" s="64">
        <v>8.01</v>
      </c>
      <c r="Z36" s="64">
        <f t="shared" si="3"/>
        <v>25.009999999999998</v>
      </c>
      <c r="AB36" s="56">
        <v>1033</v>
      </c>
      <c r="AC36" s="56" t="s">
        <v>106</v>
      </c>
      <c r="AD36" s="64">
        <v>21.68</v>
      </c>
      <c r="AE36" s="64">
        <v>10.210000000000001</v>
      </c>
      <c r="AF36" s="64">
        <f t="shared" si="4"/>
        <v>31.89</v>
      </c>
      <c r="AH36" s="65">
        <f t="shared" si="2"/>
        <v>-0.12592250922509229</v>
      </c>
      <c r="AI36" s="65">
        <f t="shared" si="2"/>
        <v>-0.18315377081292861</v>
      </c>
      <c r="AJ36" s="65">
        <f t="shared" si="2"/>
        <v>-0.14424584509250549</v>
      </c>
    </row>
    <row r="37" spans="1:36" ht="14.4" customHeight="1" x14ac:dyDescent="0.3">
      <c r="A37" s="57" t="s">
        <v>107</v>
      </c>
      <c r="B37" s="58" t="s">
        <v>108</v>
      </c>
      <c r="C37" s="59">
        <v>919</v>
      </c>
      <c r="D37" s="60" t="s">
        <v>109</v>
      </c>
      <c r="E37" s="60">
        <v>25.27</v>
      </c>
      <c r="F37" s="60">
        <v>14.13</v>
      </c>
      <c r="G37" s="60">
        <v>39.4</v>
      </c>
      <c r="H37" s="61">
        <v>23223.13</v>
      </c>
      <c r="I37" s="61">
        <v>12985.470000000001</v>
      </c>
      <c r="J37" s="62">
        <v>36208.6</v>
      </c>
      <c r="M37" s="118"/>
      <c r="N37" s="119"/>
      <c r="V37" s="56">
        <v>63</v>
      </c>
      <c r="W37" s="56" t="s">
        <v>109</v>
      </c>
      <c r="X37" s="64">
        <v>22.66</v>
      </c>
      <c r="Y37" s="64">
        <v>13.57</v>
      </c>
      <c r="Z37" s="64">
        <f t="shared" si="3"/>
        <v>36.230000000000004</v>
      </c>
      <c r="AB37" s="56">
        <v>63</v>
      </c>
      <c r="AC37" s="56" t="s">
        <v>109</v>
      </c>
      <c r="AD37" s="64">
        <v>28.89</v>
      </c>
      <c r="AE37" s="64">
        <v>17.3</v>
      </c>
      <c r="AF37" s="64">
        <f t="shared" si="4"/>
        <v>46.19</v>
      </c>
      <c r="AH37" s="65">
        <f t="shared" si="2"/>
        <v>-0.12530287296642439</v>
      </c>
      <c r="AI37" s="65">
        <f t="shared" si="2"/>
        <v>-0.18323699421965312</v>
      </c>
      <c r="AJ37" s="65">
        <f t="shared" si="2"/>
        <v>-0.14700151547954099</v>
      </c>
    </row>
    <row r="38" spans="1:36" x14ac:dyDescent="0.3">
      <c r="A38" s="57" t="s">
        <v>110</v>
      </c>
      <c r="B38" s="58" t="s">
        <v>111</v>
      </c>
      <c r="C38" s="59">
        <v>538</v>
      </c>
      <c r="D38" s="60" t="s">
        <v>71</v>
      </c>
      <c r="E38" s="60">
        <v>41.06</v>
      </c>
      <c r="F38" s="60">
        <v>53.2</v>
      </c>
      <c r="G38" s="60">
        <v>94.26</v>
      </c>
      <c r="H38" s="61">
        <v>22090.280000000002</v>
      </c>
      <c r="I38" s="61">
        <v>28621.600000000002</v>
      </c>
      <c r="J38" s="62">
        <v>50711.880000000005</v>
      </c>
      <c r="M38" s="75"/>
      <c r="N38" s="76"/>
      <c r="V38" s="56">
        <v>858</v>
      </c>
      <c r="W38" s="56" t="s">
        <v>71</v>
      </c>
      <c r="X38" s="64">
        <v>50.22</v>
      </c>
      <c r="Y38" s="64">
        <v>48.15</v>
      </c>
      <c r="Z38" s="64">
        <f t="shared" si="3"/>
        <v>98.37</v>
      </c>
      <c r="AB38" s="56">
        <v>858</v>
      </c>
      <c r="AC38" s="56" t="s">
        <v>71</v>
      </c>
      <c r="AD38" s="64">
        <v>64.03</v>
      </c>
      <c r="AE38" s="64">
        <v>61.39</v>
      </c>
      <c r="AF38" s="64">
        <f t="shared" si="4"/>
        <v>125.42</v>
      </c>
      <c r="AH38" s="65">
        <f t="shared" si="2"/>
        <v>-0.35873809151960012</v>
      </c>
      <c r="AI38" s="65">
        <f t="shared" si="2"/>
        <v>-0.13340935005701249</v>
      </c>
      <c r="AJ38" s="65">
        <f t="shared" si="2"/>
        <v>-0.24844522404720137</v>
      </c>
    </row>
    <row r="39" spans="1:36" x14ac:dyDescent="0.3">
      <c r="A39" s="57" t="s">
        <v>112</v>
      </c>
      <c r="B39" s="58" t="s">
        <v>113</v>
      </c>
      <c r="C39" s="59">
        <v>38</v>
      </c>
      <c r="D39" s="60" t="s">
        <v>71</v>
      </c>
      <c r="E39" s="60">
        <v>0</v>
      </c>
      <c r="F39" s="60">
        <v>24.09</v>
      </c>
      <c r="G39" s="60">
        <v>24.09</v>
      </c>
      <c r="H39" s="61">
        <v>0</v>
      </c>
      <c r="I39" s="61">
        <v>915.42</v>
      </c>
      <c r="J39" s="62">
        <v>915.42</v>
      </c>
      <c r="M39" s="75"/>
      <c r="N39" s="76"/>
      <c r="V39" s="56">
        <v>84</v>
      </c>
      <c r="W39" s="56" t="s">
        <v>71</v>
      </c>
      <c r="X39" s="64">
        <v>0</v>
      </c>
      <c r="Y39" s="64">
        <v>20</v>
      </c>
      <c r="Z39" s="64">
        <f t="shared" si="3"/>
        <v>20</v>
      </c>
      <c r="AB39" s="56">
        <v>84</v>
      </c>
      <c r="AC39" s="56" t="s">
        <v>71</v>
      </c>
      <c r="AD39" s="64">
        <v>0</v>
      </c>
      <c r="AE39" s="64">
        <v>25.5</v>
      </c>
      <c r="AF39" s="64">
        <f t="shared" si="4"/>
        <v>25.5</v>
      </c>
      <c r="AH39" s="65">
        <f t="shared" si="2"/>
        <v>0</v>
      </c>
      <c r="AI39" s="65">
        <f t="shared" si="2"/>
        <v>-5.5294117647058827E-2</v>
      </c>
      <c r="AJ39" s="65">
        <f t="shared" si="2"/>
        <v>-5.5294117647058827E-2</v>
      </c>
    </row>
    <row r="40" spans="1:36" x14ac:dyDescent="0.3">
      <c r="A40" s="57" t="s">
        <v>114</v>
      </c>
      <c r="B40" s="58" t="s">
        <v>115</v>
      </c>
      <c r="C40" s="59">
        <v>3</v>
      </c>
      <c r="D40" s="60" t="s">
        <v>116</v>
      </c>
      <c r="E40" s="60">
        <v>705.27</v>
      </c>
      <c r="F40" s="60">
        <v>23.73</v>
      </c>
      <c r="G40" s="60">
        <v>729</v>
      </c>
      <c r="H40" s="61">
        <v>2115.81</v>
      </c>
      <c r="I40" s="61">
        <v>71.19</v>
      </c>
      <c r="J40" s="62">
        <v>2187</v>
      </c>
      <c r="M40" s="75"/>
      <c r="N40" s="76"/>
      <c r="V40" s="56">
        <v>1</v>
      </c>
      <c r="W40" s="56" t="s">
        <v>116</v>
      </c>
      <c r="X40" s="64">
        <v>632.5</v>
      </c>
      <c r="Y40" s="64">
        <v>21.39</v>
      </c>
      <c r="Z40" s="64">
        <f t="shared" si="3"/>
        <v>653.89</v>
      </c>
      <c r="AB40" s="56">
        <v>1</v>
      </c>
      <c r="AC40" s="56" t="s">
        <v>116</v>
      </c>
      <c r="AD40" s="64">
        <v>806.44</v>
      </c>
      <c r="AE40" s="64">
        <v>27.27</v>
      </c>
      <c r="AF40" s="64">
        <f t="shared" si="4"/>
        <v>833.71</v>
      </c>
      <c r="AH40" s="65">
        <f t="shared" si="2"/>
        <v>-0.12545260651753398</v>
      </c>
      <c r="AI40" s="65">
        <f t="shared" si="2"/>
        <v>-0.12981298129812979</v>
      </c>
      <c r="AJ40" s="65">
        <f t="shared" si="2"/>
        <v>-0.12559523095560809</v>
      </c>
    </row>
    <row r="41" spans="1:36" x14ac:dyDescent="0.3">
      <c r="A41" s="57" t="s">
        <v>117</v>
      </c>
      <c r="B41" s="58" t="s">
        <v>118</v>
      </c>
      <c r="C41" s="59">
        <v>43</v>
      </c>
      <c r="D41" s="60" t="s">
        <v>71</v>
      </c>
      <c r="E41" s="60">
        <v>83.69</v>
      </c>
      <c r="F41" s="60">
        <v>69.33</v>
      </c>
      <c r="G41" s="60">
        <v>153.01999999999998</v>
      </c>
      <c r="H41" s="61">
        <v>3598.67</v>
      </c>
      <c r="I41" s="61">
        <v>2981.19</v>
      </c>
      <c r="J41" s="62">
        <v>6579.8599999999988</v>
      </c>
      <c r="M41" s="75"/>
      <c r="N41" s="76"/>
      <c r="V41" s="56">
        <v>5</v>
      </c>
      <c r="W41" s="56" t="s">
        <v>71</v>
      </c>
      <c r="X41" s="64">
        <v>114.06</v>
      </c>
      <c r="Y41" s="64">
        <v>60.21</v>
      </c>
      <c r="Z41" s="64">
        <f t="shared" si="3"/>
        <v>174.27</v>
      </c>
      <c r="AB41" s="56">
        <v>5</v>
      </c>
      <c r="AC41" s="56" t="s">
        <v>71</v>
      </c>
      <c r="AD41" s="64">
        <v>145.43</v>
      </c>
      <c r="AE41" s="64">
        <v>76.77</v>
      </c>
      <c r="AF41" s="64">
        <f t="shared" si="4"/>
        <v>222.2</v>
      </c>
      <c r="AH41" s="65">
        <f t="shared" si="2"/>
        <v>-0.42453414013614799</v>
      </c>
      <c r="AI41" s="65">
        <f t="shared" si="2"/>
        <v>-9.6912856584603357E-2</v>
      </c>
      <c r="AJ41" s="65">
        <f t="shared" si="2"/>
        <v>-0.31134113411341136</v>
      </c>
    </row>
    <row r="42" spans="1:36" x14ac:dyDescent="0.3">
      <c r="A42" s="57" t="s">
        <v>119</v>
      </c>
      <c r="B42" s="58" t="s">
        <v>120</v>
      </c>
      <c r="C42" s="59">
        <v>13</v>
      </c>
      <c r="D42" s="60" t="s">
        <v>121</v>
      </c>
      <c r="E42" s="60">
        <v>0</v>
      </c>
      <c r="F42" s="60">
        <v>164.22</v>
      </c>
      <c r="G42" s="60">
        <v>164.22</v>
      </c>
      <c r="H42" s="61">
        <v>0</v>
      </c>
      <c r="I42" s="61">
        <v>2134.86</v>
      </c>
      <c r="J42" s="62">
        <v>2134.86</v>
      </c>
      <c r="M42" s="75"/>
      <c r="N42" s="76"/>
      <c r="V42" s="56">
        <v>1</v>
      </c>
      <c r="W42" s="56" t="s">
        <v>121</v>
      </c>
      <c r="X42" s="64">
        <v>0</v>
      </c>
      <c r="Y42" s="64">
        <v>138.99</v>
      </c>
      <c r="Z42" s="64">
        <f t="shared" si="3"/>
        <v>138.99</v>
      </c>
      <c r="AB42" s="56">
        <v>1</v>
      </c>
      <c r="AC42" s="56" t="s">
        <v>121</v>
      </c>
      <c r="AD42" s="64">
        <v>0</v>
      </c>
      <c r="AE42" s="64">
        <v>177.21</v>
      </c>
      <c r="AF42" s="64">
        <f t="shared" si="4"/>
        <v>177.21</v>
      </c>
      <c r="AH42" s="65">
        <f t="shared" si="2"/>
        <v>0</v>
      </c>
      <c r="AI42" s="65">
        <f t="shared" si="2"/>
        <v>-7.3302861012358278E-2</v>
      </c>
      <c r="AJ42" s="65">
        <f t="shared" si="2"/>
        <v>-7.3302861012358278E-2</v>
      </c>
    </row>
    <row r="43" spans="1:36" x14ac:dyDescent="0.3">
      <c r="A43" s="57" t="s">
        <v>122</v>
      </c>
      <c r="B43" s="58" t="s">
        <v>123</v>
      </c>
      <c r="C43" s="59">
        <v>1</v>
      </c>
      <c r="D43" s="60" t="s">
        <v>87</v>
      </c>
      <c r="E43" s="60">
        <v>6.92</v>
      </c>
      <c r="F43" s="60">
        <v>10.59</v>
      </c>
      <c r="G43" s="60">
        <v>17.509999999999998</v>
      </c>
      <c r="H43" s="61">
        <v>6.92</v>
      </c>
      <c r="I43" s="61">
        <v>10.59</v>
      </c>
      <c r="J43" s="62">
        <v>17.509999999999998</v>
      </c>
      <c r="M43" s="75"/>
      <c r="N43" s="76"/>
      <c r="V43" s="56">
        <v>1</v>
      </c>
      <c r="W43" s="56" t="s">
        <v>87</v>
      </c>
      <c r="X43" s="64">
        <v>8.5500000000000007</v>
      </c>
      <c r="Y43" s="64">
        <v>8.89</v>
      </c>
      <c r="Z43" s="64">
        <f t="shared" si="3"/>
        <v>17.440000000000001</v>
      </c>
      <c r="AB43" s="56">
        <v>1</v>
      </c>
      <c r="AC43" s="56" t="s">
        <v>87</v>
      </c>
      <c r="AD43" s="64">
        <v>10.9</v>
      </c>
      <c r="AE43" s="64">
        <v>11.33</v>
      </c>
      <c r="AF43" s="64">
        <f t="shared" si="4"/>
        <v>22.23</v>
      </c>
      <c r="AH43" s="65">
        <f t="shared" si="2"/>
        <v>-0.36513761467889916</v>
      </c>
      <c r="AI43" s="65">
        <f t="shared" si="2"/>
        <v>-6.5313327449249781E-2</v>
      </c>
      <c r="AJ43" s="65">
        <f t="shared" si="2"/>
        <v>-0.21232568600989665</v>
      </c>
    </row>
    <row r="44" spans="1:36" x14ac:dyDescent="0.3">
      <c r="A44" s="57" t="s">
        <v>124</v>
      </c>
      <c r="B44" s="58" t="s">
        <v>125</v>
      </c>
      <c r="C44" s="59">
        <v>8</v>
      </c>
      <c r="D44" s="60" t="s">
        <v>41</v>
      </c>
      <c r="E44" s="60">
        <v>11.16</v>
      </c>
      <c r="F44" s="60">
        <v>24.02</v>
      </c>
      <c r="G44" s="60">
        <v>35.18</v>
      </c>
      <c r="H44" s="61">
        <v>89.28</v>
      </c>
      <c r="I44" s="61">
        <v>192.16</v>
      </c>
      <c r="J44" s="62">
        <v>281.44</v>
      </c>
      <c r="M44" s="75"/>
      <c r="N44" s="76"/>
      <c r="V44" s="56">
        <v>13</v>
      </c>
      <c r="W44" s="56" t="s">
        <v>41</v>
      </c>
      <c r="X44" s="64">
        <v>16.91</v>
      </c>
      <c r="Y44" s="64">
        <v>19.55</v>
      </c>
      <c r="Z44" s="64">
        <f t="shared" si="3"/>
        <v>36.46</v>
      </c>
      <c r="AB44" s="56">
        <v>13</v>
      </c>
      <c r="AC44" s="56" t="s">
        <v>41</v>
      </c>
      <c r="AD44" s="64">
        <v>21.56</v>
      </c>
      <c r="AE44" s="64">
        <v>24.93</v>
      </c>
      <c r="AF44" s="64">
        <f t="shared" si="4"/>
        <v>46.489999999999995</v>
      </c>
      <c r="AH44" s="65">
        <f t="shared" si="2"/>
        <v>-0.48237476808905377</v>
      </c>
      <c r="AI44" s="65">
        <f t="shared" si="2"/>
        <v>-3.6502206177296381E-2</v>
      </c>
      <c r="AJ44" s="65">
        <f t="shared" si="2"/>
        <v>-0.24327812432781237</v>
      </c>
    </row>
    <row r="45" spans="1:36" x14ac:dyDescent="0.3">
      <c r="A45" s="57" t="s">
        <v>126</v>
      </c>
      <c r="B45" s="58" t="s">
        <v>127</v>
      </c>
      <c r="C45" s="59">
        <v>1</v>
      </c>
      <c r="D45" s="60" t="s">
        <v>71</v>
      </c>
      <c r="E45" s="60">
        <v>0.37</v>
      </c>
      <c r="F45" s="60">
        <v>7.81</v>
      </c>
      <c r="G45" s="60">
        <v>8.18</v>
      </c>
      <c r="H45" s="61">
        <v>0.37</v>
      </c>
      <c r="I45" s="61">
        <v>7.81</v>
      </c>
      <c r="J45" s="62">
        <v>8.18</v>
      </c>
      <c r="M45" s="75"/>
      <c r="N45" s="76"/>
      <c r="V45" s="56">
        <v>1</v>
      </c>
      <c r="W45" s="56" t="s">
        <v>71</v>
      </c>
      <c r="X45" s="64">
        <v>0.43</v>
      </c>
      <c r="Y45" s="64">
        <v>7.19</v>
      </c>
      <c r="Z45" s="64">
        <f t="shared" si="3"/>
        <v>7.62</v>
      </c>
      <c r="AB45" s="56">
        <v>1</v>
      </c>
      <c r="AC45" s="56" t="s">
        <v>71</v>
      </c>
      <c r="AD45" s="64">
        <v>0.55000000000000004</v>
      </c>
      <c r="AE45" s="64">
        <v>9.17</v>
      </c>
      <c r="AF45" s="64">
        <f t="shared" si="4"/>
        <v>9.7200000000000006</v>
      </c>
      <c r="AH45" s="65">
        <f t="shared" si="2"/>
        <v>-0.32727272727272738</v>
      </c>
      <c r="AI45" s="65">
        <f t="shared" si="2"/>
        <v>-0.14830970556161405</v>
      </c>
      <c r="AJ45" s="65">
        <f t="shared" si="2"/>
        <v>-0.15843621399176966</v>
      </c>
    </row>
    <row r="46" spans="1:36" x14ac:dyDescent="0.3">
      <c r="A46" s="57" t="s">
        <v>128</v>
      </c>
      <c r="B46" s="58" t="s">
        <v>129</v>
      </c>
      <c r="C46" s="59">
        <v>1</v>
      </c>
      <c r="D46" s="60" t="s">
        <v>71</v>
      </c>
      <c r="E46" s="60">
        <v>0</v>
      </c>
      <c r="F46" s="60">
        <v>2.88</v>
      </c>
      <c r="G46" s="60">
        <v>2.88</v>
      </c>
      <c r="H46" s="61">
        <v>0</v>
      </c>
      <c r="I46" s="61">
        <v>2.88</v>
      </c>
      <c r="J46" s="62">
        <v>2.88</v>
      </c>
      <c r="M46" s="75"/>
      <c r="N46" s="76"/>
      <c r="V46" s="56">
        <v>1</v>
      </c>
      <c r="W46" s="56" t="s">
        <v>71</v>
      </c>
      <c r="X46" s="64">
        <v>0</v>
      </c>
      <c r="Y46" s="64">
        <v>2.5099999999999998</v>
      </c>
      <c r="Z46" s="64">
        <f t="shared" si="3"/>
        <v>2.5099999999999998</v>
      </c>
      <c r="AB46" s="56">
        <v>1</v>
      </c>
      <c r="AC46" s="56" t="s">
        <v>71</v>
      </c>
      <c r="AD46" s="64">
        <v>0</v>
      </c>
      <c r="AE46" s="64">
        <v>3.2</v>
      </c>
      <c r="AF46" s="64">
        <f t="shared" si="4"/>
        <v>3.2</v>
      </c>
      <c r="AH46" s="65">
        <f t="shared" si="2"/>
        <v>0</v>
      </c>
      <c r="AI46" s="65">
        <f t="shared" si="2"/>
        <v>-0.10000000000000009</v>
      </c>
      <c r="AJ46" s="65">
        <f t="shared" si="2"/>
        <v>-0.10000000000000009</v>
      </c>
    </row>
    <row r="47" spans="1:36" x14ac:dyDescent="0.3">
      <c r="A47" s="57" t="s">
        <v>130</v>
      </c>
      <c r="B47" s="58" t="s">
        <v>131</v>
      </c>
      <c r="C47" s="59">
        <v>15</v>
      </c>
      <c r="D47" s="60" t="s">
        <v>41</v>
      </c>
      <c r="E47" s="60">
        <v>87.3</v>
      </c>
      <c r="F47" s="60">
        <v>0</v>
      </c>
      <c r="G47" s="60">
        <v>87.3</v>
      </c>
      <c r="H47" s="61">
        <v>1309.5</v>
      </c>
      <c r="I47" s="61">
        <v>0</v>
      </c>
      <c r="J47" s="62">
        <v>1309.5</v>
      </c>
      <c r="M47" s="75"/>
      <c r="N47" s="76"/>
      <c r="V47" s="56">
        <v>1</v>
      </c>
      <c r="W47" s="56" t="s">
        <v>41</v>
      </c>
      <c r="X47" s="64">
        <v>99.64</v>
      </c>
      <c r="Y47" s="64">
        <v>0</v>
      </c>
      <c r="Z47" s="64">
        <f t="shared" si="3"/>
        <v>99.64</v>
      </c>
      <c r="AB47" s="56">
        <v>1</v>
      </c>
      <c r="AC47" s="56" t="s">
        <v>41</v>
      </c>
      <c r="AD47" s="64">
        <v>127.04</v>
      </c>
      <c r="AE47" s="64">
        <v>0</v>
      </c>
      <c r="AF47" s="64">
        <f t="shared" si="4"/>
        <v>127.04</v>
      </c>
      <c r="AH47" s="65">
        <f t="shared" si="2"/>
        <v>-0.31281486146095727</v>
      </c>
      <c r="AI47" s="65">
        <f t="shared" si="2"/>
        <v>0</v>
      </c>
      <c r="AJ47" s="65">
        <f t="shared" si="2"/>
        <v>-0.31281486146095727</v>
      </c>
    </row>
    <row r="48" spans="1:36" x14ac:dyDescent="0.3">
      <c r="A48" s="57" t="s">
        <v>132</v>
      </c>
      <c r="B48" s="58" t="s">
        <v>133</v>
      </c>
      <c r="C48" s="59">
        <v>1</v>
      </c>
      <c r="D48" s="60" t="s">
        <v>71</v>
      </c>
      <c r="E48" s="60">
        <v>0</v>
      </c>
      <c r="F48" s="60">
        <v>7.27</v>
      </c>
      <c r="G48" s="60">
        <v>7.27</v>
      </c>
      <c r="H48" s="61">
        <v>0</v>
      </c>
      <c r="I48" s="61">
        <v>7.27</v>
      </c>
      <c r="J48" s="62">
        <v>7.27</v>
      </c>
      <c r="M48" s="75"/>
      <c r="N48" s="76"/>
      <c r="V48" s="56">
        <v>1</v>
      </c>
      <c r="W48" s="56" t="s">
        <v>71</v>
      </c>
      <c r="X48" s="64">
        <v>0</v>
      </c>
      <c r="Y48" s="64">
        <v>6.98</v>
      </c>
      <c r="Z48" s="64">
        <f t="shared" si="3"/>
        <v>6.98</v>
      </c>
      <c r="AB48" s="56">
        <v>1</v>
      </c>
      <c r="AC48" s="56" t="s">
        <v>71</v>
      </c>
      <c r="AD48" s="64">
        <v>0</v>
      </c>
      <c r="AE48" s="64">
        <v>8.9</v>
      </c>
      <c r="AF48" s="64">
        <f t="shared" si="4"/>
        <v>8.9</v>
      </c>
      <c r="AH48" s="65">
        <f t="shared" si="2"/>
        <v>0</v>
      </c>
      <c r="AI48" s="65">
        <f t="shared" si="2"/>
        <v>-0.18314606741573036</v>
      </c>
      <c r="AJ48" s="65">
        <f t="shared" si="2"/>
        <v>-0.18314606741573036</v>
      </c>
    </row>
    <row r="49" spans="1:36" ht="28.8" x14ac:dyDescent="0.3">
      <c r="A49" s="57" t="s">
        <v>134</v>
      </c>
      <c r="B49" s="58" t="s">
        <v>135</v>
      </c>
      <c r="C49" s="59">
        <v>2</v>
      </c>
      <c r="D49" s="60" t="s">
        <v>71</v>
      </c>
      <c r="E49" s="60">
        <v>0</v>
      </c>
      <c r="F49" s="60">
        <v>24.25</v>
      </c>
      <c r="G49" s="60">
        <v>24.25</v>
      </c>
      <c r="H49" s="61">
        <v>0</v>
      </c>
      <c r="I49" s="61">
        <v>48.5</v>
      </c>
      <c r="J49" s="62">
        <v>48.5</v>
      </c>
      <c r="M49" s="75"/>
      <c r="N49" s="76"/>
      <c r="V49" s="56">
        <v>1</v>
      </c>
      <c r="W49" s="56" t="s">
        <v>71</v>
      </c>
      <c r="X49" s="64">
        <v>0</v>
      </c>
      <c r="Y49" s="64">
        <v>21.29</v>
      </c>
      <c r="Z49" s="64">
        <f t="shared" si="3"/>
        <v>21.29</v>
      </c>
      <c r="AB49" s="56">
        <v>1</v>
      </c>
      <c r="AC49" s="56" t="s">
        <v>71</v>
      </c>
      <c r="AD49" s="64">
        <v>0</v>
      </c>
      <c r="AE49" s="64">
        <v>27.14</v>
      </c>
      <c r="AF49" s="64">
        <f t="shared" si="4"/>
        <v>27.14</v>
      </c>
      <c r="AH49" s="65">
        <f t="shared" si="2"/>
        <v>0</v>
      </c>
      <c r="AI49" s="65">
        <f t="shared" si="2"/>
        <v>-0.106484893146647</v>
      </c>
      <c r="AJ49" s="65">
        <f t="shared" si="2"/>
        <v>-0.106484893146647</v>
      </c>
    </row>
    <row r="50" spans="1:36" ht="28.8" x14ac:dyDescent="0.3">
      <c r="A50" s="57" t="s">
        <v>136</v>
      </c>
      <c r="B50" s="58" t="s">
        <v>137</v>
      </c>
      <c r="C50" s="59">
        <v>1</v>
      </c>
      <c r="D50" s="60" t="s">
        <v>71</v>
      </c>
      <c r="E50" s="60">
        <v>3.02</v>
      </c>
      <c r="F50" s="60">
        <v>10.02</v>
      </c>
      <c r="G50" s="60">
        <v>13.04</v>
      </c>
      <c r="H50" s="61">
        <v>3.02</v>
      </c>
      <c r="I50" s="61">
        <v>10.02</v>
      </c>
      <c r="J50" s="62">
        <v>13.04</v>
      </c>
      <c r="M50" s="75"/>
      <c r="N50" s="76"/>
      <c r="V50" s="56">
        <v>1</v>
      </c>
      <c r="W50" s="56" t="s">
        <v>71</v>
      </c>
      <c r="X50" s="64">
        <v>3.05</v>
      </c>
      <c r="Y50" s="64">
        <v>8.8000000000000007</v>
      </c>
      <c r="Z50" s="64">
        <f t="shared" si="3"/>
        <v>11.850000000000001</v>
      </c>
      <c r="AB50" s="56">
        <v>1</v>
      </c>
      <c r="AC50" s="56" t="s">
        <v>71</v>
      </c>
      <c r="AD50" s="64">
        <v>3.89</v>
      </c>
      <c r="AE50" s="64">
        <v>11.22</v>
      </c>
      <c r="AF50" s="64">
        <f t="shared" si="4"/>
        <v>15.110000000000001</v>
      </c>
      <c r="AH50" s="65">
        <f t="shared" si="2"/>
        <v>-0.2236503856041131</v>
      </c>
      <c r="AI50" s="65">
        <f t="shared" si="2"/>
        <v>-0.10695187165775411</v>
      </c>
      <c r="AJ50" s="65">
        <f t="shared" si="2"/>
        <v>-0.1369953673064197</v>
      </c>
    </row>
    <row r="51" spans="1:36" x14ac:dyDescent="0.3">
      <c r="A51" s="57" t="s">
        <v>138</v>
      </c>
      <c r="B51" s="58" t="s">
        <v>139</v>
      </c>
      <c r="C51" s="59">
        <v>1</v>
      </c>
      <c r="D51" s="60" t="s">
        <v>41</v>
      </c>
      <c r="E51" s="60">
        <v>0</v>
      </c>
      <c r="F51" s="60">
        <v>34.79</v>
      </c>
      <c r="G51" s="60">
        <v>34.79</v>
      </c>
      <c r="H51" s="61">
        <v>0</v>
      </c>
      <c r="I51" s="61">
        <v>34.79</v>
      </c>
      <c r="J51" s="62">
        <v>34.79</v>
      </c>
      <c r="M51" s="75"/>
      <c r="N51" s="76"/>
      <c r="V51" s="56">
        <v>1</v>
      </c>
      <c r="W51" s="56" t="s">
        <v>41</v>
      </c>
      <c r="X51" s="64">
        <v>0</v>
      </c>
      <c r="Y51" s="64">
        <v>28.89</v>
      </c>
      <c r="Z51" s="64">
        <f t="shared" si="3"/>
        <v>28.89</v>
      </c>
      <c r="AB51" s="56">
        <v>1</v>
      </c>
      <c r="AC51" s="56" t="s">
        <v>41</v>
      </c>
      <c r="AD51" s="64">
        <v>0</v>
      </c>
      <c r="AE51" s="64">
        <v>36.83</v>
      </c>
      <c r="AF51" s="64">
        <f t="shared" si="4"/>
        <v>36.83</v>
      </c>
      <c r="AH51" s="65">
        <f t="shared" si="2"/>
        <v>0</v>
      </c>
      <c r="AI51" s="65">
        <f t="shared" si="2"/>
        <v>-5.5389628020635295E-2</v>
      </c>
      <c r="AJ51" s="65">
        <f t="shared" si="2"/>
        <v>-5.5389628020635295E-2</v>
      </c>
    </row>
    <row r="52" spans="1:36" x14ac:dyDescent="0.3">
      <c r="A52" s="57" t="s">
        <v>140</v>
      </c>
      <c r="B52" s="58" t="s">
        <v>141</v>
      </c>
      <c r="C52" s="59">
        <v>1</v>
      </c>
      <c r="D52" s="60" t="s">
        <v>71</v>
      </c>
      <c r="E52" s="60">
        <v>2.2999999999999998</v>
      </c>
      <c r="F52" s="60">
        <v>3.79</v>
      </c>
      <c r="G52" s="60">
        <v>6.09</v>
      </c>
      <c r="H52" s="61">
        <v>2.2999999999999998</v>
      </c>
      <c r="I52" s="61">
        <v>3.79</v>
      </c>
      <c r="J52" s="62">
        <v>6.09</v>
      </c>
      <c r="M52" s="75"/>
      <c r="N52" s="76"/>
      <c r="V52" s="56">
        <v>1</v>
      </c>
      <c r="W52" s="56" t="s">
        <v>71</v>
      </c>
      <c r="X52" s="64">
        <v>2.71</v>
      </c>
      <c r="Y52" s="64">
        <v>3.44</v>
      </c>
      <c r="Z52" s="64">
        <f t="shared" si="3"/>
        <v>6.15</v>
      </c>
      <c r="AB52" s="56">
        <v>1</v>
      </c>
      <c r="AC52" s="56" t="s">
        <v>71</v>
      </c>
      <c r="AD52" s="64">
        <v>3.46</v>
      </c>
      <c r="AE52" s="64">
        <v>4.3899999999999997</v>
      </c>
      <c r="AF52" s="64">
        <f t="shared" si="4"/>
        <v>7.85</v>
      </c>
      <c r="AH52" s="65">
        <f t="shared" si="2"/>
        <v>-0.33526011560693647</v>
      </c>
      <c r="AI52" s="65">
        <f t="shared" si="2"/>
        <v>-0.13667425968109337</v>
      </c>
      <c r="AJ52" s="65">
        <f t="shared" si="2"/>
        <v>-0.22420382165605091</v>
      </c>
    </row>
    <row r="53" spans="1:36" x14ac:dyDescent="0.3">
      <c r="A53" s="69">
        <v>3</v>
      </c>
      <c r="B53" s="70" t="s">
        <v>142</v>
      </c>
      <c r="C53" s="71"/>
      <c r="D53" s="72"/>
      <c r="E53" s="72"/>
      <c r="F53" s="72"/>
      <c r="G53" s="72"/>
      <c r="H53" s="52">
        <v>2.0699999999999998</v>
      </c>
      <c r="I53" s="52">
        <v>117.21000000000001</v>
      </c>
      <c r="J53" s="52">
        <v>119.28</v>
      </c>
      <c r="M53" s="75"/>
      <c r="N53" s="76"/>
      <c r="V53" s="54"/>
      <c r="W53" s="54"/>
      <c r="X53" s="55"/>
      <c r="Y53" s="55"/>
      <c r="Z53" s="55"/>
      <c r="AB53" s="54"/>
      <c r="AC53" s="54"/>
      <c r="AD53" s="55"/>
      <c r="AE53" s="55"/>
      <c r="AF53" s="55"/>
      <c r="AH53" s="65">
        <f t="shared" si="2"/>
        <v>0</v>
      </c>
      <c r="AI53" s="65">
        <f t="shared" si="2"/>
        <v>0</v>
      </c>
      <c r="AJ53" s="65">
        <f t="shared" si="2"/>
        <v>0</v>
      </c>
    </row>
    <row r="54" spans="1:36" x14ac:dyDescent="0.3">
      <c r="A54" s="57" t="s">
        <v>143</v>
      </c>
      <c r="B54" s="58" t="s">
        <v>144</v>
      </c>
      <c r="C54" s="59">
        <v>1</v>
      </c>
      <c r="D54" s="60" t="s">
        <v>63</v>
      </c>
      <c r="E54" s="60">
        <v>0</v>
      </c>
      <c r="F54" s="60">
        <v>96.06</v>
      </c>
      <c r="G54" s="60">
        <v>96.06</v>
      </c>
      <c r="H54" s="61">
        <v>0</v>
      </c>
      <c r="I54" s="61">
        <v>96.06</v>
      </c>
      <c r="J54" s="62">
        <v>96.06</v>
      </c>
      <c r="M54" s="75"/>
      <c r="N54" s="76"/>
      <c r="V54" s="56">
        <v>1</v>
      </c>
      <c r="W54" s="56" t="s">
        <v>63</v>
      </c>
      <c r="X54" s="64">
        <v>0</v>
      </c>
      <c r="Y54" s="64">
        <v>78.2</v>
      </c>
      <c r="Z54" s="64">
        <f t="shared" ref="Z54:Z55" si="5">SUM(X54:Y54)</f>
        <v>78.2</v>
      </c>
      <c r="AB54" s="56">
        <v>1</v>
      </c>
      <c r="AC54" s="56" t="s">
        <v>63</v>
      </c>
      <c r="AD54" s="64">
        <v>0</v>
      </c>
      <c r="AE54" s="64">
        <v>99.71</v>
      </c>
      <c r="AF54" s="64">
        <f t="shared" ref="AF54:AF55" si="6">SUM(AD54:AE54)</f>
        <v>99.71</v>
      </c>
      <c r="AH54" s="65">
        <f t="shared" si="2"/>
        <v>0</v>
      </c>
      <c r="AI54" s="65">
        <f t="shared" si="2"/>
        <v>-3.6606157857787536E-2</v>
      </c>
      <c r="AJ54" s="65">
        <f t="shared" si="2"/>
        <v>-3.6606157857787536E-2</v>
      </c>
    </row>
    <row r="55" spans="1:36" x14ac:dyDescent="0.3">
      <c r="A55" s="57" t="s">
        <v>145</v>
      </c>
      <c r="B55" s="58" t="s">
        <v>146</v>
      </c>
      <c r="C55" s="59">
        <v>1</v>
      </c>
      <c r="D55" s="60" t="s">
        <v>63</v>
      </c>
      <c r="E55" s="60">
        <v>2.0699999999999998</v>
      </c>
      <c r="F55" s="60">
        <v>21.15</v>
      </c>
      <c r="G55" s="60">
        <v>23.22</v>
      </c>
      <c r="H55" s="61">
        <v>2.0699999999999998</v>
      </c>
      <c r="I55" s="61">
        <v>21.15</v>
      </c>
      <c r="J55" s="62">
        <v>23.22</v>
      </c>
      <c r="M55" s="75"/>
      <c r="N55" s="76"/>
      <c r="V55" s="56">
        <v>1</v>
      </c>
      <c r="W55" s="56" t="s">
        <v>63</v>
      </c>
      <c r="X55" s="64">
        <v>2.2999999999999998</v>
      </c>
      <c r="Y55" s="64">
        <v>17.22</v>
      </c>
      <c r="Z55" s="64">
        <f t="shared" si="5"/>
        <v>19.52</v>
      </c>
      <c r="AB55" s="56">
        <v>1</v>
      </c>
      <c r="AC55" s="56" t="s">
        <v>63</v>
      </c>
      <c r="AD55" s="64">
        <v>2.93</v>
      </c>
      <c r="AE55" s="64">
        <v>21.96</v>
      </c>
      <c r="AF55" s="64">
        <f t="shared" si="6"/>
        <v>24.89</v>
      </c>
      <c r="AH55" s="65">
        <f t="shared" si="2"/>
        <v>-0.29351535836177489</v>
      </c>
      <c r="AI55" s="65">
        <f t="shared" si="2"/>
        <v>-3.6885245901639441E-2</v>
      </c>
      <c r="AJ55" s="65">
        <f t="shared" si="2"/>
        <v>-6.7095218963439174E-2</v>
      </c>
    </row>
    <row r="56" spans="1:36" x14ac:dyDescent="0.3">
      <c r="A56" s="69">
        <v>4</v>
      </c>
      <c r="B56" s="70" t="s">
        <v>147</v>
      </c>
      <c r="C56" s="71"/>
      <c r="D56" s="72"/>
      <c r="E56" s="72"/>
      <c r="F56" s="72"/>
      <c r="G56" s="72"/>
      <c r="H56" s="77">
        <v>0</v>
      </c>
      <c r="I56" s="77">
        <v>0</v>
      </c>
      <c r="J56" s="52">
        <v>0</v>
      </c>
      <c r="M56" s="75"/>
      <c r="N56" s="76"/>
      <c r="V56" s="54"/>
      <c r="W56" s="54"/>
      <c r="X56" s="55"/>
      <c r="Y56" s="55"/>
      <c r="Z56" s="55"/>
      <c r="AB56" s="54"/>
      <c r="AC56" s="54"/>
      <c r="AD56" s="55"/>
      <c r="AE56" s="55"/>
      <c r="AF56" s="55"/>
      <c r="AH56" s="65">
        <f t="shared" si="2"/>
        <v>0</v>
      </c>
      <c r="AI56" s="65">
        <f t="shared" si="2"/>
        <v>0</v>
      </c>
      <c r="AJ56" s="65">
        <f t="shared" si="2"/>
        <v>0</v>
      </c>
    </row>
    <row r="57" spans="1:36" x14ac:dyDescent="0.3">
      <c r="A57" s="69">
        <v>5</v>
      </c>
      <c r="B57" s="70" t="s">
        <v>148</v>
      </c>
      <c r="C57" s="71"/>
      <c r="D57" s="72"/>
      <c r="E57" s="72"/>
      <c r="F57" s="72"/>
      <c r="G57" s="72"/>
      <c r="H57" s="52">
        <v>17598.690000000002</v>
      </c>
      <c r="I57" s="52">
        <v>6394.02</v>
      </c>
      <c r="J57" s="52">
        <v>23992.71</v>
      </c>
      <c r="M57" s="75"/>
      <c r="N57" s="76"/>
      <c r="V57" s="54"/>
      <c r="W57" s="54"/>
      <c r="X57" s="55"/>
      <c r="Y57" s="55"/>
      <c r="Z57" s="55"/>
      <c r="AB57" s="54"/>
      <c r="AC57" s="54"/>
      <c r="AD57" s="55"/>
      <c r="AE57" s="55"/>
      <c r="AF57" s="55"/>
      <c r="AH57" s="65">
        <f t="shared" si="2"/>
        <v>0</v>
      </c>
      <c r="AI57" s="65">
        <f t="shared" si="2"/>
        <v>0</v>
      </c>
      <c r="AJ57" s="65">
        <f t="shared" si="2"/>
        <v>0</v>
      </c>
    </row>
    <row r="58" spans="1:36" x14ac:dyDescent="0.3">
      <c r="A58" s="78" t="s">
        <v>149</v>
      </c>
      <c r="B58" s="58" t="s">
        <v>150</v>
      </c>
      <c r="C58" s="59">
        <v>9</v>
      </c>
      <c r="D58" s="60" t="s">
        <v>63</v>
      </c>
      <c r="E58" s="60">
        <v>705.92</v>
      </c>
      <c r="F58" s="60">
        <v>66.13</v>
      </c>
      <c r="G58" s="60">
        <v>772.05</v>
      </c>
      <c r="H58" s="61">
        <v>6353.28</v>
      </c>
      <c r="I58" s="61">
        <v>595.16999999999996</v>
      </c>
      <c r="J58" s="62">
        <v>6948.45</v>
      </c>
      <c r="M58" s="75"/>
      <c r="N58" s="76"/>
      <c r="V58" s="56">
        <v>1</v>
      </c>
      <c r="W58" s="56" t="s">
        <v>63</v>
      </c>
      <c r="X58" s="64">
        <v>991.66</v>
      </c>
      <c r="Y58" s="64">
        <v>55.57</v>
      </c>
      <c r="Z58" s="64">
        <f>SUM(X58:Y58)</f>
        <v>1047.23</v>
      </c>
      <c r="AB58" s="56">
        <v>1</v>
      </c>
      <c r="AC58" s="56" t="s">
        <v>63</v>
      </c>
      <c r="AD58" s="64">
        <v>1264.3699999999999</v>
      </c>
      <c r="AE58" s="64">
        <v>70.849999999999994</v>
      </c>
      <c r="AF58" s="64">
        <f>SUM(AD58:AE58)</f>
        <v>1335.2199999999998</v>
      </c>
      <c r="AH58" s="65">
        <f t="shared" si="2"/>
        <v>-0.44168241891218551</v>
      </c>
      <c r="AI58" s="65">
        <f t="shared" si="2"/>
        <v>-6.6619618913196899E-2</v>
      </c>
      <c r="AJ58" s="65">
        <f t="shared" si="2"/>
        <v>-0.42178068033732263</v>
      </c>
    </row>
    <row r="59" spans="1:36" x14ac:dyDescent="0.3">
      <c r="A59" s="78" t="s">
        <v>151</v>
      </c>
      <c r="B59" s="58" t="s">
        <v>152</v>
      </c>
      <c r="C59" s="59">
        <v>33</v>
      </c>
      <c r="D59" s="60" t="s">
        <v>71</v>
      </c>
      <c r="E59" s="60">
        <v>132.78</v>
      </c>
      <c r="F59" s="60">
        <v>65.11</v>
      </c>
      <c r="G59" s="60">
        <v>197.89</v>
      </c>
      <c r="H59" s="61">
        <v>4381.74</v>
      </c>
      <c r="I59" s="61">
        <v>2148.63</v>
      </c>
      <c r="J59" s="62">
        <v>6530.37</v>
      </c>
      <c r="M59" s="75"/>
      <c r="N59" s="76"/>
      <c r="V59" s="56">
        <v>1</v>
      </c>
      <c r="W59" s="56" t="s">
        <v>71</v>
      </c>
      <c r="X59" s="64">
        <v>169.24</v>
      </c>
      <c r="Y59" s="64">
        <v>62.02</v>
      </c>
      <c r="Z59" s="64">
        <f>SUM(X59:Y59)</f>
        <v>231.26000000000002</v>
      </c>
      <c r="AB59" s="56">
        <v>1</v>
      </c>
      <c r="AC59" s="56" t="s">
        <v>71</v>
      </c>
      <c r="AD59" s="64">
        <v>215.78</v>
      </c>
      <c r="AE59" s="64">
        <v>79.08</v>
      </c>
      <c r="AF59" s="64">
        <f>SUM(AD59:AE59)</f>
        <v>294.86</v>
      </c>
      <c r="AH59" s="65">
        <f t="shared" si="2"/>
        <v>-0.38465103346000551</v>
      </c>
      <c r="AI59" s="65">
        <f t="shared" si="2"/>
        <v>-0.17665655032878103</v>
      </c>
      <c r="AJ59" s="65">
        <f t="shared" si="2"/>
        <v>-0.3288679373261888</v>
      </c>
    </row>
    <row r="60" spans="1:36" x14ac:dyDescent="0.3">
      <c r="A60" s="78" t="s">
        <v>153</v>
      </c>
      <c r="B60" s="58" t="s">
        <v>154</v>
      </c>
      <c r="C60" s="59">
        <v>27</v>
      </c>
      <c r="D60" s="60" t="s">
        <v>71</v>
      </c>
      <c r="E60" s="60">
        <v>97.55</v>
      </c>
      <c r="F60" s="60">
        <v>56.28</v>
      </c>
      <c r="G60" s="60">
        <v>153.82999999999998</v>
      </c>
      <c r="H60" s="61">
        <v>2633.85</v>
      </c>
      <c r="I60" s="61">
        <v>1519.56</v>
      </c>
      <c r="J60" s="62">
        <v>4153.41</v>
      </c>
      <c r="M60" s="75"/>
      <c r="N60" s="76"/>
      <c r="V60" s="56">
        <v>1</v>
      </c>
      <c r="W60" s="56" t="s">
        <v>71</v>
      </c>
      <c r="X60" s="64">
        <v>105.41</v>
      </c>
      <c r="Y60" s="64">
        <v>53.62</v>
      </c>
      <c r="Z60" s="64">
        <f>SUM(X60:Y60)</f>
        <v>159.03</v>
      </c>
      <c r="AB60" s="56">
        <v>1</v>
      </c>
      <c r="AC60" s="56" t="s">
        <v>71</v>
      </c>
      <c r="AD60" s="64">
        <v>134.4</v>
      </c>
      <c r="AE60" s="64">
        <v>68.37</v>
      </c>
      <c r="AF60" s="64">
        <f>SUM(AD60:AE60)</f>
        <v>202.77</v>
      </c>
      <c r="AH60" s="65">
        <f t="shared" si="2"/>
        <v>-0.27418154761904767</v>
      </c>
      <c r="AI60" s="65">
        <f t="shared" si="2"/>
        <v>-0.17683194383501544</v>
      </c>
      <c r="AJ60" s="65">
        <f t="shared" si="2"/>
        <v>-0.2413572027420231</v>
      </c>
    </row>
    <row r="61" spans="1:36" x14ac:dyDescent="0.3">
      <c r="A61" s="78" t="s">
        <v>155</v>
      </c>
      <c r="B61" s="58" t="s">
        <v>156</v>
      </c>
      <c r="C61" s="59">
        <v>63</v>
      </c>
      <c r="D61" s="60" t="s">
        <v>71</v>
      </c>
      <c r="E61" s="60">
        <v>67.14</v>
      </c>
      <c r="F61" s="60">
        <v>33.82</v>
      </c>
      <c r="G61" s="60">
        <v>100.96000000000001</v>
      </c>
      <c r="H61" s="61">
        <v>4229.82</v>
      </c>
      <c r="I61" s="61">
        <v>2130.66</v>
      </c>
      <c r="J61" s="62">
        <v>6360.4800000000005</v>
      </c>
      <c r="M61" s="75"/>
      <c r="N61" s="76"/>
      <c r="V61" s="56">
        <v>1</v>
      </c>
      <c r="W61" s="56" t="s">
        <v>71</v>
      </c>
      <c r="X61" s="64">
        <v>89.86</v>
      </c>
      <c r="Y61" s="64">
        <v>28.72</v>
      </c>
      <c r="Z61" s="64">
        <f>SUM(X61:Y61)</f>
        <v>118.58</v>
      </c>
      <c r="AB61" s="56">
        <v>1</v>
      </c>
      <c r="AC61" s="56" t="s">
        <v>71</v>
      </c>
      <c r="AD61" s="64">
        <v>114.57</v>
      </c>
      <c r="AE61" s="64">
        <v>36.619999999999997</v>
      </c>
      <c r="AF61" s="64">
        <f>SUM(AD61:AE61)</f>
        <v>151.19</v>
      </c>
      <c r="AH61" s="65">
        <f t="shared" si="2"/>
        <v>-0.41398271798900232</v>
      </c>
      <c r="AI61" s="65">
        <f t="shared" si="2"/>
        <v>-7.6460950300382247E-2</v>
      </c>
      <c r="AJ61" s="65">
        <f t="shared" si="2"/>
        <v>-0.33223096765659099</v>
      </c>
    </row>
    <row r="62" spans="1:36" x14ac:dyDescent="0.3">
      <c r="A62" s="69">
        <v>6</v>
      </c>
      <c r="B62" s="70" t="s">
        <v>157</v>
      </c>
      <c r="C62" s="71"/>
      <c r="D62" s="72"/>
      <c r="E62" s="72"/>
      <c r="F62" s="72"/>
      <c r="G62" s="72"/>
      <c r="H62" s="52">
        <v>24987.5</v>
      </c>
      <c r="I62" s="52">
        <v>10927.61</v>
      </c>
      <c r="J62" s="52">
        <v>35915.11</v>
      </c>
      <c r="M62" s="75"/>
      <c r="N62" s="76"/>
      <c r="V62" s="54"/>
      <c r="W62" s="54"/>
      <c r="X62" s="55"/>
      <c r="Y62" s="55"/>
      <c r="Z62" s="55"/>
      <c r="AB62" s="54"/>
      <c r="AC62" s="54"/>
      <c r="AD62" s="55"/>
      <c r="AE62" s="55"/>
      <c r="AF62" s="55"/>
      <c r="AH62" s="65">
        <f t="shared" si="2"/>
        <v>0</v>
      </c>
      <c r="AI62" s="65">
        <f t="shared" si="2"/>
        <v>0</v>
      </c>
      <c r="AJ62" s="65">
        <f t="shared" si="2"/>
        <v>0</v>
      </c>
    </row>
    <row r="63" spans="1:36" x14ac:dyDescent="0.3">
      <c r="A63" s="78" t="s">
        <v>158</v>
      </c>
      <c r="B63" s="58" t="s">
        <v>159</v>
      </c>
      <c r="C63" s="59">
        <v>124</v>
      </c>
      <c r="D63" s="60" t="s">
        <v>71</v>
      </c>
      <c r="E63" s="60">
        <v>25.27</v>
      </c>
      <c r="F63" s="60">
        <v>47.3</v>
      </c>
      <c r="G63" s="60">
        <v>72.569999999999993</v>
      </c>
      <c r="H63" s="61">
        <v>3133.48</v>
      </c>
      <c r="I63" s="61">
        <v>5865.2</v>
      </c>
      <c r="J63" s="62">
        <v>8998.6799999999985</v>
      </c>
      <c r="M63" s="75"/>
      <c r="N63" s="76"/>
      <c r="V63" s="56">
        <v>43</v>
      </c>
      <c r="W63" s="56" t="s">
        <v>71</v>
      </c>
      <c r="X63" s="64">
        <v>28.24</v>
      </c>
      <c r="Y63" s="64">
        <v>43.13</v>
      </c>
      <c r="Z63" s="64">
        <f>SUM(X63:Y63)</f>
        <v>71.37</v>
      </c>
      <c r="AB63" s="56">
        <v>43</v>
      </c>
      <c r="AC63" s="56" t="s">
        <v>71</v>
      </c>
      <c r="AD63" s="64">
        <v>36.01</v>
      </c>
      <c r="AE63" s="64">
        <v>54.99</v>
      </c>
      <c r="AF63" s="64">
        <f>SUM(AD63:AE63)</f>
        <v>91</v>
      </c>
      <c r="AH63" s="65">
        <f t="shared" si="2"/>
        <v>-0.2982504859761177</v>
      </c>
      <c r="AI63" s="65">
        <f t="shared" si="2"/>
        <v>-0.13984360792871442</v>
      </c>
      <c r="AJ63" s="65">
        <f t="shared" si="2"/>
        <v>-0.20252747252747261</v>
      </c>
    </row>
    <row r="64" spans="1:36" x14ac:dyDescent="0.3">
      <c r="A64" s="78" t="s">
        <v>160</v>
      </c>
      <c r="B64" s="58" t="s">
        <v>161</v>
      </c>
      <c r="C64" s="59">
        <v>167</v>
      </c>
      <c r="D64" s="60" t="s">
        <v>71</v>
      </c>
      <c r="E64" s="60">
        <v>120.02</v>
      </c>
      <c r="F64" s="60">
        <v>14.23</v>
      </c>
      <c r="G64" s="60">
        <v>134.25</v>
      </c>
      <c r="H64" s="61">
        <v>20043.34</v>
      </c>
      <c r="I64" s="61">
        <v>2376.41</v>
      </c>
      <c r="J64" s="62">
        <v>22419.75</v>
      </c>
      <c r="M64" s="75"/>
      <c r="N64" s="79"/>
      <c r="V64" s="56">
        <v>70</v>
      </c>
      <c r="W64" s="56" t="s">
        <v>71</v>
      </c>
      <c r="X64" s="64">
        <v>148.47999999999999</v>
      </c>
      <c r="Y64" s="64">
        <v>13.89</v>
      </c>
      <c r="Z64" s="64">
        <f>SUM(X64:Y64)</f>
        <v>162.37</v>
      </c>
      <c r="AB64" s="56">
        <v>70</v>
      </c>
      <c r="AC64" s="56" t="s">
        <v>71</v>
      </c>
      <c r="AD64" s="64">
        <v>189.31</v>
      </c>
      <c r="AE64" s="64">
        <v>17.71</v>
      </c>
      <c r="AF64" s="64">
        <f>SUM(AD64:AE64)</f>
        <v>207.02</v>
      </c>
      <c r="AH64" s="65">
        <f t="shared" si="2"/>
        <v>-0.36601341714647939</v>
      </c>
      <c r="AI64" s="65">
        <f t="shared" si="2"/>
        <v>-0.19649915302089216</v>
      </c>
      <c r="AJ64" s="65">
        <f t="shared" si="2"/>
        <v>-0.35151193121437541</v>
      </c>
    </row>
    <row r="65" spans="1:36" x14ac:dyDescent="0.3">
      <c r="A65" s="78" t="s">
        <v>162</v>
      </c>
      <c r="B65" s="58" t="s">
        <v>163</v>
      </c>
      <c r="C65" s="59">
        <v>79</v>
      </c>
      <c r="D65" s="60" t="s">
        <v>87</v>
      </c>
      <c r="E65" s="60">
        <v>22.92</v>
      </c>
      <c r="F65" s="60">
        <v>34</v>
      </c>
      <c r="G65" s="60">
        <v>56.92</v>
      </c>
      <c r="H65" s="61">
        <v>1810.68</v>
      </c>
      <c r="I65" s="61">
        <v>2686</v>
      </c>
      <c r="J65" s="62">
        <v>4496.68</v>
      </c>
      <c r="M65" s="75"/>
      <c r="N65" s="79"/>
      <c r="V65" s="56">
        <v>48</v>
      </c>
      <c r="W65" s="56" t="s">
        <v>87</v>
      </c>
      <c r="X65" s="64">
        <v>26.3</v>
      </c>
      <c r="Y65" s="64">
        <v>30.01</v>
      </c>
      <c r="Z65" s="64">
        <f>SUM(X65:Y65)</f>
        <v>56.31</v>
      </c>
      <c r="AB65" s="56">
        <v>48</v>
      </c>
      <c r="AC65" s="56" t="s">
        <v>87</v>
      </c>
      <c r="AD65" s="64">
        <v>33.53</v>
      </c>
      <c r="AE65" s="64">
        <v>38.26</v>
      </c>
      <c r="AF65" s="64">
        <f>SUM(AD65:AE65)</f>
        <v>71.789999999999992</v>
      </c>
      <c r="AH65" s="65">
        <f t="shared" si="2"/>
        <v>-0.31643304503429759</v>
      </c>
      <c r="AI65" s="65">
        <f t="shared" si="2"/>
        <v>-0.1113434396236278</v>
      </c>
      <c r="AJ65" s="65">
        <f t="shared" si="2"/>
        <v>-0.2071319125226353</v>
      </c>
    </row>
    <row r="66" spans="1:36" x14ac:dyDescent="0.3">
      <c r="A66" s="69">
        <v>7</v>
      </c>
      <c r="B66" s="70" t="s">
        <v>164</v>
      </c>
      <c r="C66" s="71"/>
      <c r="D66" s="72"/>
      <c r="E66" s="72"/>
      <c r="F66" s="72"/>
      <c r="G66" s="72"/>
      <c r="H66" s="52">
        <v>65859.37999999999</v>
      </c>
      <c r="I66" s="52">
        <v>25189.090000000007</v>
      </c>
      <c r="J66" s="52">
        <v>91048.469999999987</v>
      </c>
      <c r="M66" s="75"/>
      <c r="N66" s="79"/>
      <c r="V66" s="54"/>
      <c r="W66" s="54"/>
      <c r="X66" s="55"/>
      <c r="Y66" s="55"/>
      <c r="Z66" s="55"/>
      <c r="AB66" s="54"/>
      <c r="AC66" s="54"/>
      <c r="AD66" s="55"/>
      <c r="AE66" s="55"/>
      <c r="AF66" s="55"/>
      <c r="AH66" s="65">
        <f t="shared" si="2"/>
        <v>0</v>
      </c>
      <c r="AI66" s="65">
        <f t="shared" si="2"/>
        <v>0</v>
      </c>
      <c r="AJ66" s="65">
        <f t="shared" si="2"/>
        <v>0</v>
      </c>
    </row>
    <row r="67" spans="1:36" x14ac:dyDescent="0.3">
      <c r="A67" s="78" t="s">
        <v>165</v>
      </c>
      <c r="B67" s="58" t="s">
        <v>166</v>
      </c>
      <c r="C67" s="59">
        <v>266</v>
      </c>
      <c r="D67" s="60" t="s">
        <v>71</v>
      </c>
      <c r="E67" s="60">
        <v>77.680000000000007</v>
      </c>
      <c r="F67" s="60">
        <v>14.53</v>
      </c>
      <c r="G67" s="60">
        <v>92.210000000000008</v>
      </c>
      <c r="H67" s="61">
        <v>20662.88</v>
      </c>
      <c r="I67" s="61">
        <v>3864.98</v>
      </c>
      <c r="J67" s="62">
        <v>24527.86</v>
      </c>
      <c r="M67" s="75"/>
      <c r="N67" s="76"/>
      <c r="V67" s="56">
        <v>40</v>
      </c>
      <c r="W67" s="56" t="s">
        <v>71</v>
      </c>
      <c r="X67" s="64">
        <v>113.88</v>
      </c>
      <c r="Y67" s="64">
        <v>13.78</v>
      </c>
      <c r="Z67" s="64">
        <f t="shared" ref="Z67:Z81" si="7">SUM(X67:Y67)</f>
        <v>127.66</v>
      </c>
      <c r="AB67" s="56">
        <v>40</v>
      </c>
      <c r="AC67" s="56" t="s">
        <v>71</v>
      </c>
      <c r="AD67" s="64">
        <v>145.19999999999999</v>
      </c>
      <c r="AE67" s="64">
        <v>17.57</v>
      </c>
      <c r="AF67" s="64">
        <f t="shared" ref="AF67:AF81" si="8">SUM(AD67:AE67)</f>
        <v>162.76999999999998</v>
      </c>
      <c r="AH67" s="65">
        <f t="shared" si="2"/>
        <v>-0.46501377410468314</v>
      </c>
      <c r="AI67" s="65">
        <f t="shared" si="2"/>
        <v>-0.1730221969265795</v>
      </c>
      <c r="AJ67" s="65">
        <f t="shared" si="2"/>
        <v>-0.43349511580758116</v>
      </c>
    </row>
    <row r="68" spans="1:36" x14ac:dyDescent="0.3">
      <c r="A68" s="78" t="s">
        <v>167</v>
      </c>
      <c r="B68" s="58" t="s">
        <v>168</v>
      </c>
      <c r="C68" s="59">
        <v>12</v>
      </c>
      <c r="D68" s="60" t="s">
        <v>71</v>
      </c>
      <c r="E68" s="60">
        <v>149.30000000000001</v>
      </c>
      <c r="F68" s="60">
        <v>11.63</v>
      </c>
      <c r="G68" s="60">
        <v>160.93</v>
      </c>
      <c r="H68" s="61">
        <v>1791.6000000000001</v>
      </c>
      <c r="I68" s="61">
        <v>139.56</v>
      </c>
      <c r="J68" s="62">
        <v>1931.16</v>
      </c>
      <c r="M68" s="75"/>
      <c r="N68" s="76"/>
      <c r="V68" s="56">
        <v>38</v>
      </c>
      <c r="W68" s="56" t="s">
        <v>71</v>
      </c>
      <c r="X68" s="64">
        <v>137.6</v>
      </c>
      <c r="Y68" s="64">
        <v>10.47</v>
      </c>
      <c r="Z68" s="64">
        <f t="shared" si="7"/>
        <v>148.07</v>
      </c>
      <c r="AB68" s="56">
        <v>38</v>
      </c>
      <c r="AC68" s="56" t="s">
        <v>71</v>
      </c>
      <c r="AD68" s="64">
        <v>175.44</v>
      </c>
      <c r="AE68" s="64">
        <v>13.35</v>
      </c>
      <c r="AF68" s="64">
        <f t="shared" si="8"/>
        <v>188.79</v>
      </c>
      <c r="AH68" s="65">
        <f t="shared" si="2"/>
        <v>-0.14899680802553572</v>
      </c>
      <c r="AI68" s="65">
        <f t="shared" si="2"/>
        <v>-0.12883895131086132</v>
      </c>
      <c r="AJ68" s="65">
        <f t="shared" si="2"/>
        <v>-0.1475713756025212</v>
      </c>
    </row>
    <row r="69" spans="1:36" x14ac:dyDescent="0.3">
      <c r="A69" s="78" t="s">
        <v>169</v>
      </c>
      <c r="B69" s="58" t="s">
        <v>170</v>
      </c>
      <c r="C69" s="59">
        <v>1</v>
      </c>
      <c r="D69" s="60" t="s">
        <v>87</v>
      </c>
      <c r="E69" s="60">
        <v>110.07</v>
      </c>
      <c r="F69" s="60">
        <v>6.34</v>
      </c>
      <c r="G69" s="60">
        <v>116.41</v>
      </c>
      <c r="H69" s="61">
        <v>110.07</v>
      </c>
      <c r="I69" s="61">
        <v>6.34</v>
      </c>
      <c r="J69" s="62">
        <v>116.41</v>
      </c>
      <c r="M69" s="75"/>
      <c r="N69" s="76"/>
      <c r="V69" s="56">
        <v>1</v>
      </c>
      <c r="W69" s="56" t="s">
        <v>87</v>
      </c>
      <c r="X69" s="64">
        <v>126.88</v>
      </c>
      <c r="Y69" s="64">
        <v>5.71</v>
      </c>
      <c r="Z69" s="64">
        <f t="shared" si="7"/>
        <v>132.59</v>
      </c>
      <c r="AB69" s="56">
        <v>1</v>
      </c>
      <c r="AC69" s="56" t="s">
        <v>87</v>
      </c>
      <c r="AD69" s="64">
        <v>161.77000000000001</v>
      </c>
      <c r="AE69" s="64">
        <v>7.28</v>
      </c>
      <c r="AF69" s="64">
        <f t="shared" si="8"/>
        <v>169.05</v>
      </c>
      <c r="AH69" s="65">
        <f t="shared" si="2"/>
        <v>-0.31958954070594059</v>
      </c>
      <c r="AI69" s="65">
        <f t="shared" si="2"/>
        <v>-0.12912087912087922</v>
      </c>
      <c r="AJ69" s="65">
        <f t="shared" si="2"/>
        <v>-0.31138716356107665</v>
      </c>
    </row>
    <row r="70" spans="1:36" x14ac:dyDescent="0.3">
      <c r="A70" s="78" t="s">
        <v>171</v>
      </c>
      <c r="B70" s="58" t="s">
        <v>172</v>
      </c>
      <c r="C70" s="59">
        <v>33</v>
      </c>
      <c r="D70" s="60" t="s">
        <v>71</v>
      </c>
      <c r="E70" s="60">
        <v>45.5</v>
      </c>
      <c r="F70" s="60">
        <v>12.51</v>
      </c>
      <c r="G70" s="60">
        <v>58.01</v>
      </c>
      <c r="H70" s="61">
        <v>1501.5</v>
      </c>
      <c r="I70" s="61">
        <v>412.83</v>
      </c>
      <c r="J70" s="62">
        <v>1914.33</v>
      </c>
      <c r="M70" s="75"/>
      <c r="N70" s="76"/>
      <c r="V70" s="56">
        <v>72</v>
      </c>
      <c r="W70" s="56" t="s">
        <v>71</v>
      </c>
      <c r="X70" s="64">
        <v>41.46</v>
      </c>
      <c r="Y70" s="64">
        <v>10.97</v>
      </c>
      <c r="Z70" s="64">
        <f t="shared" si="7"/>
        <v>52.43</v>
      </c>
      <c r="AB70" s="56">
        <v>72</v>
      </c>
      <c r="AC70" s="56" t="s">
        <v>71</v>
      </c>
      <c r="AD70" s="64">
        <v>52.86</v>
      </c>
      <c r="AE70" s="64">
        <v>13.99</v>
      </c>
      <c r="AF70" s="64">
        <f t="shared" si="8"/>
        <v>66.849999999999994</v>
      </c>
      <c r="AH70" s="65">
        <f t="shared" si="2"/>
        <v>-0.13923571698827086</v>
      </c>
      <c r="AI70" s="65">
        <f t="shared" si="2"/>
        <v>-0.10578984989278062</v>
      </c>
      <c r="AJ70" s="65">
        <f t="shared" si="2"/>
        <v>-0.13223635003739709</v>
      </c>
    </row>
    <row r="71" spans="1:36" x14ac:dyDescent="0.3">
      <c r="A71" s="78" t="s">
        <v>173</v>
      </c>
      <c r="B71" s="58" t="s">
        <v>174</v>
      </c>
      <c r="C71" s="59">
        <v>11</v>
      </c>
      <c r="D71" s="60" t="s">
        <v>87</v>
      </c>
      <c r="E71" s="60">
        <v>19.059999999999999</v>
      </c>
      <c r="F71" s="60">
        <v>26.93</v>
      </c>
      <c r="G71" s="60">
        <v>45.989999999999995</v>
      </c>
      <c r="H71" s="61">
        <v>209.66</v>
      </c>
      <c r="I71" s="61">
        <v>296.23</v>
      </c>
      <c r="J71" s="62">
        <v>505.88999999999993</v>
      </c>
      <c r="M71" s="75"/>
      <c r="N71" s="79"/>
      <c r="V71" s="56">
        <v>21</v>
      </c>
      <c r="W71" s="56" t="s">
        <v>87</v>
      </c>
      <c r="X71" s="64">
        <v>17.829999999999998</v>
      </c>
      <c r="Y71" s="64">
        <v>24.21</v>
      </c>
      <c r="Z71" s="64">
        <f t="shared" si="7"/>
        <v>42.04</v>
      </c>
      <c r="AB71" s="56">
        <v>21</v>
      </c>
      <c r="AC71" s="56" t="s">
        <v>87</v>
      </c>
      <c r="AD71" s="64">
        <v>22.73</v>
      </c>
      <c r="AE71" s="64">
        <v>30.87</v>
      </c>
      <c r="AF71" s="64">
        <f t="shared" si="8"/>
        <v>53.6</v>
      </c>
      <c r="AH71" s="65">
        <f t="shared" si="2"/>
        <v>-0.16146062472503309</v>
      </c>
      <c r="AI71" s="65">
        <f t="shared" si="2"/>
        <v>-0.12763200518302564</v>
      </c>
      <c r="AJ71" s="65">
        <f t="shared" si="2"/>
        <v>-0.14197761194029868</v>
      </c>
    </row>
    <row r="72" spans="1:36" x14ac:dyDescent="0.3">
      <c r="A72" s="78" t="s">
        <v>175</v>
      </c>
      <c r="B72" s="58" t="s">
        <v>176</v>
      </c>
      <c r="C72" s="59">
        <v>57</v>
      </c>
      <c r="D72" s="60" t="s">
        <v>87</v>
      </c>
      <c r="E72" s="60">
        <v>64.22</v>
      </c>
      <c r="F72" s="60">
        <v>30.37</v>
      </c>
      <c r="G72" s="60">
        <v>94.59</v>
      </c>
      <c r="H72" s="61">
        <v>3660.54</v>
      </c>
      <c r="I72" s="61">
        <v>1731.0900000000001</v>
      </c>
      <c r="J72" s="62">
        <v>5391.63</v>
      </c>
      <c r="M72" s="75"/>
      <c r="N72" s="76"/>
      <c r="V72" s="56">
        <v>57</v>
      </c>
      <c r="W72" s="56" t="s">
        <v>87</v>
      </c>
      <c r="X72" s="64">
        <v>72.92</v>
      </c>
      <c r="Y72" s="64">
        <v>25.66</v>
      </c>
      <c r="Z72" s="64">
        <f t="shared" si="7"/>
        <v>98.58</v>
      </c>
      <c r="AB72" s="56">
        <v>57</v>
      </c>
      <c r="AC72" s="56" t="s">
        <v>87</v>
      </c>
      <c r="AD72" s="64">
        <v>92.97</v>
      </c>
      <c r="AE72" s="64">
        <v>32.72</v>
      </c>
      <c r="AF72" s="64">
        <f t="shared" si="8"/>
        <v>125.69</v>
      </c>
      <c r="AH72" s="65">
        <f t="shared" si="2"/>
        <v>-0.30923953963644191</v>
      </c>
      <c r="AI72" s="65">
        <f t="shared" si="2"/>
        <v>-7.1821515892420473E-2</v>
      </c>
      <c r="AJ72" s="65">
        <f t="shared" si="2"/>
        <v>-0.24743416341793301</v>
      </c>
    </row>
    <row r="73" spans="1:36" x14ac:dyDescent="0.3">
      <c r="A73" s="78" t="s">
        <v>177</v>
      </c>
      <c r="B73" s="58" t="s">
        <v>178</v>
      </c>
      <c r="C73" s="59">
        <v>250</v>
      </c>
      <c r="D73" s="60" t="s">
        <v>71</v>
      </c>
      <c r="E73" s="60">
        <v>34.630000000000003</v>
      </c>
      <c r="F73" s="60">
        <v>7.74</v>
      </c>
      <c r="G73" s="60">
        <v>42.370000000000005</v>
      </c>
      <c r="H73" s="61">
        <v>8657.5</v>
      </c>
      <c r="I73" s="61">
        <v>1935</v>
      </c>
      <c r="J73" s="62">
        <v>10592.500000000002</v>
      </c>
      <c r="M73" s="75"/>
      <c r="N73" s="76"/>
      <c r="V73" s="56">
        <v>272</v>
      </c>
      <c r="W73" s="56" t="s">
        <v>71</v>
      </c>
      <c r="X73" s="64">
        <v>38.049999999999997</v>
      </c>
      <c r="Y73" s="64">
        <v>6.9</v>
      </c>
      <c r="Z73" s="64">
        <f t="shared" si="7"/>
        <v>44.949999999999996</v>
      </c>
      <c r="AB73" s="56">
        <v>272</v>
      </c>
      <c r="AC73" s="56" t="s">
        <v>71</v>
      </c>
      <c r="AD73" s="64">
        <v>48.51</v>
      </c>
      <c r="AE73" s="64">
        <v>8.8000000000000007</v>
      </c>
      <c r="AF73" s="64">
        <f t="shared" si="8"/>
        <v>57.31</v>
      </c>
      <c r="AH73" s="65">
        <f t="shared" si="2"/>
        <v>-0.28612657184085744</v>
      </c>
      <c r="AI73" s="65">
        <f t="shared" si="2"/>
        <v>-0.12045454545454548</v>
      </c>
      <c r="AJ73" s="65">
        <f t="shared" si="2"/>
        <v>-0.26068748909439887</v>
      </c>
    </row>
    <row r="74" spans="1:36" x14ac:dyDescent="0.3">
      <c r="A74" s="78" t="s">
        <v>179</v>
      </c>
      <c r="B74" s="58" t="s">
        <v>180</v>
      </c>
      <c r="C74" s="59">
        <v>144</v>
      </c>
      <c r="D74" s="60" t="s">
        <v>87</v>
      </c>
      <c r="E74" s="60">
        <v>44.55</v>
      </c>
      <c r="F74" s="60">
        <v>12.35</v>
      </c>
      <c r="G74" s="60">
        <v>56.9</v>
      </c>
      <c r="H74" s="61">
        <v>6415.2</v>
      </c>
      <c r="I74" s="61">
        <v>1778.3999999999999</v>
      </c>
      <c r="J74" s="62">
        <v>8193.6</v>
      </c>
      <c r="M74" s="75"/>
      <c r="N74" s="76"/>
      <c r="V74" s="56">
        <v>68</v>
      </c>
      <c r="W74" s="56" t="s">
        <v>87</v>
      </c>
      <c r="X74" s="64">
        <v>55.48</v>
      </c>
      <c r="Y74" s="64">
        <v>10.96</v>
      </c>
      <c r="Z74" s="64">
        <f t="shared" si="7"/>
        <v>66.44</v>
      </c>
      <c r="AB74" s="56">
        <v>68</v>
      </c>
      <c r="AC74" s="56" t="s">
        <v>87</v>
      </c>
      <c r="AD74" s="64">
        <v>70.739999999999995</v>
      </c>
      <c r="AE74" s="64">
        <v>13.97</v>
      </c>
      <c r="AF74" s="64">
        <f t="shared" si="8"/>
        <v>84.71</v>
      </c>
      <c r="AH74" s="65">
        <f t="shared" si="2"/>
        <v>-0.37022900763358779</v>
      </c>
      <c r="AI74" s="65">
        <f t="shared" si="2"/>
        <v>-0.1159627773801003</v>
      </c>
      <c r="AJ74" s="65">
        <f t="shared" si="2"/>
        <v>-0.32829654114036122</v>
      </c>
    </row>
    <row r="75" spans="1:36" x14ac:dyDescent="0.3">
      <c r="A75" s="78" t="s">
        <v>181</v>
      </c>
      <c r="B75" s="58" t="s">
        <v>182</v>
      </c>
      <c r="C75" s="59">
        <v>93</v>
      </c>
      <c r="D75" s="60" t="s">
        <v>87</v>
      </c>
      <c r="E75" s="60">
        <v>38.97</v>
      </c>
      <c r="F75" s="60">
        <v>8.36</v>
      </c>
      <c r="G75" s="60">
        <v>47.33</v>
      </c>
      <c r="H75" s="61">
        <v>3624.21</v>
      </c>
      <c r="I75" s="61">
        <v>777.4799999999999</v>
      </c>
      <c r="J75" s="62">
        <v>4401.6899999999996</v>
      </c>
      <c r="M75" s="75"/>
      <c r="N75" s="79"/>
      <c r="V75" s="56">
        <v>184</v>
      </c>
      <c r="W75" s="56" t="s">
        <v>87</v>
      </c>
      <c r="X75" s="64">
        <v>48.39</v>
      </c>
      <c r="Y75" s="64">
        <v>7.37</v>
      </c>
      <c r="Z75" s="64">
        <f t="shared" si="7"/>
        <v>55.76</v>
      </c>
      <c r="AB75" s="56">
        <v>184</v>
      </c>
      <c r="AC75" s="56" t="s">
        <v>87</v>
      </c>
      <c r="AD75" s="64">
        <v>61.7</v>
      </c>
      <c r="AE75" s="64">
        <v>9.4</v>
      </c>
      <c r="AF75" s="64">
        <f t="shared" si="8"/>
        <v>71.100000000000009</v>
      </c>
      <c r="AH75" s="65">
        <f t="shared" si="2"/>
        <v>-0.36839546191247974</v>
      </c>
      <c r="AI75" s="65">
        <f t="shared" si="2"/>
        <v>-0.11063829787234047</v>
      </c>
      <c r="AJ75" s="65">
        <f t="shared" si="2"/>
        <v>-0.33431786216596349</v>
      </c>
    </row>
    <row r="76" spans="1:36" x14ac:dyDescent="0.3">
      <c r="A76" s="78" t="s">
        <v>183</v>
      </c>
      <c r="B76" s="58" t="s">
        <v>184</v>
      </c>
      <c r="C76" s="59">
        <v>18</v>
      </c>
      <c r="D76" s="60" t="s">
        <v>87</v>
      </c>
      <c r="E76" s="60">
        <v>47.67</v>
      </c>
      <c r="F76" s="60">
        <v>11.87</v>
      </c>
      <c r="G76" s="60">
        <v>59.54</v>
      </c>
      <c r="H76" s="61">
        <v>858.06000000000006</v>
      </c>
      <c r="I76" s="61">
        <v>213.66</v>
      </c>
      <c r="J76" s="62">
        <v>1071.72</v>
      </c>
      <c r="M76" s="75"/>
      <c r="N76" s="76"/>
      <c r="V76" s="56">
        <v>1</v>
      </c>
      <c r="W76" s="56" t="s">
        <v>87</v>
      </c>
      <c r="X76" s="64">
        <v>61.49</v>
      </c>
      <c r="Y76" s="64">
        <v>10.42</v>
      </c>
      <c r="Z76" s="64">
        <f t="shared" si="7"/>
        <v>71.91</v>
      </c>
      <c r="AB76" s="56">
        <v>1</v>
      </c>
      <c r="AC76" s="56" t="s">
        <v>87</v>
      </c>
      <c r="AD76" s="64">
        <v>78.400000000000006</v>
      </c>
      <c r="AE76" s="64">
        <v>13.29</v>
      </c>
      <c r="AF76" s="64">
        <f t="shared" si="8"/>
        <v>91.69</v>
      </c>
      <c r="AH76" s="65">
        <f t="shared" si="2"/>
        <v>-0.39196428571428577</v>
      </c>
      <c r="AI76" s="65">
        <f t="shared" si="2"/>
        <v>-0.10684725357411584</v>
      </c>
      <c r="AJ76" s="65">
        <f t="shared" si="2"/>
        <v>-0.35063801941324024</v>
      </c>
    </row>
    <row r="77" spans="1:36" x14ac:dyDescent="0.3">
      <c r="A77" s="78" t="s">
        <v>185</v>
      </c>
      <c r="B77" s="58" t="s">
        <v>186</v>
      </c>
      <c r="C77" s="59">
        <v>162</v>
      </c>
      <c r="D77" s="60" t="s">
        <v>71</v>
      </c>
      <c r="E77" s="60">
        <v>80.86</v>
      </c>
      <c r="F77" s="60">
        <v>31.3</v>
      </c>
      <c r="G77" s="60">
        <v>112.16</v>
      </c>
      <c r="H77" s="61">
        <v>13099.32</v>
      </c>
      <c r="I77" s="61">
        <v>5070.6000000000004</v>
      </c>
      <c r="J77" s="62">
        <v>18169.919999999998</v>
      </c>
      <c r="M77" s="75"/>
      <c r="N77" s="76"/>
      <c r="V77" s="56">
        <v>5</v>
      </c>
      <c r="W77" s="56" t="s">
        <v>71</v>
      </c>
      <c r="X77" s="64">
        <v>85.91</v>
      </c>
      <c r="Y77" s="64">
        <v>27.15</v>
      </c>
      <c r="Z77" s="64">
        <f t="shared" si="7"/>
        <v>113.06</v>
      </c>
      <c r="AB77" s="56">
        <v>5</v>
      </c>
      <c r="AC77" s="56" t="s">
        <v>71</v>
      </c>
      <c r="AD77" s="64">
        <v>109.54</v>
      </c>
      <c r="AE77" s="64">
        <v>34.619999999999997</v>
      </c>
      <c r="AF77" s="64">
        <f t="shared" si="8"/>
        <v>144.16</v>
      </c>
      <c r="AH77" s="65">
        <f t="shared" si="2"/>
        <v>-0.26182216541902503</v>
      </c>
      <c r="AI77" s="65">
        <f t="shared" si="2"/>
        <v>-9.5898324667821999E-2</v>
      </c>
      <c r="AJ77" s="65">
        <f t="shared" si="2"/>
        <v>-0.22197558268590456</v>
      </c>
    </row>
    <row r="78" spans="1:36" x14ac:dyDescent="0.3">
      <c r="A78" s="78" t="s">
        <v>187</v>
      </c>
      <c r="B78" s="58" t="s">
        <v>188</v>
      </c>
      <c r="C78" s="59">
        <v>73</v>
      </c>
      <c r="D78" s="60" t="s">
        <v>71</v>
      </c>
      <c r="E78" s="60">
        <v>70.16</v>
      </c>
      <c r="F78" s="60">
        <v>122.06</v>
      </c>
      <c r="G78" s="60">
        <v>192.22</v>
      </c>
      <c r="H78" s="61">
        <v>5121.6799999999994</v>
      </c>
      <c r="I78" s="61">
        <v>8910.380000000001</v>
      </c>
      <c r="J78" s="62">
        <v>14032.06</v>
      </c>
      <c r="M78" s="75"/>
      <c r="N78" s="76"/>
      <c r="V78" s="56">
        <v>1</v>
      </c>
      <c r="W78" s="56" t="s">
        <v>71</v>
      </c>
      <c r="X78" s="64">
        <v>84.07</v>
      </c>
      <c r="Y78" s="64">
        <v>110.51</v>
      </c>
      <c r="Z78" s="64">
        <f t="shared" si="7"/>
        <v>194.57999999999998</v>
      </c>
      <c r="AB78" s="56">
        <v>1</v>
      </c>
      <c r="AC78" s="56" t="s">
        <v>71</v>
      </c>
      <c r="AD78" s="64">
        <v>107.19</v>
      </c>
      <c r="AE78" s="64">
        <v>140.9</v>
      </c>
      <c r="AF78" s="64">
        <f t="shared" si="8"/>
        <v>248.09</v>
      </c>
      <c r="AH78" s="65">
        <f t="shared" si="2"/>
        <v>-0.34546133034798021</v>
      </c>
      <c r="AI78" s="65">
        <f t="shared" si="2"/>
        <v>-0.13371185237757277</v>
      </c>
      <c r="AJ78" s="65">
        <f t="shared" si="2"/>
        <v>-0.22520053206497648</v>
      </c>
    </row>
    <row r="79" spans="1:36" x14ac:dyDescent="0.3">
      <c r="A79" s="78" t="s">
        <v>189</v>
      </c>
      <c r="B79" s="58" t="s">
        <v>190</v>
      </c>
      <c r="C79" s="59">
        <v>1</v>
      </c>
      <c r="D79" s="60" t="s">
        <v>71</v>
      </c>
      <c r="E79" s="60">
        <v>3.15</v>
      </c>
      <c r="F79" s="60">
        <v>7.74</v>
      </c>
      <c r="G79" s="60">
        <v>10.89</v>
      </c>
      <c r="H79" s="61">
        <v>3.15</v>
      </c>
      <c r="I79" s="61">
        <v>7.74</v>
      </c>
      <c r="J79" s="62">
        <v>10.89</v>
      </c>
      <c r="M79" s="75"/>
      <c r="N79" s="76"/>
      <c r="V79" s="56">
        <v>1</v>
      </c>
      <c r="W79" s="56" t="s">
        <v>71</v>
      </c>
      <c r="X79" s="64">
        <v>4.05</v>
      </c>
      <c r="Y79" s="64">
        <v>6.9</v>
      </c>
      <c r="Z79" s="64">
        <f t="shared" si="7"/>
        <v>10.95</v>
      </c>
      <c r="AB79" s="56">
        <v>1</v>
      </c>
      <c r="AC79" s="56" t="s">
        <v>71</v>
      </c>
      <c r="AD79" s="64">
        <v>5.16</v>
      </c>
      <c r="AE79" s="64">
        <v>8.8000000000000007</v>
      </c>
      <c r="AF79" s="64">
        <f t="shared" si="8"/>
        <v>13.96</v>
      </c>
      <c r="AH79" s="65">
        <f t="shared" ref="AH79:AJ148" si="9">IF(E79=0,0,(E79/AD79)-1)</f>
        <v>-0.38953488372093026</v>
      </c>
      <c r="AI79" s="65">
        <f t="shared" si="9"/>
        <v>-0.12045454545454548</v>
      </c>
      <c r="AJ79" s="65">
        <f t="shared" si="9"/>
        <v>-0.21991404011461324</v>
      </c>
    </row>
    <row r="80" spans="1:36" x14ac:dyDescent="0.3">
      <c r="A80" s="78" t="s">
        <v>191</v>
      </c>
      <c r="B80" s="58" t="s">
        <v>192</v>
      </c>
      <c r="C80" s="59">
        <v>1</v>
      </c>
      <c r="D80" s="60" t="s">
        <v>71</v>
      </c>
      <c r="E80" s="60">
        <v>133.66</v>
      </c>
      <c r="F80" s="60">
        <v>37.06</v>
      </c>
      <c r="G80" s="60">
        <v>170.72</v>
      </c>
      <c r="H80" s="61">
        <v>133.66</v>
      </c>
      <c r="I80" s="61">
        <v>37.06</v>
      </c>
      <c r="J80" s="62">
        <v>170.72</v>
      </c>
      <c r="M80" s="75"/>
      <c r="N80" s="76"/>
      <c r="V80" s="56">
        <v>1</v>
      </c>
      <c r="W80" s="56" t="s">
        <v>71</v>
      </c>
      <c r="X80" s="64">
        <v>166.44</v>
      </c>
      <c r="Y80" s="64">
        <v>32.880000000000003</v>
      </c>
      <c r="Z80" s="64">
        <f t="shared" si="7"/>
        <v>199.32</v>
      </c>
      <c r="AB80" s="56">
        <v>1</v>
      </c>
      <c r="AC80" s="56" t="s">
        <v>71</v>
      </c>
      <c r="AD80" s="64">
        <v>212.21</v>
      </c>
      <c r="AE80" s="64">
        <v>41.92</v>
      </c>
      <c r="AF80" s="64">
        <f t="shared" si="8"/>
        <v>254.13</v>
      </c>
      <c r="AH80" s="65">
        <f t="shared" si="9"/>
        <v>-0.37015220771876922</v>
      </c>
      <c r="AI80" s="65">
        <f t="shared" si="9"/>
        <v>-0.11593511450381677</v>
      </c>
      <c r="AJ80" s="65">
        <f t="shared" si="9"/>
        <v>-0.32821784126234599</v>
      </c>
    </row>
    <row r="81" spans="1:36" x14ac:dyDescent="0.3">
      <c r="A81" s="78" t="s">
        <v>193</v>
      </c>
      <c r="B81" s="58" t="s">
        <v>194</v>
      </c>
      <c r="C81" s="59">
        <v>1</v>
      </c>
      <c r="D81" s="60" t="s">
        <v>41</v>
      </c>
      <c r="E81" s="60">
        <v>10.35</v>
      </c>
      <c r="F81" s="60">
        <v>7.74</v>
      </c>
      <c r="G81" s="60">
        <v>18.09</v>
      </c>
      <c r="H81" s="61">
        <v>10.35</v>
      </c>
      <c r="I81" s="61">
        <v>7.74</v>
      </c>
      <c r="J81" s="62">
        <v>18.09</v>
      </c>
      <c r="M81" s="75"/>
      <c r="N81" s="76"/>
      <c r="V81" s="56">
        <v>1</v>
      </c>
      <c r="W81" s="56" t="s">
        <v>41</v>
      </c>
      <c r="X81" s="64">
        <v>11.68</v>
      </c>
      <c r="Y81" s="64">
        <v>6.9</v>
      </c>
      <c r="Z81" s="64">
        <f t="shared" si="7"/>
        <v>18.579999999999998</v>
      </c>
      <c r="AB81" s="56">
        <v>1</v>
      </c>
      <c r="AC81" s="56" t="s">
        <v>41</v>
      </c>
      <c r="AD81" s="64">
        <v>14.89</v>
      </c>
      <c r="AE81" s="64">
        <v>8.8000000000000007</v>
      </c>
      <c r="AF81" s="64">
        <f t="shared" si="8"/>
        <v>23.69</v>
      </c>
      <c r="AH81" s="65">
        <f t="shared" si="9"/>
        <v>-0.30490261920752193</v>
      </c>
      <c r="AI81" s="65">
        <f t="shared" si="9"/>
        <v>-0.12045454545454548</v>
      </c>
      <c r="AJ81" s="65">
        <f t="shared" si="9"/>
        <v>-0.23638666103841288</v>
      </c>
    </row>
    <row r="82" spans="1:36" x14ac:dyDescent="0.3">
      <c r="A82" s="69">
        <v>8</v>
      </c>
      <c r="B82" s="70" t="s">
        <v>195</v>
      </c>
      <c r="C82" s="71"/>
      <c r="D82" s="72"/>
      <c r="E82" s="72"/>
      <c r="F82" s="72"/>
      <c r="G82" s="72"/>
      <c r="H82" s="52">
        <v>121102.31000000001</v>
      </c>
      <c r="I82" s="52">
        <v>69455.659999999989</v>
      </c>
      <c r="J82" s="52">
        <v>190557.97000000003</v>
      </c>
      <c r="M82" s="75"/>
      <c r="N82" s="76"/>
      <c r="V82" s="54"/>
      <c r="W82" s="54"/>
      <c r="X82" s="55"/>
      <c r="Y82" s="55"/>
      <c r="Z82" s="55"/>
      <c r="AB82" s="54"/>
      <c r="AC82" s="54"/>
      <c r="AD82" s="55"/>
      <c r="AE82" s="55"/>
      <c r="AF82" s="55"/>
      <c r="AH82" s="65">
        <f t="shared" si="9"/>
        <v>0</v>
      </c>
      <c r="AI82" s="65">
        <f t="shared" si="9"/>
        <v>0</v>
      </c>
      <c r="AJ82" s="65">
        <f t="shared" si="9"/>
        <v>0</v>
      </c>
    </row>
    <row r="83" spans="1:36" x14ac:dyDescent="0.3">
      <c r="A83" s="78" t="s">
        <v>196</v>
      </c>
      <c r="B83" s="58" t="s">
        <v>197</v>
      </c>
      <c r="C83" s="59">
        <v>196</v>
      </c>
      <c r="D83" s="60" t="s">
        <v>71</v>
      </c>
      <c r="E83" s="60">
        <v>19.46</v>
      </c>
      <c r="F83" s="60">
        <v>21.28</v>
      </c>
      <c r="G83" s="60">
        <v>40.74</v>
      </c>
      <c r="H83" s="61">
        <v>3814.1600000000003</v>
      </c>
      <c r="I83" s="61">
        <v>4170.88</v>
      </c>
      <c r="J83" s="62">
        <v>7985.04</v>
      </c>
      <c r="M83" s="75"/>
      <c r="N83" s="76"/>
      <c r="V83" s="56">
        <v>54</v>
      </c>
      <c r="W83" s="56" t="s">
        <v>71</v>
      </c>
      <c r="X83" s="64">
        <v>26.67</v>
      </c>
      <c r="Y83" s="64">
        <v>20.22</v>
      </c>
      <c r="Z83" s="64">
        <f t="shared" ref="Z83:Z89" si="10">SUM(X83:Y83)</f>
        <v>46.89</v>
      </c>
      <c r="AB83" s="56">
        <v>54</v>
      </c>
      <c r="AC83" s="56" t="s">
        <v>71</v>
      </c>
      <c r="AD83" s="64">
        <v>34</v>
      </c>
      <c r="AE83" s="64">
        <v>25.78</v>
      </c>
      <c r="AF83" s="64">
        <f t="shared" ref="AF83:AF89" si="11">SUM(AD83:AE83)</f>
        <v>59.78</v>
      </c>
      <c r="AH83" s="65">
        <f t="shared" si="9"/>
        <v>-0.42764705882352938</v>
      </c>
      <c r="AI83" s="65">
        <f t="shared" si="9"/>
        <v>-0.17455391776570983</v>
      </c>
      <c r="AJ83" s="65">
        <f t="shared" si="9"/>
        <v>-0.31850117096018737</v>
      </c>
    </row>
    <row r="84" spans="1:36" x14ac:dyDescent="0.3">
      <c r="A84" s="78" t="s">
        <v>198</v>
      </c>
      <c r="B84" s="58" t="s">
        <v>199</v>
      </c>
      <c r="C84" s="59">
        <v>596</v>
      </c>
      <c r="D84" s="60" t="s">
        <v>71</v>
      </c>
      <c r="E84" s="60">
        <v>70.91</v>
      </c>
      <c r="F84" s="60">
        <v>20.72</v>
      </c>
      <c r="G84" s="60">
        <v>91.63</v>
      </c>
      <c r="H84" s="61">
        <v>42262.36</v>
      </c>
      <c r="I84" s="61">
        <v>12349.119999999999</v>
      </c>
      <c r="J84" s="62">
        <v>54611.479999999996</v>
      </c>
      <c r="M84" s="75"/>
      <c r="N84" s="76"/>
      <c r="V84" s="56">
        <v>7</v>
      </c>
      <c r="W84" s="56" t="s">
        <v>71</v>
      </c>
      <c r="X84" s="64">
        <v>66.05</v>
      </c>
      <c r="Y84" s="64">
        <v>19.37</v>
      </c>
      <c r="Z84" s="64">
        <f t="shared" si="10"/>
        <v>85.42</v>
      </c>
      <c r="AB84" s="56">
        <v>7</v>
      </c>
      <c r="AC84" s="56" t="s">
        <v>71</v>
      </c>
      <c r="AD84" s="64">
        <v>84.21</v>
      </c>
      <c r="AE84" s="64">
        <v>24.7</v>
      </c>
      <c r="AF84" s="64">
        <f t="shared" si="11"/>
        <v>108.91</v>
      </c>
      <c r="AH84" s="65">
        <f t="shared" si="9"/>
        <v>-0.15793848711554448</v>
      </c>
      <c r="AI84" s="65">
        <f t="shared" si="9"/>
        <v>-0.16113360323886639</v>
      </c>
      <c r="AJ84" s="65">
        <f t="shared" si="9"/>
        <v>-0.15866311633458818</v>
      </c>
    </row>
    <row r="85" spans="1:36" ht="28.8" x14ac:dyDescent="0.3">
      <c r="A85" s="78" t="s">
        <v>200</v>
      </c>
      <c r="B85" s="58" t="s">
        <v>201</v>
      </c>
      <c r="C85" s="59">
        <v>376</v>
      </c>
      <c r="D85" s="60" t="s">
        <v>71</v>
      </c>
      <c r="E85" s="60">
        <v>80.459999999999994</v>
      </c>
      <c r="F85" s="60">
        <v>30.81</v>
      </c>
      <c r="G85" s="60">
        <v>111.27</v>
      </c>
      <c r="H85" s="61">
        <v>30252.959999999999</v>
      </c>
      <c r="I85" s="61">
        <v>11584.56</v>
      </c>
      <c r="J85" s="62">
        <v>41837.519999999997</v>
      </c>
      <c r="M85" s="75"/>
      <c r="N85" s="76"/>
      <c r="V85" s="56">
        <v>261</v>
      </c>
      <c r="W85" s="56" t="s">
        <v>71</v>
      </c>
      <c r="X85" s="64">
        <v>74.989999999999995</v>
      </c>
      <c r="Y85" s="64">
        <v>29.71</v>
      </c>
      <c r="Z85" s="64">
        <f t="shared" si="10"/>
        <v>104.69999999999999</v>
      </c>
      <c r="AB85" s="56">
        <v>261</v>
      </c>
      <c r="AC85" s="56" t="s">
        <v>71</v>
      </c>
      <c r="AD85" s="64">
        <v>95.61</v>
      </c>
      <c r="AE85" s="64">
        <v>37.880000000000003</v>
      </c>
      <c r="AF85" s="64">
        <f t="shared" si="11"/>
        <v>133.49</v>
      </c>
      <c r="AH85" s="65">
        <f t="shared" si="9"/>
        <v>-0.15845622842798879</v>
      </c>
      <c r="AI85" s="65">
        <f t="shared" si="9"/>
        <v>-0.18664202745512148</v>
      </c>
      <c r="AJ85" s="65">
        <f t="shared" si="9"/>
        <v>-0.16645441606112821</v>
      </c>
    </row>
    <row r="86" spans="1:36" ht="28.8" x14ac:dyDescent="0.3">
      <c r="A86" s="78" t="s">
        <v>202</v>
      </c>
      <c r="B86" s="58" t="s">
        <v>203</v>
      </c>
      <c r="C86" s="59">
        <v>302</v>
      </c>
      <c r="D86" s="60" t="s">
        <v>71</v>
      </c>
      <c r="E86" s="60">
        <v>45.97</v>
      </c>
      <c r="F86" s="60">
        <v>20.43</v>
      </c>
      <c r="G86" s="60">
        <v>66.400000000000006</v>
      </c>
      <c r="H86" s="61">
        <v>13882.94</v>
      </c>
      <c r="I86" s="61">
        <v>6169.86</v>
      </c>
      <c r="J86" s="62">
        <v>20052.800000000003</v>
      </c>
      <c r="M86" s="75"/>
      <c r="N86" s="76"/>
      <c r="V86" s="56">
        <v>14</v>
      </c>
      <c r="W86" s="56" t="s">
        <v>71</v>
      </c>
      <c r="X86" s="64">
        <v>47.44</v>
      </c>
      <c r="Y86" s="64">
        <v>19.420000000000002</v>
      </c>
      <c r="Z86" s="64">
        <f t="shared" si="10"/>
        <v>66.86</v>
      </c>
      <c r="AB86" s="56">
        <v>14</v>
      </c>
      <c r="AC86" s="56" t="s">
        <v>71</v>
      </c>
      <c r="AD86" s="64">
        <v>60.49</v>
      </c>
      <c r="AE86" s="64">
        <v>24.76</v>
      </c>
      <c r="AF86" s="64">
        <f t="shared" si="11"/>
        <v>85.25</v>
      </c>
      <c r="AH86" s="65">
        <f t="shared" si="9"/>
        <v>-0.24003967597950082</v>
      </c>
      <c r="AI86" s="65">
        <f t="shared" si="9"/>
        <v>-0.17487883683360261</v>
      </c>
      <c r="AJ86" s="65">
        <f t="shared" si="9"/>
        <v>-0.22111436950146623</v>
      </c>
    </row>
    <row r="87" spans="1:36" x14ac:dyDescent="0.3">
      <c r="A87" s="78" t="s">
        <v>204</v>
      </c>
      <c r="B87" s="58" t="s">
        <v>205</v>
      </c>
      <c r="C87" s="59">
        <v>612</v>
      </c>
      <c r="D87" s="60" t="s">
        <v>71</v>
      </c>
      <c r="E87" s="60">
        <v>49.05</v>
      </c>
      <c r="F87" s="60">
        <v>55.23</v>
      </c>
      <c r="G87" s="60">
        <v>104.28</v>
      </c>
      <c r="H87" s="61">
        <v>30018.6</v>
      </c>
      <c r="I87" s="61">
        <v>33800.759999999995</v>
      </c>
      <c r="J87" s="62">
        <v>63819.360000000001</v>
      </c>
      <c r="M87" s="75"/>
      <c r="N87" s="76"/>
      <c r="V87" s="56">
        <v>24</v>
      </c>
      <c r="W87" s="56" t="s">
        <v>71</v>
      </c>
      <c r="X87" s="64">
        <v>49.32</v>
      </c>
      <c r="Y87" s="64">
        <v>51.12</v>
      </c>
      <c r="Z87" s="64">
        <f t="shared" si="10"/>
        <v>100.44</v>
      </c>
      <c r="AB87" s="56">
        <v>24</v>
      </c>
      <c r="AC87" s="56" t="s">
        <v>71</v>
      </c>
      <c r="AD87" s="64">
        <v>62.88</v>
      </c>
      <c r="AE87" s="64">
        <v>65.180000000000007</v>
      </c>
      <c r="AF87" s="64">
        <f t="shared" si="11"/>
        <v>128.06</v>
      </c>
      <c r="AH87" s="65">
        <f t="shared" si="9"/>
        <v>-0.21994274809160308</v>
      </c>
      <c r="AI87" s="65">
        <f t="shared" si="9"/>
        <v>-0.15265418840135025</v>
      </c>
      <c r="AJ87" s="65">
        <f t="shared" si="9"/>
        <v>-0.18569420584101204</v>
      </c>
    </row>
    <row r="88" spans="1:36" x14ac:dyDescent="0.3">
      <c r="A88" s="78" t="s">
        <v>206</v>
      </c>
      <c r="B88" s="58" t="s">
        <v>207</v>
      </c>
      <c r="C88" s="59">
        <v>86</v>
      </c>
      <c r="D88" s="60" t="s">
        <v>71</v>
      </c>
      <c r="E88" s="60">
        <v>8.65</v>
      </c>
      <c r="F88" s="60">
        <v>15.78</v>
      </c>
      <c r="G88" s="60">
        <v>24.43</v>
      </c>
      <c r="H88" s="61">
        <v>743.9</v>
      </c>
      <c r="I88" s="61">
        <v>1357.08</v>
      </c>
      <c r="J88" s="62">
        <v>2100.98</v>
      </c>
      <c r="M88" s="75"/>
      <c r="N88" s="76"/>
      <c r="V88" s="56">
        <v>184</v>
      </c>
      <c r="W88" s="56" t="s">
        <v>71</v>
      </c>
      <c r="X88" s="64">
        <v>8.82</v>
      </c>
      <c r="Y88" s="64">
        <v>14.61</v>
      </c>
      <c r="Z88" s="64">
        <f t="shared" si="10"/>
        <v>23.43</v>
      </c>
      <c r="AB88" s="56">
        <v>184</v>
      </c>
      <c r="AC88" s="56" t="s">
        <v>71</v>
      </c>
      <c r="AD88" s="64">
        <v>11.25</v>
      </c>
      <c r="AE88" s="64">
        <v>18.63</v>
      </c>
      <c r="AF88" s="64">
        <f t="shared" si="11"/>
        <v>29.88</v>
      </c>
      <c r="AH88" s="65">
        <f t="shared" si="9"/>
        <v>-0.23111111111111104</v>
      </c>
      <c r="AI88" s="65">
        <f t="shared" si="9"/>
        <v>-0.1529790660225443</v>
      </c>
      <c r="AJ88" s="65">
        <f t="shared" si="9"/>
        <v>-0.18239625167336004</v>
      </c>
    </row>
    <row r="89" spans="1:36" x14ac:dyDescent="0.3">
      <c r="A89" s="78" t="s">
        <v>208</v>
      </c>
      <c r="B89" s="58" t="s">
        <v>209</v>
      </c>
      <c r="C89" s="59">
        <v>1</v>
      </c>
      <c r="D89" s="60" t="s">
        <v>71</v>
      </c>
      <c r="E89" s="60">
        <v>127.39</v>
      </c>
      <c r="F89" s="60">
        <v>23.4</v>
      </c>
      <c r="G89" s="60">
        <v>150.79</v>
      </c>
      <c r="H89" s="61">
        <v>127.39</v>
      </c>
      <c r="I89" s="61">
        <v>23.4</v>
      </c>
      <c r="J89" s="62">
        <v>150.79</v>
      </c>
      <c r="M89" s="75"/>
      <c r="N89" s="76"/>
      <c r="V89" s="56">
        <v>1</v>
      </c>
      <c r="W89" s="56" t="s">
        <v>71</v>
      </c>
      <c r="X89" s="64">
        <v>130.18</v>
      </c>
      <c r="Y89" s="64">
        <v>21.95</v>
      </c>
      <c r="Z89" s="64">
        <f t="shared" si="10"/>
        <v>152.13</v>
      </c>
      <c r="AB89" s="56">
        <v>1</v>
      </c>
      <c r="AC89" s="56" t="s">
        <v>71</v>
      </c>
      <c r="AD89" s="64">
        <v>165.98</v>
      </c>
      <c r="AE89" s="64">
        <v>27.99</v>
      </c>
      <c r="AF89" s="64">
        <f t="shared" si="11"/>
        <v>193.97</v>
      </c>
      <c r="AH89" s="65">
        <f t="shared" si="9"/>
        <v>-0.23249789131220622</v>
      </c>
      <c r="AI89" s="65">
        <f t="shared" si="9"/>
        <v>-0.16398713826366562</v>
      </c>
      <c r="AJ89" s="65">
        <f t="shared" si="9"/>
        <v>-0.22261174408413675</v>
      </c>
    </row>
    <row r="90" spans="1:36" x14ac:dyDescent="0.3">
      <c r="A90" s="69">
        <v>9</v>
      </c>
      <c r="B90" s="70" t="s">
        <v>210</v>
      </c>
      <c r="C90" s="71"/>
      <c r="D90" s="72"/>
      <c r="E90" s="72"/>
      <c r="F90" s="72"/>
      <c r="G90" s="72"/>
      <c r="H90" s="77">
        <v>0</v>
      </c>
      <c r="I90" s="77">
        <v>0</v>
      </c>
      <c r="J90" s="52">
        <v>0</v>
      </c>
      <c r="M90" s="75"/>
      <c r="N90" s="76"/>
      <c r="V90" s="54"/>
      <c r="W90" s="54"/>
      <c r="X90" s="55"/>
      <c r="Y90" s="55"/>
      <c r="Z90" s="55"/>
      <c r="AB90" s="54"/>
      <c r="AC90" s="54"/>
      <c r="AD90" s="55"/>
      <c r="AE90" s="55"/>
      <c r="AF90" s="55"/>
      <c r="AH90" s="65">
        <f t="shared" si="9"/>
        <v>0</v>
      </c>
      <c r="AI90" s="65">
        <f t="shared" si="9"/>
        <v>0</v>
      </c>
      <c r="AJ90" s="65">
        <f t="shared" si="9"/>
        <v>0</v>
      </c>
    </row>
    <row r="91" spans="1:36" x14ac:dyDescent="0.3">
      <c r="A91" s="69">
        <v>10</v>
      </c>
      <c r="B91" s="70" t="s">
        <v>211</v>
      </c>
      <c r="C91" s="71"/>
      <c r="D91" s="72"/>
      <c r="E91" s="72"/>
      <c r="F91" s="72"/>
      <c r="G91" s="72"/>
      <c r="H91" s="52">
        <v>649442.1100000001</v>
      </c>
      <c r="I91" s="52">
        <v>48616.570000000007</v>
      </c>
      <c r="J91" s="52">
        <v>698058.68</v>
      </c>
      <c r="M91" s="75"/>
      <c r="N91" s="79"/>
      <c r="V91" s="54"/>
      <c r="W91" s="54"/>
      <c r="X91" s="55"/>
      <c r="Y91" s="55"/>
      <c r="Z91" s="55"/>
      <c r="AB91" s="54"/>
      <c r="AC91" s="54"/>
      <c r="AD91" s="55"/>
      <c r="AE91" s="55"/>
      <c r="AF91" s="55"/>
      <c r="AH91" s="65">
        <f t="shared" si="9"/>
        <v>0</v>
      </c>
      <c r="AI91" s="65">
        <f t="shared" si="9"/>
        <v>0</v>
      </c>
      <c r="AJ91" s="65">
        <f t="shared" si="9"/>
        <v>0</v>
      </c>
    </row>
    <row r="92" spans="1:36" x14ac:dyDescent="0.3">
      <c r="A92" s="78" t="s">
        <v>212</v>
      </c>
      <c r="B92" s="58" t="s">
        <v>213</v>
      </c>
      <c r="C92" s="59">
        <v>599</v>
      </c>
      <c r="D92" s="60" t="s">
        <v>71</v>
      </c>
      <c r="E92" s="60">
        <v>11.77</v>
      </c>
      <c r="F92" s="60">
        <v>12.86</v>
      </c>
      <c r="G92" s="60">
        <v>24.63</v>
      </c>
      <c r="H92" s="61">
        <v>7050.23</v>
      </c>
      <c r="I92" s="61">
        <v>7703.1399999999994</v>
      </c>
      <c r="J92" s="62">
        <v>14753.369999999999</v>
      </c>
      <c r="M92" s="75"/>
      <c r="N92" s="79"/>
      <c r="V92" s="56">
        <v>139</v>
      </c>
      <c r="W92" s="56" t="s">
        <v>71</v>
      </c>
      <c r="X92" s="64">
        <v>16.53</v>
      </c>
      <c r="Y92" s="64">
        <v>11.57</v>
      </c>
      <c r="Z92" s="64">
        <f t="shared" ref="Z92:Z115" si="12">SUM(X92:Y92)</f>
        <v>28.1</v>
      </c>
      <c r="AB92" s="56">
        <v>139</v>
      </c>
      <c r="AC92" s="56" t="s">
        <v>71</v>
      </c>
      <c r="AD92" s="64">
        <v>21.08</v>
      </c>
      <c r="AE92" s="64">
        <v>14.75</v>
      </c>
      <c r="AF92" s="64">
        <f t="shared" ref="AF92:AF115" si="13">SUM(AD92:AE92)</f>
        <v>35.83</v>
      </c>
      <c r="AH92" s="65">
        <f t="shared" si="9"/>
        <v>-0.44165085388994307</v>
      </c>
      <c r="AI92" s="65">
        <f t="shared" si="9"/>
        <v>-0.12813559322033907</v>
      </c>
      <c r="AJ92" s="65">
        <f t="shared" si="9"/>
        <v>-0.31258721741557349</v>
      </c>
    </row>
    <row r="93" spans="1:36" x14ac:dyDescent="0.3">
      <c r="A93" s="78" t="s">
        <v>214</v>
      </c>
      <c r="B93" s="58" t="s">
        <v>215</v>
      </c>
      <c r="C93" s="59">
        <v>484</v>
      </c>
      <c r="D93" s="60" t="s">
        <v>71</v>
      </c>
      <c r="E93" s="60">
        <v>15.88</v>
      </c>
      <c r="F93" s="60">
        <v>20.58</v>
      </c>
      <c r="G93" s="60">
        <v>36.46</v>
      </c>
      <c r="H93" s="61">
        <v>7685.92</v>
      </c>
      <c r="I93" s="61">
        <v>9960.7199999999993</v>
      </c>
      <c r="J93" s="62">
        <v>17646.64</v>
      </c>
      <c r="M93" s="75"/>
      <c r="N93" s="76"/>
      <c r="V93" s="56">
        <v>6</v>
      </c>
      <c r="W93" s="56" t="s">
        <v>71</v>
      </c>
      <c r="X93" s="64">
        <v>19.95</v>
      </c>
      <c r="Y93" s="64">
        <v>18.52</v>
      </c>
      <c r="Z93" s="64">
        <f t="shared" si="12"/>
        <v>38.47</v>
      </c>
      <c r="AB93" s="56">
        <v>6</v>
      </c>
      <c r="AC93" s="56" t="s">
        <v>71</v>
      </c>
      <c r="AD93" s="64">
        <v>25.44</v>
      </c>
      <c r="AE93" s="64">
        <v>23.61</v>
      </c>
      <c r="AF93" s="64">
        <f t="shared" si="13"/>
        <v>49.05</v>
      </c>
      <c r="AH93" s="65">
        <f t="shared" si="9"/>
        <v>-0.37578616352201255</v>
      </c>
      <c r="AI93" s="65">
        <f t="shared" si="9"/>
        <v>-0.12833545108005084</v>
      </c>
      <c r="AJ93" s="65">
        <f t="shared" si="9"/>
        <v>-0.2566768603465851</v>
      </c>
    </row>
    <row r="94" spans="1:36" x14ac:dyDescent="0.3">
      <c r="A94" s="78" t="s">
        <v>216</v>
      </c>
      <c r="B94" s="58" t="s">
        <v>217</v>
      </c>
      <c r="C94" s="59">
        <v>24</v>
      </c>
      <c r="D94" s="60" t="s">
        <v>71</v>
      </c>
      <c r="E94" s="60">
        <v>395.62</v>
      </c>
      <c r="F94" s="60">
        <v>47.54</v>
      </c>
      <c r="G94" s="60">
        <v>443.16</v>
      </c>
      <c r="H94" s="61">
        <v>9494.880000000001</v>
      </c>
      <c r="I94" s="61">
        <v>1140.96</v>
      </c>
      <c r="J94" s="62">
        <v>10635.84</v>
      </c>
      <c r="M94" s="75"/>
      <c r="N94" s="76"/>
      <c r="V94" s="56">
        <v>8</v>
      </c>
      <c r="W94" s="56" t="s">
        <v>71</v>
      </c>
      <c r="X94" s="64">
        <v>307.58999999999997</v>
      </c>
      <c r="Y94" s="64">
        <v>44.63</v>
      </c>
      <c r="Z94" s="64">
        <f t="shared" si="12"/>
        <v>352.21999999999997</v>
      </c>
      <c r="AB94" s="56">
        <v>8</v>
      </c>
      <c r="AC94" s="56" t="s">
        <v>71</v>
      </c>
      <c r="AD94" s="64">
        <v>392.18</v>
      </c>
      <c r="AE94" s="64">
        <v>56.9</v>
      </c>
      <c r="AF94" s="64">
        <f t="shared" si="13"/>
        <v>449.08</v>
      </c>
      <c r="AH94" s="65">
        <f t="shared" si="9"/>
        <v>8.7714824825335658E-3</v>
      </c>
      <c r="AI94" s="65">
        <f t="shared" si="9"/>
        <v>-0.1644991212653778</v>
      </c>
      <c r="AJ94" s="65">
        <f t="shared" si="9"/>
        <v>-1.3182506457646626E-2</v>
      </c>
    </row>
    <row r="95" spans="1:36" x14ac:dyDescent="0.3">
      <c r="A95" s="78" t="s">
        <v>218</v>
      </c>
      <c r="B95" s="58" t="s">
        <v>219</v>
      </c>
      <c r="C95" s="59">
        <v>36</v>
      </c>
      <c r="D95" s="60" t="s">
        <v>87</v>
      </c>
      <c r="E95" s="60">
        <v>65.41</v>
      </c>
      <c r="F95" s="60">
        <v>11.98</v>
      </c>
      <c r="G95" s="60">
        <v>77.39</v>
      </c>
      <c r="H95" s="61">
        <v>2354.7599999999998</v>
      </c>
      <c r="I95" s="61">
        <v>431.28000000000003</v>
      </c>
      <c r="J95" s="62">
        <v>2786.04</v>
      </c>
      <c r="M95" s="75"/>
      <c r="N95" s="76"/>
      <c r="V95" s="56">
        <v>41</v>
      </c>
      <c r="W95" s="56" t="s">
        <v>87</v>
      </c>
      <c r="X95" s="64">
        <v>50.65</v>
      </c>
      <c r="Y95" s="64">
        <v>11.24</v>
      </c>
      <c r="Z95" s="64">
        <f t="shared" si="12"/>
        <v>61.89</v>
      </c>
      <c r="AB95" s="56">
        <v>41</v>
      </c>
      <c r="AC95" s="56" t="s">
        <v>87</v>
      </c>
      <c r="AD95" s="64">
        <v>64.58</v>
      </c>
      <c r="AE95" s="64">
        <v>14.33</v>
      </c>
      <c r="AF95" s="64">
        <f t="shared" si="13"/>
        <v>78.91</v>
      </c>
      <c r="AH95" s="65">
        <f t="shared" si="9"/>
        <v>1.285227624651597E-2</v>
      </c>
      <c r="AI95" s="65">
        <f t="shared" si="9"/>
        <v>-0.16399162595952543</v>
      </c>
      <c r="AJ95" s="65">
        <f t="shared" si="9"/>
        <v>-1.9262450893422822E-2</v>
      </c>
    </row>
    <row r="96" spans="1:36" x14ac:dyDescent="0.3">
      <c r="A96" s="78" t="s">
        <v>220</v>
      </c>
      <c r="B96" s="58" t="s">
        <v>221</v>
      </c>
      <c r="C96" s="59">
        <v>10</v>
      </c>
      <c r="D96" s="60" t="s">
        <v>87</v>
      </c>
      <c r="E96" s="60">
        <v>89.02</v>
      </c>
      <c r="F96" s="60">
        <v>21.88</v>
      </c>
      <c r="G96" s="60">
        <v>110.89999999999999</v>
      </c>
      <c r="H96" s="61">
        <v>890.19999999999993</v>
      </c>
      <c r="I96" s="61">
        <v>218.79999999999998</v>
      </c>
      <c r="J96" s="62">
        <v>1109</v>
      </c>
      <c r="M96" s="75"/>
      <c r="N96" s="76"/>
      <c r="V96" s="56">
        <v>10</v>
      </c>
      <c r="W96" s="56" t="s">
        <v>87</v>
      </c>
      <c r="X96" s="64">
        <v>68.92</v>
      </c>
      <c r="Y96" s="64">
        <v>20.54</v>
      </c>
      <c r="Z96" s="64">
        <f t="shared" si="12"/>
        <v>89.460000000000008</v>
      </c>
      <c r="AB96" s="56">
        <v>10</v>
      </c>
      <c r="AC96" s="56" t="s">
        <v>87</v>
      </c>
      <c r="AD96" s="64">
        <v>87.87</v>
      </c>
      <c r="AE96" s="64">
        <v>26.19</v>
      </c>
      <c r="AF96" s="64">
        <f t="shared" si="13"/>
        <v>114.06</v>
      </c>
      <c r="AH96" s="65">
        <f t="shared" si="9"/>
        <v>1.3087515648116499E-2</v>
      </c>
      <c r="AI96" s="65">
        <f t="shared" si="9"/>
        <v>-0.16456662848415438</v>
      </c>
      <c r="AJ96" s="65">
        <f t="shared" si="9"/>
        <v>-2.7704716815711072E-2</v>
      </c>
    </row>
    <row r="97" spans="1:36" x14ac:dyDescent="0.3">
      <c r="A97" s="78" t="s">
        <v>222</v>
      </c>
      <c r="B97" s="58" t="s">
        <v>223</v>
      </c>
      <c r="C97" s="59">
        <v>1</v>
      </c>
      <c r="D97" s="60" t="s">
        <v>71</v>
      </c>
      <c r="E97" s="60">
        <v>732.46</v>
      </c>
      <c r="F97" s="60">
        <v>47.54</v>
      </c>
      <c r="G97" s="60">
        <v>780</v>
      </c>
      <c r="H97" s="61">
        <v>732.46</v>
      </c>
      <c r="I97" s="61">
        <v>47.54</v>
      </c>
      <c r="J97" s="62">
        <v>780</v>
      </c>
      <c r="M97" s="75"/>
      <c r="N97" s="76"/>
      <c r="V97" s="56">
        <v>1</v>
      </c>
      <c r="W97" s="56" t="s">
        <v>71</v>
      </c>
      <c r="X97" s="64">
        <v>565.22</v>
      </c>
      <c r="Y97" s="64">
        <v>44.63</v>
      </c>
      <c r="Z97" s="64">
        <f t="shared" si="12"/>
        <v>609.85</v>
      </c>
      <c r="AB97" s="56">
        <v>1</v>
      </c>
      <c r="AC97" s="56" t="s">
        <v>71</v>
      </c>
      <c r="AD97" s="64">
        <v>720.66</v>
      </c>
      <c r="AE97" s="64">
        <v>56.9</v>
      </c>
      <c r="AF97" s="64">
        <f t="shared" si="13"/>
        <v>777.56</v>
      </c>
      <c r="AH97" s="65">
        <f t="shared" si="9"/>
        <v>1.6373879499347987E-2</v>
      </c>
      <c r="AI97" s="65">
        <f t="shared" si="9"/>
        <v>-0.1644991212653778</v>
      </c>
      <c r="AJ97" s="65">
        <f t="shared" si="9"/>
        <v>3.1380215031637793E-3</v>
      </c>
    </row>
    <row r="98" spans="1:36" x14ac:dyDescent="0.3">
      <c r="A98" s="78" t="s">
        <v>224</v>
      </c>
      <c r="B98" s="58" t="s">
        <v>225</v>
      </c>
      <c r="C98" s="59">
        <v>1</v>
      </c>
      <c r="D98" s="60" t="s">
        <v>87</v>
      </c>
      <c r="E98" s="60">
        <v>69.989999999999995</v>
      </c>
      <c r="F98" s="60">
        <v>11.98</v>
      </c>
      <c r="G98" s="60">
        <v>81.97</v>
      </c>
      <c r="H98" s="61">
        <v>69.989999999999995</v>
      </c>
      <c r="I98" s="61">
        <v>11.98</v>
      </c>
      <c r="J98" s="62">
        <v>81.97</v>
      </c>
      <c r="M98" s="75"/>
      <c r="N98" s="76"/>
      <c r="V98" s="56">
        <v>1</v>
      </c>
      <c r="W98" s="56" t="s">
        <v>87</v>
      </c>
      <c r="X98" s="64">
        <v>54.15</v>
      </c>
      <c r="Y98" s="64">
        <v>11.24</v>
      </c>
      <c r="Z98" s="64">
        <f t="shared" si="12"/>
        <v>65.39</v>
      </c>
      <c r="AB98" s="56">
        <v>1</v>
      </c>
      <c r="AC98" s="56" t="s">
        <v>87</v>
      </c>
      <c r="AD98" s="64">
        <v>69.040000000000006</v>
      </c>
      <c r="AE98" s="64">
        <v>14.33</v>
      </c>
      <c r="AF98" s="64">
        <f t="shared" si="13"/>
        <v>83.37</v>
      </c>
      <c r="AH98" s="65">
        <f t="shared" si="9"/>
        <v>1.3760139049826092E-2</v>
      </c>
      <c r="AI98" s="65">
        <f t="shared" si="9"/>
        <v>-0.16399162595952543</v>
      </c>
      <c r="AJ98" s="65">
        <f t="shared" si="9"/>
        <v>-1.6792611251049583E-2</v>
      </c>
    </row>
    <row r="99" spans="1:36" x14ac:dyDescent="0.3">
      <c r="A99" s="78" t="s">
        <v>226</v>
      </c>
      <c r="B99" s="58" t="s">
        <v>227</v>
      </c>
      <c r="C99" s="59">
        <v>18</v>
      </c>
      <c r="D99" s="60" t="s">
        <v>71</v>
      </c>
      <c r="E99" s="60">
        <v>59.93</v>
      </c>
      <c r="F99" s="60">
        <v>8.17</v>
      </c>
      <c r="G99" s="60">
        <v>68.099999999999994</v>
      </c>
      <c r="H99" s="61">
        <v>1078.74</v>
      </c>
      <c r="I99" s="61">
        <v>147.06</v>
      </c>
      <c r="J99" s="62">
        <v>1225.8</v>
      </c>
      <c r="M99" s="75"/>
      <c r="N99" s="79"/>
      <c r="V99" s="56">
        <v>1</v>
      </c>
      <c r="W99" s="56" t="s">
        <v>71</v>
      </c>
      <c r="X99" s="64">
        <v>60.92</v>
      </c>
      <c r="Y99" s="64">
        <v>6.42</v>
      </c>
      <c r="Z99" s="64">
        <f t="shared" si="12"/>
        <v>67.34</v>
      </c>
      <c r="AB99" s="56">
        <v>1</v>
      </c>
      <c r="AC99" s="56" t="s">
        <v>71</v>
      </c>
      <c r="AD99" s="64">
        <v>77.67</v>
      </c>
      <c r="AE99" s="64">
        <v>8.19</v>
      </c>
      <c r="AF99" s="64">
        <f t="shared" si="13"/>
        <v>85.86</v>
      </c>
      <c r="AH99" s="65">
        <f t="shared" si="9"/>
        <v>-0.22840221449723186</v>
      </c>
      <c r="AI99" s="65">
        <f t="shared" si="9"/>
        <v>-2.4420024420024333E-3</v>
      </c>
      <c r="AJ99" s="65">
        <f t="shared" si="9"/>
        <v>-0.20684835779175403</v>
      </c>
    </row>
    <row r="100" spans="1:36" x14ac:dyDescent="0.3">
      <c r="A100" s="78" t="s">
        <v>228</v>
      </c>
      <c r="B100" s="58" t="s">
        <v>229</v>
      </c>
      <c r="C100" s="59">
        <v>61</v>
      </c>
      <c r="D100" s="60" t="s">
        <v>71</v>
      </c>
      <c r="E100" s="60">
        <v>155.41999999999999</v>
      </c>
      <c r="F100" s="60">
        <v>51.23</v>
      </c>
      <c r="G100" s="60">
        <v>206.64999999999998</v>
      </c>
      <c r="H100" s="61">
        <v>9480.619999999999</v>
      </c>
      <c r="I100" s="61">
        <v>3125.0299999999997</v>
      </c>
      <c r="J100" s="62">
        <v>12605.649999999998</v>
      </c>
      <c r="M100" s="75"/>
      <c r="N100" s="79"/>
      <c r="V100" s="56">
        <v>12</v>
      </c>
      <c r="W100" s="56" t="s">
        <v>71</v>
      </c>
      <c r="X100" s="64">
        <v>181.19</v>
      </c>
      <c r="Y100" s="64">
        <v>40.25</v>
      </c>
      <c r="Z100" s="64">
        <f t="shared" si="12"/>
        <v>221.44</v>
      </c>
      <c r="AB100" s="56">
        <v>12</v>
      </c>
      <c r="AC100" s="56" t="s">
        <v>71</v>
      </c>
      <c r="AD100" s="64">
        <v>231.02</v>
      </c>
      <c r="AE100" s="64">
        <v>51.32</v>
      </c>
      <c r="AF100" s="64">
        <f t="shared" si="13"/>
        <v>282.34000000000003</v>
      </c>
      <c r="AH100" s="65">
        <f t="shared" si="9"/>
        <v>-0.32724439442472519</v>
      </c>
      <c r="AI100" s="65">
        <f t="shared" si="9"/>
        <v>-1.7537022603274499E-3</v>
      </c>
      <c r="AJ100" s="65">
        <f t="shared" si="9"/>
        <v>-0.2680810370475315</v>
      </c>
    </row>
    <row r="101" spans="1:36" x14ac:dyDescent="0.3">
      <c r="A101" s="78" t="s">
        <v>230</v>
      </c>
      <c r="B101" s="58" t="s">
        <v>231</v>
      </c>
      <c r="C101" s="59">
        <v>1</v>
      </c>
      <c r="D101" s="60" t="s">
        <v>71</v>
      </c>
      <c r="E101" s="60">
        <v>496.09</v>
      </c>
      <c r="F101" s="60">
        <v>47.54</v>
      </c>
      <c r="G101" s="60">
        <v>543.63</v>
      </c>
      <c r="H101" s="61">
        <v>496.09</v>
      </c>
      <c r="I101" s="61">
        <v>47.54</v>
      </c>
      <c r="J101" s="62">
        <v>543.63</v>
      </c>
      <c r="M101" s="75"/>
      <c r="N101" s="76"/>
      <c r="V101" s="56">
        <v>1</v>
      </c>
      <c r="W101" s="56" t="s">
        <v>71</v>
      </c>
      <c r="X101" s="64">
        <v>385.83</v>
      </c>
      <c r="Y101" s="64">
        <v>44.63</v>
      </c>
      <c r="Z101" s="64">
        <f t="shared" si="12"/>
        <v>430.46</v>
      </c>
      <c r="AB101" s="56">
        <v>1</v>
      </c>
      <c r="AC101" s="56" t="s">
        <v>71</v>
      </c>
      <c r="AD101" s="64">
        <v>491.93</v>
      </c>
      <c r="AE101" s="64">
        <v>56.9</v>
      </c>
      <c r="AF101" s="64">
        <f t="shared" si="13"/>
        <v>548.83000000000004</v>
      </c>
      <c r="AH101" s="65">
        <f t="shared" si="9"/>
        <v>8.456487711666183E-3</v>
      </c>
      <c r="AI101" s="65">
        <f t="shared" si="9"/>
        <v>-0.1644991212653778</v>
      </c>
      <c r="AJ101" s="65">
        <f t="shared" si="9"/>
        <v>-9.474700727001184E-3</v>
      </c>
    </row>
    <row r="102" spans="1:36" x14ac:dyDescent="0.3">
      <c r="A102" s="78" t="s">
        <v>232</v>
      </c>
      <c r="B102" s="58" t="s">
        <v>233</v>
      </c>
      <c r="C102" s="59">
        <v>61</v>
      </c>
      <c r="D102" s="60" t="s">
        <v>71</v>
      </c>
      <c r="E102" s="60">
        <v>90.79</v>
      </c>
      <c r="F102" s="60">
        <v>86.46</v>
      </c>
      <c r="G102" s="60">
        <v>177.25</v>
      </c>
      <c r="H102" s="61">
        <v>5538.1900000000005</v>
      </c>
      <c r="I102" s="61">
        <v>5274.0599999999995</v>
      </c>
      <c r="J102" s="62">
        <v>10812.25</v>
      </c>
      <c r="M102" s="75"/>
      <c r="N102" s="76"/>
      <c r="V102" s="56">
        <v>5</v>
      </c>
      <c r="W102" s="56" t="s">
        <v>71</v>
      </c>
      <c r="X102" s="64">
        <v>78.930000000000007</v>
      </c>
      <c r="Y102" s="64">
        <v>83.74</v>
      </c>
      <c r="Z102" s="64">
        <f t="shared" si="12"/>
        <v>162.67000000000002</v>
      </c>
      <c r="AB102" s="56">
        <v>5</v>
      </c>
      <c r="AC102" s="56" t="s">
        <v>71</v>
      </c>
      <c r="AD102" s="64">
        <v>100.64</v>
      </c>
      <c r="AE102" s="64">
        <v>106.77</v>
      </c>
      <c r="AF102" s="64">
        <f t="shared" si="13"/>
        <v>207.41</v>
      </c>
      <c r="AH102" s="65">
        <f t="shared" si="9"/>
        <v>-9.7873608903020659E-2</v>
      </c>
      <c r="AI102" s="65">
        <f t="shared" si="9"/>
        <v>-0.19022197246417538</v>
      </c>
      <c r="AJ102" s="65">
        <f t="shared" si="9"/>
        <v>-0.145412468058435</v>
      </c>
    </row>
    <row r="103" spans="1:36" x14ac:dyDescent="0.3">
      <c r="A103" s="78" t="s">
        <v>234</v>
      </c>
      <c r="B103" s="58" t="s">
        <v>235</v>
      </c>
      <c r="C103" s="59">
        <v>58</v>
      </c>
      <c r="D103" s="60" t="s">
        <v>71</v>
      </c>
      <c r="E103" s="60">
        <v>26.05</v>
      </c>
      <c r="F103" s="60">
        <v>15.36</v>
      </c>
      <c r="G103" s="60">
        <v>41.41</v>
      </c>
      <c r="H103" s="61">
        <v>1510.9</v>
      </c>
      <c r="I103" s="61">
        <v>890.88</v>
      </c>
      <c r="J103" s="62">
        <v>2401.7799999999997</v>
      </c>
      <c r="M103" s="75"/>
      <c r="N103" s="76"/>
      <c r="V103" s="56">
        <v>27</v>
      </c>
      <c r="W103" s="56" t="s">
        <v>71</v>
      </c>
      <c r="X103" s="64">
        <v>36.090000000000003</v>
      </c>
      <c r="Y103" s="64">
        <v>14.21</v>
      </c>
      <c r="Z103" s="64">
        <f t="shared" si="12"/>
        <v>50.300000000000004</v>
      </c>
      <c r="AB103" s="56">
        <v>27</v>
      </c>
      <c r="AC103" s="56" t="s">
        <v>71</v>
      </c>
      <c r="AD103" s="64">
        <v>46.01</v>
      </c>
      <c r="AE103" s="64">
        <v>18.12</v>
      </c>
      <c r="AF103" s="64">
        <f t="shared" si="13"/>
        <v>64.13</v>
      </c>
      <c r="AH103" s="65">
        <f t="shared" si="9"/>
        <v>-0.43381873505759616</v>
      </c>
      <c r="AI103" s="65">
        <f t="shared" si="9"/>
        <v>-0.1523178807947021</v>
      </c>
      <c r="AJ103" s="65">
        <f t="shared" si="9"/>
        <v>-0.35428036800249496</v>
      </c>
    </row>
    <row r="104" spans="1:36" x14ac:dyDescent="0.3">
      <c r="A104" s="78" t="s">
        <v>236</v>
      </c>
      <c r="B104" s="80" t="s">
        <v>237</v>
      </c>
      <c r="C104" s="59">
        <v>54</v>
      </c>
      <c r="D104" s="60" t="s">
        <v>71</v>
      </c>
      <c r="E104" s="60">
        <v>35.270000000000003</v>
      </c>
      <c r="F104" s="60">
        <v>23.72</v>
      </c>
      <c r="G104" s="60">
        <v>58.99</v>
      </c>
      <c r="H104" s="61">
        <v>1904.5800000000002</v>
      </c>
      <c r="I104" s="61">
        <v>1280.8799999999999</v>
      </c>
      <c r="J104" s="62">
        <v>3185.46</v>
      </c>
      <c r="M104" s="75"/>
      <c r="N104" s="76"/>
      <c r="V104" s="56">
        <v>76</v>
      </c>
      <c r="W104" s="56" t="s">
        <v>71</v>
      </c>
      <c r="X104" s="64">
        <v>40.75</v>
      </c>
      <c r="Y104" s="64">
        <v>23.2</v>
      </c>
      <c r="Z104" s="64">
        <f t="shared" si="12"/>
        <v>63.95</v>
      </c>
      <c r="AB104" s="56">
        <v>76</v>
      </c>
      <c r="AC104" s="56" t="s">
        <v>71</v>
      </c>
      <c r="AD104" s="64">
        <v>51.96</v>
      </c>
      <c r="AE104" s="64">
        <v>29.58</v>
      </c>
      <c r="AF104" s="64">
        <f t="shared" si="13"/>
        <v>81.539999999999992</v>
      </c>
      <c r="AH104" s="65">
        <f t="shared" si="9"/>
        <v>-0.32120862201693601</v>
      </c>
      <c r="AI104" s="65">
        <f t="shared" si="9"/>
        <v>-0.19810682893847198</v>
      </c>
      <c r="AJ104" s="65">
        <f t="shared" si="9"/>
        <v>-0.27655138582290895</v>
      </c>
    </row>
    <row r="105" spans="1:36" x14ac:dyDescent="0.3">
      <c r="A105" s="78" t="s">
        <v>238</v>
      </c>
      <c r="B105" s="58" t="s">
        <v>239</v>
      </c>
      <c r="C105" s="59">
        <v>15</v>
      </c>
      <c r="D105" s="60" t="s">
        <v>71</v>
      </c>
      <c r="E105" s="60">
        <v>119.56</v>
      </c>
      <c r="F105" s="60">
        <v>37.83</v>
      </c>
      <c r="G105" s="60">
        <v>157.38999999999999</v>
      </c>
      <c r="H105" s="61">
        <v>1793.4</v>
      </c>
      <c r="I105" s="61">
        <v>567.44999999999993</v>
      </c>
      <c r="J105" s="62">
        <v>2360.85</v>
      </c>
      <c r="M105" s="75"/>
      <c r="N105" s="76"/>
      <c r="V105" s="56">
        <v>9</v>
      </c>
      <c r="W105" s="56" t="s">
        <v>71</v>
      </c>
      <c r="X105" s="64">
        <v>134.25</v>
      </c>
      <c r="Y105" s="64">
        <v>37.229999999999997</v>
      </c>
      <c r="Z105" s="64">
        <f t="shared" si="12"/>
        <v>171.48</v>
      </c>
      <c r="AB105" s="56">
        <v>9</v>
      </c>
      <c r="AC105" s="56" t="s">
        <v>71</v>
      </c>
      <c r="AD105" s="64">
        <v>171.17</v>
      </c>
      <c r="AE105" s="64">
        <v>47.47</v>
      </c>
      <c r="AF105" s="64">
        <f t="shared" si="13"/>
        <v>218.64</v>
      </c>
      <c r="AH105" s="65">
        <f t="shared" si="9"/>
        <v>-0.30151311561605421</v>
      </c>
      <c r="AI105" s="65">
        <f t="shared" si="9"/>
        <v>-0.20307562671160739</v>
      </c>
      <c r="AJ105" s="65">
        <f t="shared" si="9"/>
        <v>-0.28014087083790706</v>
      </c>
    </row>
    <row r="106" spans="1:36" x14ac:dyDescent="0.3">
      <c r="A106" s="78" t="s">
        <v>240</v>
      </c>
      <c r="B106" s="58" t="s">
        <v>241</v>
      </c>
      <c r="C106" s="59">
        <v>118</v>
      </c>
      <c r="D106" s="60" t="s">
        <v>71</v>
      </c>
      <c r="E106" s="60">
        <v>3.83</v>
      </c>
      <c r="F106" s="60">
        <v>6.01</v>
      </c>
      <c r="G106" s="60">
        <v>9.84</v>
      </c>
      <c r="H106" s="61">
        <v>451.94</v>
      </c>
      <c r="I106" s="61">
        <v>709.18</v>
      </c>
      <c r="J106" s="62">
        <v>1161.1199999999999</v>
      </c>
      <c r="M106" s="75"/>
      <c r="N106" s="76"/>
      <c r="V106" s="56">
        <v>95</v>
      </c>
      <c r="W106" s="56" t="s">
        <v>71</v>
      </c>
      <c r="X106" s="64">
        <v>4.37</v>
      </c>
      <c r="Y106" s="64">
        <v>4.8899999999999997</v>
      </c>
      <c r="Z106" s="64">
        <f t="shared" si="12"/>
        <v>9.26</v>
      </c>
      <c r="AB106" s="56">
        <v>95</v>
      </c>
      <c r="AC106" s="56" t="s">
        <v>71</v>
      </c>
      <c r="AD106" s="64">
        <v>5.57</v>
      </c>
      <c r="AE106" s="64">
        <v>6.23</v>
      </c>
      <c r="AF106" s="64">
        <f t="shared" si="13"/>
        <v>11.8</v>
      </c>
      <c r="AH106" s="65">
        <f t="shared" si="9"/>
        <v>-0.31238779174147224</v>
      </c>
      <c r="AI106" s="65">
        <f t="shared" si="9"/>
        <v>-3.5313001605136507E-2</v>
      </c>
      <c r="AJ106" s="65">
        <f t="shared" si="9"/>
        <v>-0.16610169491525428</v>
      </c>
    </row>
    <row r="107" spans="1:36" x14ac:dyDescent="0.3">
      <c r="A107" s="78" t="s">
        <v>242</v>
      </c>
      <c r="B107" s="58" t="s">
        <v>243</v>
      </c>
      <c r="C107" s="59">
        <v>38</v>
      </c>
      <c r="D107" s="60" t="s">
        <v>71</v>
      </c>
      <c r="E107" s="60">
        <v>225.57</v>
      </c>
      <c r="F107" s="60">
        <v>7.72</v>
      </c>
      <c r="G107" s="60">
        <v>233.29</v>
      </c>
      <c r="H107" s="61">
        <v>8571.66</v>
      </c>
      <c r="I107" s="61">
        <v>293.36</v>
      </c>
      <c r="J107" s="62">
        <v>8865.02</v>
      </c>
      <c r="M107" s="75"/>
      <c r="N107" s="76"/>
      <c r="V107" s="56">
        <v>102</v>
      </c>
      <c r="W107" s="56" t="s">
        <v>71</v>
      </c>
      <c r="X107" s="64">
        <v>257.47000000000003</v>
      </c>
      <c r="Y107" s="64">
        <v>6.94</v>
      </c>
      <c r="Z107" s="64">
        <f t="shared" si="12"/>
        <v>264.41000000000003</v>
      </c>
      <c r="AB107" s="56">
        <v>102</v>
      </c>
      <c r="AC107" s="56" t="s">
        <v>71</v>
      </c>
      <c r="AD107" s="64">
        <v>328.27</v>
      </c>
      <c r="AE107" s="64">
        <v>8.85</v>
      </c>
      <c r="AF107" s="64">
        <f t="shared" si="13"/>
        <v>337.12</v>
      </c>
      <c r="AH107" s="65">
        <f t="shared" si="9"/>
        <v>-0.31285222530234258</v>
      </c>
      <c r="AI107" s="65">
        <f t="shared" si="9"/>
        <v>-0.12768361581920906</v>
      </c>
      <c r="AJ107" s="65">
        <f t="shared" si="9"/>
        <v>-0.30799121974371146</v>
      </c>
    </row>
    <row r="108" spans="1:36" x14ac:dyDescent="0.3">
      <c r="A108" s="78" t="s">
        <v>244</v>
      </c>
      <c r="B108" s="58" t="s">
        <v>245</v>
      </c>
      <c r="C108" s="59">
        <v>580</v>
      </c>
      <c r="D108" s="60" t="s">
        <v>71</v>
      </c>
      <c r="E108" s="60">
        <v>125.25</v>
      </c>
      <c r="F108" s="60">
        <v>8.74</v>
      </c>
      <c r="G108" s="60">
        <v>133.99</v>
      </c>
      <c r="H108" s="61">
        <v>72645</v>
      </c>
      <c r="I108" s="61">
        <v>5069.2</v>
      </c>
      <c r="J108" s="62">
        <v>77714.200000000012</v>
      </c>
      <c r="M108" s="75"/>
      <c r="N108" s="76"/>
      <c r="V108" s="56">
        <v>6</v>
      </c>
      <c r="W108" s="56" t="s">
        <v>71</v>
      </c>
      <c r="X108" s="64">
        <v>142.96</v>
      </c>
      <c r="Y108" s="64">
        <v>7.87</v>
      </c>
      <c r="Z108" s="64">
        <f t="shared" si="12"/>
        <v>150.83000000000001</v>
      </c>
      <c r="AB108" s="56">
        <v>6</v>
      </c>
      <c r="AC108" s="56" t="s">
        <v>71</v>
      </c>
      <c r="AD108" s="64">
        <v>182.27</v>
      </c>
      <c r="AE108" s="64">
        <v>10.029999999999999</v>
      </c>
      <c r="AF108" s="64">
        <f t="shared" si="13"/>
        <v>192.3</v>
      </c>
      <c r="AH108" s="65">
        <f t="shared" si="9"/>
        <v>-0.31283261096176007</v>
      </c>
      <c r="AI108" s="65">
        <f t="shared" si="9"/>
        <v>-0.12861415752741767</v>
      </c>
      <c r="AJ108" s="65">
        <f t="shared" si="9"/>
        <v>-0.3032241289651586</v>
      </c>
    </row>
    <row r="109" spans="1:36" x14ac:dyDescent="0.3">
      <c r="A109" s="78" t="s">
        <v>246</v>
      </c>
      <c r="B109" s="58" t="s">
        <v>247</v>
      </c>
      <c r="C109" s="59">
        <v>2235</v>
      </c>
      <c r="D109" s="60" t="s">
        <v>71</v>
      </c>
      <c r="E109" s="60">
        <v>231.12</v>
      </c>
      <c r="F109" s="60">
        <v>5.14</v>
      </c>
      <c r="G109" s="60">
        <v>236.26</v>
      </c>
      <c r="H109" s="61">
        <v>516553.2</v>
      </c>
      <c r="I109" s="61">
        <v>11487.9</v>
      </c>
      <c r="J109" s="62">
        <v>528041.1</v>
      </c>
      <c r="M109" s="75"/>
      <c r="N109" s="76"/>
      <c r="V109" s="56">
        <v>1943</v>
      </c>
      <c r="W109" s="56" t="s">
        <v>71</v>
      </c>
      <c r="X109" s="64">
        <v>263.8</v>
      </c>
      <c r="Y109" s="64">
        <v>4.63</v>
      </c>
      <c r="Z109" s="64">
        <f t="shared" si="12"/>
        <v>268.43</v>
      </c>
      <c r="AB109" s="56">
        <v>1943</v>
      </c>
      <c r="AC109" s="56" t="s">
        <v>71</v>
      </c>
      <c r="AD109" s="64">
        <v>336.35</v>
      </c>
      <c r="AE109" s="64">
        <v>5.9</v>
      </c>
      <c r="AF109" s="64">
        <f t="shared" si="13"/>
        <v>342.25</v>
      </c>
      <c r="AH109" s="65">
        <f t="shared" si="9"/>
        <v>-0.31285862940389475</v>
      </c>
      <c r="AI109" s="65">
        <f t="shared" si="9"/>
        <v>-0.12881355932203398</v>
      </c>
      <c r="AJ109" s="65">
        <f t="shared" si="9"/>
        <v>-0.30968590211833458</v>
      </c>
    </row>
    <row r="110" spans="1:36" x14ac:dyDescent="0.3">
      <c r="A110" s="78" t="s">
        <v>248</v>
      </c>
      <c r="B110" s="58" t="s">
        <v>249</v>
      </c>
      <c r="C110" s="59">
        <v>23</v>
      </c>
      <c r="D110" s="60" t="s">
        <v>87</v>
      </c>
      <c r="E110" s="60">
        <v>20.67</v>
      </c>
      <c r="F110" s="60">
        <v>7.67</v>
      </c>
      <c r="G110" s="60">
        <v>28.340000000000003</v>
      </c>
      <c r="H110" s="61">
        <v>475.41</v>
      </c>
      <c r="I110" s="61">
        <v>176.41</v>
      </c>
      <c r="J110" s="62">
        <v>651.82000000000005</v>
      </c>
      <c r="M110" s="75"/>
      <c r="N110" s="76"/>
      <c r="V110" s="56">
        <v>11</v>
      </c>
      <c r="W110" s="56" t="s">
        <v>87</v>
      </c>
      <c r="X110" s="64">
        <v>24.07</v>
      </c>
      <c r="Y110" s="64">
        <v>6.89</v>
      </c>
      <c r="Z110" s="64">
        <f t="shared" si="12"/>
        <v>30.96</v>
      </c>
      <c r="AB110" s="56">
        <v>11</v>
      </c>
      <c r="AC110" s="56" t="s">
        <v>87</v>
      </c>
      <c r="AD110" s="64">
        <v>30.69</v>
      </c>
      <c r="AE110" s="64">
        <v>8.7799999999999994</v>
      </c>
      <c r="AF110" s="64">
        <f t="shared" si="13"/>
        <v>39.47</v>
      </c>
      <c r="AH110" s="65">
        <f t="shared" si="9"/>
        <v>-0.32649071358748771</v>
      </c>
      <c r="AI110" s="65">
        <f t="shared" si="9"/>
        <v>-0.12642369020501132</v>
      </c>
      <c r="AJ110" s="65">
        <f t="shared" si="9"/>
        <v>-0.28198631872308066</v>
      </c>
    </row>
    <row r="111" spans="1:36" x14ac:dyDescent="0.3">
      <c r="A111" s="78" t="s">
        <v>250</v>
      </c>
      <c r="B111" s="58" t="s">
        <v>251</v>
      </c>
      <c r="C111" s="59">
        <v>4</v>
      </c>
      <c r="D111" s="60" t="s">
        <v>71</v>
      </c>
      <c r="E111" s="60">
        <v>132.84</v>
      </c>
      <c r="F111" s="60">
        <v>2.4</v>
      </c>
      <c r="G111" s="60">
        <v>135.24</v>
      </c>
      <c r="H111" s="61">
        <v>531.36</v>
      </c>
      <c r="I111" s="61">
        <v>9.6</v>
      </c>
      <c r="J111" s="62">
        <v>540.96</v>
      </c>
      <c r="M111" s="75"/>
      <c r="N111" s="76"/>
      <c r="V111" s="56">
        <v>1</v>
      </c>
      <c r="W111" s="56" t="s">
        <v>71</v>
      </c>
      <c r="X111" s="64">
        <v>151.62</v>
      </c>
      <c r="Y111" s="64">
        <v>1.96</v>
      </c>
      <c r="Z111" s="64">
        <f t="shared" si="12"/>
        <v>153.58000000000001</v>
      </c>
      <c r="AB111" s="56">
        <v>1</v>
      </c>
      <c r="AC111" s="56" t="s">
        <v>71</v>
      </c>
      <c r="AD111" s="64">
        <v>193.32</v>
      </c>
      <c r="AE111" s="64">
        <v>2.5</v>
      </c>
      <c r="AF111" s="64">
        <f t="shared" si="13"/>
        <v>195.82</v>
      </c>
      <c r="AH111" s="65">
        <f t="shared" si="9"/>
        <v>-0.31284916201117319</v>
      </c>
      <c r="AI111" s="65">
        <f t="shared" si="9"/>
        <v>-4.0000000000000036E-2</v>
      </c>
      <c r="AJ111" s="65">
        <f t="shared" si="9"/>
        <v>-0.30936574405065875</v>
      </c>
    </row>
    <row r="112" spans="1:36" x14ac:dyDescent="0.3">
      <c r="A112" s="78" t="s">
        <v>252</v>
      </c>
      <c r="B112" s="58" t="s">
        <v>253</v>
      </c>
      <c r="C112" s="59">
        <v>1</v>
      </c>
      <c r="D112" s="60" t="s">
        <v>87</v>
      </c>
      <c r="E112" s="60">
        <v>19.149999999999999</v>
      </c>
      <c r="F112" s="60">
        <v>5.14</v>
      </c>
      <c r="G112" s="60">
        <v>24.29</v>
      </c>
      <c r="H112" s="61">
        <v>19.149999999999999</v>
      </c>
      <c r="I112" s="61">
        <v>5.14</v>
      </c>
      <c r="J112" s="62">
        <v>24.29</v>
      </c>
      <c r="M112" s="75"/>
      <c r="N112" s="76"/>
      <c r="V112" s="56">
        <v>1</v>
      </c>
      <c r="W112" s="56" t="s">
        <v>87</v>
      </c>
      <c r="X112" s="64">
        <v>21.86</v>
      </c>
      <c r="Y112" s="64">
        <v>4.63</v>
      </c>
      <c r="Z112" s="64">
        <f t="shared" si="12"/>
        <v>26.49</v>
      </c>
      <c r="AB112" s="56">
        <v>1</v>
      </c>
      <c r="AC112" s="56" t="s">
        <v>87</v>
      </c>
      <c r="AD112" s="64">
        <v>27.87</v>
      </c>
      <c r="AE112" s="64">
        <v>5.9</v>
      </c>
      <c r="AF112" s="64">
        <f t="shared" si="13"/>
        <v>33.770000000000003</v>
      </c>
      <c r="AH112" s="65">
        <f t="shared" si="9"/>
        <v>-0.31288123430211701</v>
      </c>
      <c r="AI112" s="65">
        <f t="shared" si="9"/>
        <v>-0.12881355932203398</v>
      </c>
      <c r="AJ112" s="65">
        <f t="shared" si="9"/>
        <v>-0.28072253479419618</v>
      </c>
    </row>
    <row r="113" spans="1:36" x14ac:dyDescent="0.3">
      <c r="A113" s="78" t="s">
        <v>254</v>
      </c>
      <c r="B113" s="58" t="s">
        <v>255</v>
      </c>
      <c r="C113" s="59">
        <v>1</v>
      </c>
      <c r="D113" s="60" t="s">
        <v>71</v>
      </c>
      <c r="E113" s="60">
        <v>10.25</v>
      </c>
      <c r="F113" s="60">
        <v>8.17</v>
      </c>
      <c r="G113" s="60">
        <v>18.420000000000002</v>
      </c>
      <c r="H113" s="61">
        <v>10.25</v>
      </c>
      <c r="I113" s="61">
        <v>8.17</v>
      </c>
      <c r="J113" s="62">
        <v>18.420000000000002</v>
      </c>
      <c r="M113" s="75"/>
      <c r="N113" s="76"/>
      <c r="V113" s="56">
        <v>1</v>
      </c>
      <c r="W113" s="56" t="s">
        <v>71</v>
      </c>
      <c r="X113" s="64">
        <v>14.98</v>
      </c>
      <c r="Y113" s="64">
        <v>6.42</v>
      </c>
      <c r="Z113" s="64">
        <f t="shared" si="12"/>
        <v>21.4</v>
      </c>
      <c r="AB113" s="56">
        <v>1</v>
      </c>
      <c r="AC113" s="56" t="s">
        <v>71</v>
      </c>
      <c r="AD113" s="64">
        <v>19.100000000000001</v>
      </c>
      <c r="AE113" s="64">
        <v>8.19</v>
      </c>
      <c r="AF113" s="64">
        <f t="shared" si="13"/>
        <v>27.29</v>
      </c>
      <c r="AH113" s="65">
        <f t="shared" si="9"/>
        <v>-0.46335078534031415</v>
      </c>
      <c r="AI113" s="65">
        <f t="shared" si="9"/>
        <v>-2.4420024420024333E-3</v>
      </c>
      <c r="AJ113" s="65">
        <f t="shared" si="9"/>
        <v>-0.32502748259435688</v>
      </c>
    </row>
    <row r="114" spans="1:36" x14ac:dyDescent="0.3">
      <c r="A114" s="78" t="s">
        <v>256</v>
      </c>
      <c r="B114" s="58" t="s">
        <v>257</v>
      </c>
      <c r="C114" s="59">
        <v>1</v>
      </c>
      <c r="D114" s="60" t="s">
        <v>71</v>
      </c>
      <c r="E114" s="60">
        <v>15.88</v>
      </c>
      <c r="F114" s="60">
        <v>10.29</v>
      </c>
      <c r="G114" s="60">
        <v>26.17</v>
      </c>
      <c r="H114" s="61">
        <v>15.88</v>
      </c>
      <c r="I114" s="61">
        <v>10.29</v>
      </c>
      <c r="J114" s="62">
        <v>26.17</v>
      </c>
      <c r="M114" s="75"/>
      <c r="N114" s="76"/>
      <c r="V114" s="56">
        <v>1</v>
      </c>
      <c r="W114" s="56" t="s">
        <v>71</v>
      </c>
      <c r="X114" s="64">
        <v>19.95</v>
      </c>
      <c r="Y114" s="64">
        <v>9.26</v>
      </c>
      <c r="Z114" s="64">
        <f t="shared" si="12"/>
        <v>29.21</v>
      </c>
      <c r="AB114" s="56">
        <v>1</v>
      </c>
      <c r="AC114" s="56" t="s">
        <v>71</v>
      </c>
      <c r="AD114" s="64">
        <v>25.44</v>
      </c>
      <c r="AE114" s="64">
        <v>11.81</v>
      </c>
      <c r="AF114" s="64">
        <f t="shared" si="13"/>
        <v>37.25</v>
      </c>
      <c r="AH114" s="65">
        <f t="shared" si="9"/>
        <v>-0.37578616352201255</v>
      </c>
      <c r="AI114" s="65">
        <f t="shared" si="9"/>
        <v>-0.12870448772226939</v>
      </c>
      <c r="AJ114" s="65">
        <f t="shared" si="9"/>
        <v>-0.29744966442953014</v>
      </c>
    </row>
    <row r="115" spans="1:36" x14ac:dyDescent="0.3">
      <c r="A115" s="78" t="s">
        <v>258</v>
      </c>
      <c r="B115" s="58" t="s">
        <v>259</v>
      </c>
      <c r="C115" s="59">
        <v>2</v>
      </c>
      <c r="D115" s="60" t="s">
        <v>71</v>
      </c>
      <c r="E115" s="60">
        <v>43.65</v>
      </c>
      <c r="F115" s="60">
        <v>0</v>
      </c>
      <c r="G115" s="60">
        <v>43.65</v>
      </c>
      <c r="H115" s="61">
        <v>87.3</v>
      </c>
      <c r="I115" s="61">
        <v>0</v>
      </c>
      <c r="J115" s="62">
        <v>87.3</v>
      </c>
      <c r="M115" s="75"/>
      <c r="N115" s="76"/>
      <c r="V115" s="56">
        <v>1</v>
      </c>
      <c r="W115" s="56" t="s">
        <v>71</v>
      </c>
      <c r="X115" s="64">
        <v>47.08</v>
      </c>
      <c r="Y115" s="64">
        <v>0</v>
      </c>
      <c r="Z115" s="64">
        <f t="shared" si="12"/>
        <v>47.08</v>
      </c>
      <c r="AB115" s="56">
        <v>1</v>
      </c>
      <c r="AC115" s="56" t="s">
        <v>71</v>
      </c>
      <c r="AD115" s="64">
        <v>60.03</v>
      </c>
      <c r="AE115" s="64">
        <v>0</v>
      </c>
      <c r="AF115" s="64">
        <f t="shared" si="13"/>
        <v>60.03</v>
      </c>
      <c r="AH115" s="65">
        <f t="shared" si="9"/>
        <v>-0.27286356821589208</v>
      </c>
      <c r="AI115" s="65">
        <f t="shared" si="9"/>
        <v>0</v>
      </c>
      <c r="AJ115" s="65">
        <f t="shared" si="9"/>
        <v>-0.27286356821589208</v>
      </c>
    </row>
    <row r="116" spans="1:36" x14ac:dyDescent="0.3">
      <c r="A116" s="69">
        <v>11</v>
      </c>
      <c r="B116" s="70" t="s">
        <v>260</v>
      </c>
      <c r="C116" s="71"/>
      <c r="D116" s="72"/>
      <c r="E116" s="72"/>
      <c r="F116" s="72"/>
      <c r="G116" s="72"/>
      <c r="H116" s="52">
        <v>35029.120000000003</v>
      </c>
      <c r="I116" s="52">
        <v>18675.599999999999</v>
      </c>
      <c r="J116" s="52">
        <v>53704.720000000008</v>
      </c>
      <c r="M116" s="75"/>
      <c r="N116" s="76"/>
      <c r="V116" s="54"/>
      <c r="W116" s="54"/>
      <c r="X116" s="55"/>
      <c r="Y116" s="55"/>
      <c r="Z116" s="55"/>
      <c r="AB116" s="54"/>
      <c r="AC116" s="54"/>
      <c r="AD116" s="55"/>
      <c r="AE116" s="55"/>
      <c r="AF116" s="55"/>
      <c r="AH116" s="65">
        <f t="shared" si="9"/>
        <v>0</v>
      </c>
      <c r="AI116" s="65">
        <f t="shared" si="9"/>
        <v>0</v>
      </c>
      <c r="AJ116" s="65">
        <f t="shared" si="9"/>
        <v>0</v>
      </c>
    </row>
    <row r="117" spans="1:36" x14ac:dyDescent="0.3">
      <c r="A117" s="78" t="s">
        <v>261</v>
      </c>
      <c r="B117" s="58" t="s">
        <v>262</v>
      </c>
      <c r="C117" s="59">
        <v>1</v>
      </c>
      <c r="D117" s="60" t="s">
        <v>71</v>
      </c>
      <c r="E117" s="60">
        <v>129.41999999999999</v>
      </c>
      <c r="F117" s="60">
        <v>59.97</v>
      </c>
      <c r="G117" s="60">
        <v>189.39</v>
      </c>
      <c r="H117" s="61">
        <v>129.41999999999999</v>
      </c>
      <c r="I117" s="61">
        <v>59.97</v>
      </c>
      <c r="J117" s="62">
        <v>189.39</v>
      </c>
      <c r="M117" s="75"/>
      <c r="N117" s="76"/>
      <c r="V117" s="56">
        <v>1</v>
      </c>
      <c r="W117" s="56" t="s">
        <v>71</v>
      </c>
      <c r="X117" s="64">
        <v>162.72</v>
      </c>
      <c r="Y117" s="64">
        <v>53.86</v>
      </c>
      <c r="Z117" s="64">
        <f t="shared" ref="Z117:Z125" si="14">SUM(X117:Y117)</f>
        <v>216.57999999999998</v>
      </c>
      <c r="AB117" s="56">
        <v>1</v>
      </c>
      <c r="AC117" s="56" t="s">
        <v>71</v>
      </c>
      <c r="AD117" s="64">
        <v>207.47</v>
      </c>
      <c r="AE117" s="64">
        <v>68.67</v>
      </c>
      <c r="AF117" s="64">
        <f t="shared" ref="AF117:AF125" si="15">SUM(AD117:AE117)</f>
        <v>276.14</v>
      </c>
      <c r="AH117" s="65">
        <f t="shared" si="9"/>
        <v>-0.37619896852557</v>
      </c>
      <c r="AI117" s="65">
        <f t="shared" si="9"/>
        <v>-0.12669287898645698</v>
      </c>
      <c r="AJ117" s="65">
        <f t="shared" si="9"/>
        <v>-0.31415224161657129</v>
      </c>
    </row>
    <row r="118" spans="1:36" x14ac:dyDescent="0.3">
      <c r="A118" s="78" t="s">
        <v>263</v>
      </c>
      <c r="B118" s="58" t="s">
        <v>264</v>
      </c>
      <c r="C118" s="59">
        <v>259</v>
      </c>
      <c r="D118" s="60" t="s">
        <v>71</v>
      </c>
      <c r="E118" s="60">
        <v>1.96</v>
      </c>
      <c r="F118" s="60">
        <v>5.14</v>
      </c>
      <c r="G118" s="60">
        <v>7.1</v>
      </c>
      <c r="H118" s="61">
        <v>507.64</v>
      </c>
      <c r="I118" s="61">
        <v>1331.26</v>
      </c>
      <c r="J118" s="62">
        <v>1838.8999999999999</v>
      </c>
      <c r="M118" s="75"/>
      <c r="N118" s="76"/>
      <c r="V118" s="56">
        <v>288</v>
      </c>
      <c r="W118" s="56" t="s">
        <v>71</v>
      </c>
      <c r="X118" s="64">
        <v>2.76</v>
      </c>
      <c r="Y118" s="64">
        <v>4.63</v>
      </c>
      <c r="Z118" s="64">
        <f t="shared" si="14"/>
        <v>7.39</v>
      </c>
      <c r="AB118" s="56">
        <v>288</v>
      </c>
      <c r="AC118" s="56" t="s">
        <v>71</v>
      </c>
      <c r="AD118" s="64">
        <v>3.52</v>
      </c>
      <c r="AE118" s="64">
        <v>5.9</v>
      </c>
      <c r="AF118" s="64">
        <f t="shared" si="15"/>
        <v>9.42</v>
      </c>
      <c r="AH118" s="65">
        <f t="shared" si="9"/>
        <v>-0.44318181818181823</v>
      </c>
      <c r="AI118" s="65">
        <f t="shared" si="9"/>
        <v>-0.12881355932203398</v>
      </c>
      <c r="AJ118" s="65">
        <f t="shared" si="9"/>
        <v>-0.24628450106157118</v>
      </c>
    </row>
    <row r="119" spans="1:36" x14ac:dyDescent="0.3">
      <c r="A119" s="78" t="s">
        <v>265</v>
      </c>
      <c r="B119" s="58" t="s">
        <v>266</v>
      </c>
      <c r="C119" s="59">
        <v>462</v>
      </c>
      <c r="D119" s="60" t="s">
        <v>71</v>
      </c>
      <c r="E119" s="60">
        <v>15.88</v>
      </c>
      <c r="F119" s="60">
        <v>23.81</v>
      </c>
      <c r="G119" s="60">
        <v>39.69</v>
      </c>
      <c r="H119" s="61">
        <v>7336.56</v>
      </c>
      <c r="I119" s="61">
        <v>11000.22</v>
      </c>
      <c r="J119" s="62">
        <v>18336.78</v>
      </c>
      <c r="M119" s="75"/>
      <c r="N119" s="76"/>
      <c r="V119" s="56">
        <v>321</v>
      </c>
      <c r="W119" s="56" t="s">
        <v>71</v>
      </c>
      <c r="X119" s="64">
        <v>19.95</v>
      </c>
      <c r="Y119" s="64">
        <v>21.89</v>
      </c>
      <c r="Z119" s="64">
        <f t="shared" si="14"/>
        <v>41.84</v>
      </c>
      <c r="AB119" s="56">
        <v>321</v>
      </c>
      <c r="AC119" s="56" t="s">
        <v>71</v>
      </c>
      <c r="AD119" s="64">
        <v>25.44</v>
      </c>
      <c r="AE119" s="64">
        <v>27.91</v>
      </c>
      <c r="AF119" s="64">
        <f t="shared" si="15"/>
        <v>53.35</v>
      </c>
      <c r="AH119" s="65">
        <f t="shared" si="9"/>
        <v>-0.37578616352201255</v>
      </c>
      <c r="AI119" s="65">
        <f t="shared" si="9"/>
        <v>-0.1469007524184881</v>
      </c>
      <c r="AJ119" s="65">
        <f t="shared" si="9"/>
        <v>-0.25604498594189318</v>
      </c>
    </row>
    <row r="120" spans="1:36" x14ac:dyDescent="0.3">
      <c r="A120" s="78" t="s">
        <v>267</v>
      </c>
      <c r="B120" s="58" t="s">
        <v>268</v>
      </c>
      <c r="C120" s="59">
        <v>66</v>
      </c>
      <c r="D120" s="60" t="s">
        <v>71</v>
      </c>
      <c r="E120" s="60">
        <v>31.43</v>
      </c>
      <c r="F120" s="60">
        <v>38.01</v>
      </c>
      <c r="G120" s="60">
        <v>69.44</v>
      </c>
      <c r="H120" s="61">
        <v>2074.38</v>
      </c>
      <c r="I120" s="61">
        <v>2508.66</v>
      </c>
      <c r="J120" s="62">
        <v>4583.04</v>
      </c>
      <c r="M120" s="75"/>
      <c r="N120" s="76"/>
      <c r="V120" s="56">
        <v>32</v>
      </c>
      <c r="W120" s="56" t="s">
        <v>71</v>
      </c>
      <c r="X120" s="64">
        <v>36.53</v>
      </c>
      <c r="Y120" s="64">
        <v>36.840000000000003</v>
      </c>
      <c r="Z120" s="64">
        <f t="shared" si="14"/>
        <v>73.37</v>
      </c>
      <c r="AB120" s="56">
        <v>32</v>
      </c>
      <c r="AC120" s="56" t="s">
        <v>71</v>
      </c>
      <c r="AD120" s="64">
        <v>46.58</v>
      </c>
      <c r="AE120" s="64">
        <v>46.97</v>
      </c>
      <c r="AF120" s="64">
        <f t="shared" si="15"/>
        <v>93.55</v>
      </c>
      <c r="AH120" s="65">
        <f t="shared" si="9"/>
        <v>-0.32524688707599825</v>
      </c>
      <c r="AI120" s="65">
        <f t="shared" si="9"/>
        <v>-0.19076005961251863</v>
      </c>
      <c r="AJ120" s="65">
        <f t="shared" si="9"/>
        <v>-0.25772314270443608</v>
      </c>
    </row>
    <row r="121" spans="1:36" x14ac:dyDescent="0.3">
      <c r="A121" s="78" t="s">
        <v>269</v>
      </c>
      <c r="B121" s="58" t="s">
        <v>270</v>
      </c>
      <c r="C121" s="59">
        <v>83</v>
      </c>
      <c r="D121" s="60" t="s">
        <v>71</v>
      </c>
      <c r="E121" s="60">
        <v>256.41000000000003</v>
      </c>
      <c r="F121" s="60">
        <v>40.380000000000003</v>
      </c>
      <c r="G121" s="60">
        <v>296.79000000000002</v>
      </c>
      <c r="H121" s="61">
        <v>21282.030000000002</v>
      </c>
      <c r="I121" s="61">
        <v>3351.5400000000004</v>
      </c>
      <c r="J121" s="62">
        <v>24633.570000000003</v>
      </c>
      <c r="M121" s="75"/>
      <c r="N121" s="76"/>
      <c r="V121" s="56">
        <v>5</v>
      </c>
      <c r="W121" s="56" t="s">
        <v>71</v>
      </c>
      <c r="X121" s="64">
        <v>302.69</v>
      </c>
      <c r="Y121" s="64">
        <v>39.119999999999997</v>
      </c>
      <c r="Z121" s="64">
        <f t="shared" si="14"/>
        <v>341.81</v>
      </c>
      <c r="AB121" s="56">
        <v>5</v>
      </c>
      <c r="AC121" s="56" t="s">
        <v>71</v>
      </c>
      <c r="AD121" s="64">
        <v>385.93</v>
      </c>
      <c r="AE121" s="64">
        <v>49.88</v>
      </c>
      <c r="AF121" s="64">
        <f t="shared" si="15"/>
        <v>435.81</v>
      </c>
      <c r="AH121" s="65">
        <f t="shared" si="9"/>
        <v>-0.33560490244344821</v>
      </c>
      <c r="AI121" s="65">
        <f t="shared" si="9"/>
        <v>-0.19045709703287894</v>
      </c>
      <c r="AJ121" s="65">
        <f t="shared" si="9"/>
        <v>-0.31899222138087691</v>
      </c>
    </row>
    <row r="122" spans="1:36" x14ac:dyDescent="0.3">
      <c r="A122" s="78" t="s">
        <v>271</v>
      </c>
      <c r="B122" s="58" t="s">
        <v>272</v>
      </c>
      <c r="C122" s="59">
        <v>21</v>
      </c>
      <c r="D122" s="60" t="s">
        <v>71</v>
      </c>
      <c r="E122" s="60">
        <v>90.11</v>
      </c>
      <c r="F122" s="60">
        <v>9.39</v>
      </c>
      <c r="G122" s="60">
        <v>99.5</v>
      </c>
      <c r="H122" s="61">
        <v>1892.31</v>
      </c>
      <c r="I122" s="61">
        <v>197.19</v>
      </c>
      <c r="J122" s="62">
        <v>2089.5</v>
      </c>
      <c r="M122" s="75"/>
      <c r="N122" s="76"/>
      <c r="V122" s="56">
        <v>49</v>
      </c>
      <c r="W122" s="56" t="s">
        <v>71</v>
      </c>
      <c r="X122" s="64">
        <v>165.07</v>
      </c>
      <c r="Y122" s="64">
        <v>8.85</v>
      </c>
      <c r="Z122" s="64">
        <f t="shared" si="14"/>
        <v>173.92</v>
      </c>
      <c r="AB122" s="56">
        <v>49</v>
      </c>
      <c r="AC122" s="56" t="s">
        <v>71</v>
      </c>
      <c r="AD122" s="64">
        <v>210.46</v>
      </c>
      <c r="AE122" s="64">
        <v>11.28</v>
      </c>
      <c r="AF122" s="64">
        <f t="shared" si="15"/>
        <v>221.74</v>
      </c>
      <c r="AH122" s="65">
        <f t="shared" si="9"/>
        <v>-0.57184263042858507</v>
      </c>
      <c r="AI122" s="65">
        <f t="shared" si="9"/>
        <v>-0.16755319148936165</v>
      </c>
      <c r="AJ122" s="65">
        <f t="shared" si="9"/>
        <v>-0.55127626950482544</v>
      </c>
    </row>
    <row r="123" spans="1:36" x14ac:dyDescent="0.3">
      <c r="A123" s="78" t="s">
        <v>273</v>
      </c>
      <c r="B123" s="58" t="s">
        <v>274</v>
      </c>
      <c r="C123" s="59">
        <v>4</v>
      </c>
      <c r="D123" s="60" t="s">
        <v>71</v>
      </c>
      <c r="E123" s="60">
        <v>268.58</v>
      </c>
      <c r="F123" s="60">
        <v>34.71</v>
      </c>
      <c r="G123" s="60">
        <v>303.28999999999996</v>
      </c>
      <c r="H123" s="61">
        <v>1074.32</v>
      </c>
      <c r="I123" s="61">
        <v>138.84</v>
      </c>
      <c r="J123" s="62">
        <v>1213.1599999999999</v>
      </c>
      <c r="M123" s="75"/>
      <c r="N123" s="76"/>
      <c r="V123" s="56">
        <v>1</v>
      </c>
      <c r="W123" s="56" t="s">
        <v>71</v>
      </c>
      <c r="X123" s="64">
        <v>304.06</v>
      </c>
      <c r="Y123" s="64">
        <v>32.130000000000003</v>
      </c>
      <c r="Z123" s="64">
        <f t="shared" si="14"/>
        <v>336.19</v>
      </c>
      <c r="AB123" s="56">
        <v>1</v>
      </c>
      <c r="AC123" s="56" t="s">
        <v>71</v>
      </c>
      <c r="AD123" s="64">
        <v>387.68</v>
      </c>
      <c r="AE123" s="64">
        <v>40.97</v>
      </c>
      <c r="AF123" s="64">
        <f t="shared" si="15"/>
        <v>428.65</v>
      </c>
      <c r="AH123" s="65">
        <f t="shared" si="9"/>
        <v>-0.30721213371853084</v>
      </c>
      <c r="AI123" s="65">
        <f t="shared" si="9"/>
        <v>-0.15279472784964598</v>
      </c>
      <c r="AJ123" s="65">
        <f t="shared" si="9"/>
        <v>-0.2924530502741165</v>
      </c>
    </row>
    <row r="124" spans="1:36" x14ac:dyDescent="0.3">
      <c r="A124" s="78" t="s">
        <v>275</v>
      </c>
      <c r="B124" s="58" t="s">
        <v>276</v>
      </c>
      <c r="C124" s="59">
        <v>1</v>
      </c>
      <c r="D124" s="60" t="s">
        <v>71</v>
      </c>
      <c r="E124" s="60">
        <v>496.09</v>
      </c>
      <c r="F124" s="60">
        <v>47.54</v>
      </c>
      <c r="G124" s="60">
        <v>543.63</v>
      </c>
      <c r="H124" s="61">
        <v>496.09</v>
      </c>
      <c r="I124" s="61">
        <v>47.54</v>
      </c>
      <c r="J124" s="62">
        <v>543.63</v>
      </c>
      <c r="M124" s="75"/>
      <c r="N124" s="76"/>
      <c r="V124" s="56">
        <v>1</v>
      </c>
      <c r="W124" s="56" t="s">
        <v>71</v>
      </c>
      <c r="X124" s="64">
        <v>385.83</v>
      </c>
      <c r="Y124" s="64">
        <v>44.63</v>
      </c>
      <c r="Z124" s="64">
        <f t="shared" si="14"/>
        <v>430.46</v>
      </c>
      <c r="AB124" s="56">
        <v>1</v>
      </c>
      <c r="AC124" s="56" t="s">
        <v>71</v>
      </c>
      <c r="AD124" s="64">
        <v>491.93</v>
      </c>
      <c r="AE124" s="64">
        <v>56.9</v>
      </c>
      <c r="AF124" s="64">
        <f t="shared" si="15"/>
        <v>548.83000000000004</v>
      </c>
      <c r="AH124" s="65">
        <f t="shared" si="9"/>
        <v>8.456487711666183E-3</v>
      </c>
      <c r="AI124" s="65">
        <f t="shared" si="9"/>
        <v>-0.1644991212653778</v>
      </c>
      <c r="AJ124" s="65">
        <f t="shared" si="9"/>
        <v>-9.474700727001184E-3</v>
      </c>
    </row>
    <row r="125" spans="1:36" x14ac:dyDescent="0.3">
      <c r="A125" s="78" t="s">
        <v>277</v>
      </c>
      <c r="B125" s="58" t="s">
        <v>278</v>
      </c>
      <c r="C125" s="59">
        <v>1</v>
      </c>
      <c r="D125" s="60" t="s">
        <v>71</v>
      </c>
      <c r="E125" s="60">
        <v>236.37</v>
      </c>
      <c r="F125" s="60">
        <v>40.380000000000003</v>
      </c>
      <c r="G125" s="60">
        <v>276.75</v>
      </c>
      <c r="H125" s="61">
        <v>236.37</v>
      </c>
      <c r="I125" s="61">
        <v>40.380000000000003</v>
      </c>
      <c r="J125" s="62">
        <v>276.75</v>
      </c>
      <c r="M125" s="75"/>
      <c r="N125" s="76"/>
      <c r="V125" s="56">
        <v>1</v>
      </c>
      <c r="W125" s="56" t="s">
        <v>71</v>
      </c>
      <c r="X125" s="64">
        <v>278.86</v>
      </c>
      <c r="Y125" s="64">
        <v>39.119999999999997</v>
      </c>
      <c r="Z125" s="64">
        <f t="shared" si="14"/>
        <v>317.98</v>
      </c>
      <c r="AB125" s="56">
        <v>1</v>
      </c>
      <c r="AC125" s="56" t="s">
        <v>71</v>
      </c>
      <c r="AD125" s="64">
        <v>355.55</v>
      </c>
      <c r="AE125" s="64">
        <v>49.88</v>
      </c>
      <c r="AF125" s="64">
        <f t="shared" si="15"/>
        <v>405.43</v>
      </c>
      <c r="AH125" s="65">
        <f t="shared" si="9"/>
        <v>-0.33519898748417942</v>
      </c>
      <c r="AI125" s="65">
        <f t="shared" si="9"/>
        <v>-0.19045709703287894</v>
      </c>
      <c r="AJ125" s="65">
        <f t="shared" si="9"/>
        <v>-0.31739141158769701</v>
      </c>
    </row>
    <row r="126" spans="1:36" x14ac:dyDescent="0.3">
      <c r="A126" s="69">
        <v>12</v>
      </c>
      <c r="B126" s="70" t="s">
        <v>279</v>
      </c>
      <c r="C126" s="71"/>
      <c r="D126" s="72"/>
      <c r="E126" s="72"/>
      <c r="F126" s="72"/>
      <c r="G126" s="72"/>
      <c r="H126" s="52">
        <v>193660.12</v>
      </c>
      <c r="I126" s="52">
        <v>61421.679999999993</v>
      </c>
      <c r="J126" s="52">
        <v>255081.80000000002</v>
      </c>
      <c r="M126" s="75"/>
      <c r="N126" s="79"/>
      <c r="V126" s="54"/>
      <c r="W126" s="54"/>
      <c r="X126" s="55"/>
      <c r="Y126" s="55"/>
      <c r="Z126" s="55"/>
      <c r="AB126" s="54"/>
      <c r="AC126" s="54"/>
      <c r="AD126" s="55"/>
      <c r="AE126" s="55"/>
      <c r="AF126" s="55"/>
      <c r="AH126" s="65">
        <f t="shared" si="9"/>
        <v>0</v>
      </c>
      <c r="AI126" s="65">
        <f t="shared" si="9"/>
        <v>0</v>
      </c>
      <c r="AJ126" s="65">
        <f t="shared" si="9"/>
        <v>0</v>
      </c>
    </row>
    <row r="127" spans="1:36" x14ac:dyDescent="0.3">
      <c r="A127" s="78" t="s">
        <v>280</v>
      </c>
      <c r="B127" s="58" t="s">
        <v>281</v>
      </c>
      <c r="C127" s="59">
        <v>104</v>
      </c>
      <c r="D127" s="60" t="s">
        <v>71</v>
      </c>
      <c r="E127" s="60">
        <v>171.02</v>
      </c>
      <c r="F127" s="60">
        <v>42.33</v>
      </c>
      <c r="G127" s="60">
        <v>213.35000000000002</v>
      </c>
      <c r="H127" s="61">
        <v>17786.080000000002</v>
      </c>
      <c r="I127" s="61">
        <v>4402.32</v>
      </c>
      <c r="J127" s="62">
        <v>22188.400000000001</v>
      </c>
      <c r="M127" s="75"/>
      <c r="N127" s="76"/>
      <c r="V127" s="56">
        <v>292</v>
      </c>
      <c r="W127" s="56" t="s">
        <v>71</v>
      </c>
      <c r="X127" s="64">
        <v>200.68</v>
      </c>
      <c r="Y127" s="64">
        <v>40.93</v>
      </c>
      <c r="Z127" s="64">
        <f t="shared" ref="Z127:Z140" si="16">SUM(X127:Y127)</f>
        <v>241.61</v>
      </c>
      <c r="AB127" s="56">
        <v>292</v>
      </c>
      <c r="AC127" s="56" t="s">
        <v>71</v>
      </c>
      <c r="AD127" s="64">
        <v>255.87</v>
      </c>
      <c r="AE127" s="64">
        <v>52.19</v>
      </c>
      <c r="AF127" s="64">
        <f t="shared" ref="AF127:AF140" si="17">SUM(AD127:AE127)</f>
        <v>308.06</v>
      </c>
      <c r="AH127" s="65">
        <f t="shared" si="9"/>
        <v>-0.33161371008715357</v>
      </c>
      <c r="AI127" s="65">
        <f t="shared" si="9"/>
        <v>-0.18892508143322473</v>
      </c>
      <c r="AJ127" s="65">
        <f t="shared" si="9"/>
        <v>-0.30744010906966168</v>
      </c>
    </row>
    <row r="128" spans="1:36" x14ac:dyDescent="0.3">
      <c r="A128" s="78" t="s">
        <v>282</v>
      </c>
      <c r="B128" s="58" t="s">
        <v>283</v>
      </c>
      <c r="C128" s="59">
        <v>1</v>
      </c>
      <c r="D128" s="60" t="s">
        <v>71</v>
      </c>
      <c r="E128" s="60">
        <v>166.07</v>
      </c>
      <c r="F128" s="60">
        <v>61.37</v>
      </c>
      <c r="G128" s="60">
        <v>227.44</v>
      </c>
      <c r="H128" s="61">
        <v>166.07</v>
      </c>
      <c r="I128" s="61">
        <v>61.37</v>
      </c>
      <c r="J128" s="62">
        <v>227.44</v>
      </c>
      <c r="M128" s="75"/>
      <c r="N128" s="76"/>
      <c r="V128" s="56">
        <v>1</v>
      </c>
      <c r="W128" s="56" t="s">
        <v>71</v>
      </c>
      <c r="X128" s="64">
        <v>159.79</v>
      </c>
      <c r="Y128" s="64">
        <v>58.19</v>
      </c>
      <c r="Z128" s="64">
        <f t="shared" si="16"/>
        <v>217.98</v>
      </c>
      <c r="AB128" s="56">
        <v>1</v>
      </c>
      <c r="AC128" s="56" t="s">
        <v>71</v>
      </c>
      <c r="AD128" s="64">
        <v>203.73</v>
      </c>
      <c r="AE128" s="64">
        <v>74.19</v>
      </c>
      <c r="AF128" s="64">
        <f t="shared" si="17"/>
        <v>277.91999999999996</v>
      </c>
      <c r="AH128" s="65">
        <f t="shared" si="9"/>
        <v>-0.18485250085897997</v>
      </c>
      <c r="AI128" s="65">
        <f t="shared" si="9"/>
        <v>-0.17279956867502355</v>
      </c>
      <c r="AJ128" s="65">
        <f t="shared" si="9"/>
        <v>-0.18163500287852608</v>
      </c>
    </row>
    <row r="129" spans="1:36" x14ac:dyDescent="0.3">
      <c r="A129" s="78" t="s">
        <v>284</v>
      </c>
      <c r="B129" s="58" t="s">
        <v>285</v>
      </c>
      <c r="C129" s="59">
        <v>17</v>
      </c>
      <c r="D129" s="60" t="s">
        <v>121</v>
      </c>
      <c r="E129" s="60">
        <v>459.98</v>
      </c>
      <c r="F129" s="60">
        <v>42.33</v>
      </c>
      <c r="G129" s="60">
        <v>502.31</v>
      </c>
      <c r="H129" s="61">
        <v>7819.66</v>
      </c>
      <c r="I129" s="61">
        <v>719.61</v>
      </c>
      <c r="J129" s="62">
        <v>8539.27</v>
      </c>
      <c r="M129" s="75"/>
      <c r="N129" s="76"/>
      <c r="V129" s="56">
        <v>19</v>
      </c>
      <c r="W129" s="56" t="s">
        <v>121</v>
      </c>
      <c r="X129" s="64">
        <v>457.93</v>
      </c>
      <c r="Y129" s="64">
        <v>40.93</v>
      </c>
      <c r="Z129" s="64">
        <f t="shared" si="16"/>
        <v>498.86</v>
      </c>
      <c r="AB129" s="56">
        <v>19</v>
      </c>
      <c r="AC129" s="56" t="s">
        <v>121</v>
      </c>
      <c r="AD129" s="64">
        <v>583.86</v>
      </c>
      <c r="AE129" s="64">
        <v>52.19</v>
      </c>
      <c r="AF129" s="64">
        <f t="shared" si="17"/>
        <v>636.04999999999995</v>
      </c>
      <c r="AH129" s="65">
        <f t="shared" si="9"/>
        <v>-0.21217415133764939</v>
      </c>
      <c r="AI129" s="65">
        <f t="shared" si="9"/>
        <v>-0.18892508143322473</v>
      </c>
      <c r="AJ129" s="65">
        <f t="shared" si="9"/>
        <v>-0.21026648848360974</v>
      </c>
    </row>
    <row r="130" spans="1:36" x14ac:dyDescent="0.3">
      <c r="A130" s="78" t="s">
        <v>286</v>
      </c>
      <c r="B130" s="58" t="s">
        <v>287</v>
      </c>
      <c r="C130" s="59">
        <v>745</v>
      </c>
      <c r="D130" s="60" t="s">
        <v>71</v>
      </c>
      <c r="E130" s="60">
        <v>118.98</v>
      </c>
      <c r="F130" s="60">
        <v>14.01</v>
      </c>
      <c r="G130" s="60">
        <v>132.99</v>
      </c>
      <c r="H130" s="61">
        <v>88640.1</v>
      </c>
      <c r="I130" s="61">
        <v>10437.450000000001</v>
      </c>
      <c r="J130" s="62">
        <v>99077.55</v>
      </c>
      <c r="M130" s="75"/>
      <c r="N130" s="76"/>
      <c r="V130" s="56">
        <v>416</v>
      </c>
      <c r="W130" s="56" t="s">
        <v>71</v>
      </c>
      <c r="X130" s="64">
        <v>139.83000000000001</v>
      </c>
      <c r="Y130" s="64">
        <v>12.57</v>
      </c>
      <c r="Z130" s="64">
        <f t="shared" si="16"/>
        <v>152.4</v>
      </c>
      <c r="AB130" s="56">
        <v>416</v>
      </c>
      <c r="AC130" s="56" t="s">
        <v>71</v>
      </c>
      <c r="AD130" s="64">
        <v>178.28</v>
      </c>
      <c r="AE130" s="64">
        <v>16.03</v>
      </c>
      <c r="AF130" s="64">
        <f t="shared" si="17"/>
        <v>194.31</v>
      </c>
      <c r="AH130" s="65">
        <f t="shared" si="9"/>
        <v>-0.33262284047565627</v>
      </c>
      <c r="AI130" s="65">
        <f t="shared" si="9"/>
        <v>-0.12601372426699942</v>
      </c>
      <c r="AJ130" s="65">
        <f t="shared" si="9"/>
        <v>-0.31557819978385049</v>
      </c>
    </row>
    <row r="131" spans="1:36" x14ac:dyDescent="0.3">
      <c r="A131" s="78" t="s">
        <v>288</v>
      </c>
      <c r="B131" s="58" t="s">
        <v>289</v>
      </c>
      <c r="C131" s="59">
        <v>657</v>
      </c>
      <c r="D131" s="60" t="s">
        <v>71</v>
      </c>
      <c r="E131" s="60">
        <v>47.35</v>
      </c>
      <c r="F131" s="60">
        <v>38.56</v>
      </c>
      <c r="G131" s="60">
        <v>85.91</v>
      </c>
      <c r="H131" s="61">
        <v>31108.95</v>
      </c>
      <c r="I131" s="61">
        <v>25333.920000000002</v>
      </c>
      <c r="J131" s="62">
        <v>56442.869999999995</v>
      </c>
      <c r="M131" s="75"/>
      <c r="N131" s="76"/>
      <c r="V131" s="56">
        <v>582</v>
      </c>
      <c r="W131" s="56" t="s">
        <v>71</v>
      </c>
      <c r="X131" s="64">
        <v>60.65</v>
      </c>
      <c r="Y131" s="64">
        <v>37.03</v>
      </c>
      <c r="Z131" s="64">
        <f t="shared" si="16"/>
        <v>97.68</v>
      </c>
      <c r="AB131" s="56">
        <v>582</v>
      </c>
      <c r="AC131" s="56" t="s">
        <v>71</v>
      </c>
      <c r="AD131" s="64">
        <v>77.33</v>
      </c>
      <c r="AE131" s="64">
        <v>47.21</v>
      </c>
      <c r="AF131" s="64">
        <f t="shared" si="17"/>
        <v>124.53999999999999</v>
      </c>
      <c r="AH131" s="65">
        <f t="shared" si="9"/>
        <v>-0.38768912453122972</v>
      </c>
      <c r="AI131" s="65">
        <f t="shared" si="9"/>
        <v>-0.18322389324295696</v>
      </c>
      <c r="AJ131" s="65">
        <f t="shared" si="9"/>
        <v>-0.31018146780150957</v>
      </c>
    </row>
    <row r="132" spans="1:36" x14ac:dyDescent="0.3">
      <c r="A132" s="78" t="s">
        <v>290</v>
      </c>
      <c r="B132" s="58" t="s">
        <v>291</v>
      </c>
      <c r="C132" s="59">
        <v>60</v>
      </c>
      <c r="D132" s="60" t="s">
        <v>71</v>
      </c>
      <c r="E132" s="60">
        <v>12.6</v>
      </c>
      <c r="F132" s="60">
        <v>24.77</v>
      </c>
      <c r="G132" s="60">
        <v>37.369999999999997</v>
      </c>
      <c r="H132" s="61">
        <v>756</v>
      </c>
      <c r="I132" s="61">
        <v>1486.2</v>
      </c>
      <c r="J132" s="62">
        <v>2242.1999999999998</v>
      </c>
      <c r="M132" s="75"/>
      <c r="N132" s="76"/>
      <c r="V132" s="56">
        <v>66</v>
      </c>
      <c r="W132" s="56" t="s">
        <v>71</v>
      </c>
      <c r="X132" s="64">
        <v>15.29</v>
      </c>
      <c r="Y132" s="64">
        <v>23.28</v>
      </c>
      <c r="Z132" s="64">
        <f t="shared" si="16"/>
        <v>38.57</v>
      </c>
      <c r="AB132" s="56">
        <v>66</v>
      </c>
      <c r="AC132" s="56" t="s">
        <v>71</v>
      </c>
      <c r="AD132" s="64">
        <v>19.489999999999998</v>
      </c>
      <c r="AE132" s="64">
        <v>29.68</v>
      </c>
      <c r="AF132" s="64">
        <f t="shared" si="17"/>
        <v>49.17</v>
      </c>
      <c r="AH132" s="65">
        <f t="shared" si="9"/>
        <v>-0.35351462288352997</v>
      </c>
      <c r="AI132" s="65">
        <f t="shared" si="9"/>
        <v>-0.16543126684636122</v>
      </c>
      <c r="AJ132" s="65">
        <f t="shared" si="9"/>
        <v>-0.23998372991661587</v>
      </c>
    </row>
    <row r="133" spans="1:36" x14ac:dyDescent="0.3">
      <c r="A133" s="78" t="s">
        <v>292</v>
      </c>
      <c r="B133" s="58" t="s">
        <v>293</v>
      </c>
      <c r="C133" s="59">
        <v>36</v>
      </c>
      <c r="D133" s="60" t="s">
        <v>87</v>
      </c>
      <c r="E133" s="60">
        <v>7.28</v>
      </c>
      <c r="F133" s="60">
        <v>7.51</v>
      </c>
      <c r="G133" s="60">
        <v>14.79</v>
      </c>
      <c r="H133" s="61">
        <v>262.08</v>
      </c>
      <c r="I133" s="61">
        <v>270.36</v>
      </c>
      <c r="J133" s="62">
        <v>532.43999999999994</v>
      </c>
      <c r="M133" s="75"/>
      <c r="N133" s="76"/>
      <c r="V133" s="56">
        <v>1</v>
      </c>
      <c r="W133" s="56" t="s">
        <v>87</v>
      </c>
      <c r="X133" s="64">
        <v>10.16</v>
      </c>
      <c r="Y133" s="64">
        <v>7.33</v>
      </c>
      <c r="Z133" s="64">
        <f t="shared" si="16"/>
        <v>17.490000000000002</v>
      </c>
      <c r="AB133" s="56">
        <v>1</v>
      </c>
      <c r="AC133" s="56" t="s">
        <v>87</v>
      </c>
      <c r="AD133" s="64">
        <v>12.95</v>
      </c>
      <c r="AE133" s="64">
        <v>9.35</v>
      </c>
      <c r="AF133" s="64">
        <f t="shared" si="17"/>
        <v>22.299999999999997</v>
      </c>
      <c r="AH133" s="65">
        <f t="shared" si="9"/>
        <v>-0.43783783783783781</v>
      </c>
      <c r="AI133" s="65">
        <f t="shared" si="9"/>
        <v>-0.19679144385026737</v>
      </c>
      <c r="AJ133" s="65">
        <f t="shared" si="9"/>
        <v>-0.3367713004484304</v>
      </c>
    </row>
    <row r="134" spans="1:36" x14ac:dyDescent="0.3">
      <c r="A134" s="78" t="s">
        <v>294</v>
      </c>
      <c r="B134" s="58" t="s">
        <v>295</v>
      </c>
      <c r="C134" s="59">
        <v>79</v>
      </c>
      <c r="D134" s="60" t="s">
        <v>71</v>
      </c>
      <c r="E134" s="60">
        <v>359.56</v>
      </c>
      <c r="F134" s="60">
        <v>30.67</v>
      </c>
      <c r="G134" s="60">
        <v>390.23</v>
      </c>
      <c r="H134" s="61">
        <v>28405.24</v>
      </c>
      <c r="I134" s="61">
        <v>2422.9300000000003</v>
      </c>
      <c r="J134" s="62">
        <v>30828.170000000002</v>
      </c>
      <c r="M134" s="75"/>
      <c r="N134" s="76"/>
      <c r="V134" s="56">
        <v>422</v>
      </c>
      <c r="W134" s="56" t="s">
        <v>71</v>
      </c>
      <c r="X134" s="64">
        <v>373.82</v>
      </c>
      <c r="Y134" s="64">
        <v>31.51</v>
      </c>
      <c r="Z134" s="64">
        <f t="shared" si="16"/>
        <v>405.33</v>
      </c>
      <c r="AB134" s="56">
        <v>422</v>
      </c>
      <c r="AC134" s="56" t="s">
        <v>71</v>
      </c>
      <c r="AD134" s="64">
        <v>476.62</v>
      </c>
      <c r="AE134" s="64">
        <v>40.18</v>
      </c>
      <c r="AF134" s="64">
        <f t="shared" si="17"/>
        <v>516.79999999999995</v>
      </c>
      <c r="AH134" s="65">
        <f t="shared" si="9"/>
        <v>-0.24560446477277498</v>
      </c>
      <c r="AI134" s="65">
        <f t="shared" si="9"/>
        <v>-0.23668491786958679</v>
      </c>
      <c r="AJ134" s="65">
        <f t="shared" si="9"/>
        <v>-0.24491099071207423</v>
      </c>
    </row>
    <row r="135" spans="1:36" x14ac:dyDescent="0.3">
      <c r="A135" s="78" t="s">
        <v>296</v>
      </c>
      <c r="B135" s="58" t="s">
        <v>297</v>
      </c>
      <c r="C135" s="59">
        <v>1137</v>
      </c>
      <c r="D135" s="60" t="s">
        <v>71</v>
      </c>
      <c r="E135" s="60">
        <v>11.23</v>
      </c>
      <c r="F135" s="60">
        <v>12.39</v>
      </c>
      <c r="G135" s="60">
        <v>23.62</v>
      </c>
      <c r="H135" s="61">
        <v>12768.51</v>
      </c>
      <c r="I135" s="61">
        <v>14087.43</v>
      </c>
      <c r="J135" s="62">
        <v>26855.940000000002</v>
      </c>
      <c r="M135" s="75"/>
      <c r="N135" s="79"/>
      <c r="V135" s="56">
        <v>49</v>
      </c>
      <c r="W135" s="56" t="s">
        <v>71</v>
      </c>
      <c r="X135" s="64">
        <v>13.45</v>
      </c>
      <c r="Y135" s="64">
        <v>11.64</v>
      </c>
      <c r="Z135" s="64">
        <f t="shared" si="16"/>
        <v>25.09</v>
      </c>
      <c r="AB135" s="56">
        <v>49</v>
      </c>
      <c r="AC135" s="56" t="s">
        <v>71</v>
      </c>
      <c r="AD135" s="64">
        <v>17.149999999999999</v>
      </c>
      <c r="AE135" s="64">
        <v>14.84</v>
      </c>
      <c r="AF135" s="64">
        <f t="shared" si="17"/>
        <v>31.99</v>
      </c>
      <c r="AH135" s="65">
        <f t="shared" si="9"/>
        <v>-0.34518950437317775</v>
      </c>
      <c r="AI135" s="65">
        <f t="shared" si="9"/>
        <v>-0.16509433962264142</v>
      </c>
      <c r="AJ135" s="65">
        <f t="shared" si="9"/>
        <v>-0.26164426383244754</v>
      </c>
    </row>
    <row r="136" spans="1:36" x14ac:dyDescent="0.3">
      <c r="A136" s="78" t="s">
        <v>298</v>
      </c>
      <c r="B136" s="58" t="s">
        <v>299</v>
      </c>
      <c r="C136" s="59">
        <v>55</v>
      </c>
      <c r="D136" s="60" t="s">
        <v>71</v>
      </c>
      <c r="E136" s="60">
        <v>54.09</v>
      </c>
      <c r="F136" s="60">
        <v>33.729999999999997</v>
      </c>
      <c r="G136" s="60">
        <v>87.82</v>
      </c>
      <c r="H136" s="61">
        <v>2974.9500000000003</v>
      </c>
      <c r="I136" s="61">
        <v>1855.1499999999999</v>
      </c>
      <c r="J136" s="62">
        <v>4830.0999999999995</v>
      </c>
      <c r="M136" s="75"/>
      <c r="N136" s="76"/>
      <c r="V136" s="56">
        <v>34</v>
      </c>
      <c r="W136" s="56" t="s">
        <v>71</v>
      </c>
      <c r="X136" s="64">
        <v>61.74</v>
      </c>
      <c r="Y136" s="64">
        <v>28.5</v>
      </c>
      <c r="Z136" s="64">
        <f t="shared" si="16"/>
        <v>90.240000000000009</v>
      </c>
      <c r="AB136" s="56">
        <v>34</v>
      </c>
      <c r="AC136" s="56" t="s">
        <v>71</v>
      </c>
      <c r="AD136" s="64">
        <v>78.72</v>
      </c>
      <c r="AE136" s="64">
        <v>36.340000000000003</v>
      </c>
      <c r="AF136" s="64">
        <f t="shared" si="17"/>
        <v>115.06</v>
      </c>
      <c r="AH136" s="65">
        <f t="shared" si="9"/>
        <v>-0.3128810975609756</v>
      </c>
      <c r="AI136" s="65">
        <f t="shared" si="9"/>
        <v>-7.182168409466172E-2</v>
      </c>
      <c r="AJ136" s="65">
        <f t="shared" si="9"/>
        <v>-0.23674604554145673</v>
      </c>
    </row>
    <row r="137" spans="1:36" x14ac:dyDescent="0.3">
      <c r="A137" s="78" t="s">
        <v>300</v>
      </c>
      <c r="B137" s="58" t="s">
        <v>301</v>
      </c>
      <c r="C137" s="59">
        <v>20</v>
      </c>
      <c r="D137" s="60" t="s">
        <v>71</v>
      </c>
      <c r="E137" s="60">
        <v>145.30000000000001</v>
      </c>
      <c r="F137" s="60">
        <v>15.33</v>
      </c>
      <c r="G137" s="60">
        <v>160.63000000000002</v>
      </c>
      <c r="H137" s="61">
        <v>2906</v>
      </c>
      <c r="I137" s="61">
        <v>306.60000000000002</v>
      </c>
      <c r="J137" s="62">
        <v>3212.6000000000004</v>
      </c>
      <c r="M137" s="75"/>
      <c r="N137" s="76"/>
      <c r="V137" s="56">
        <v>1</v>
      </c>
      <c r="W137" s="56" t="s">
        <v>71</v>
      </c>
      <c r="X137" s="64">
        <v>198.89</v>
      </c>
      <c r="Y137" s="64">
        <v>15.76</v>
      </c>
      <c r="Z137" s="64">
        <f t="shared" si="16"/>
        <v>214.64999999999998</v>
      </c>
      <c r="AB137" s="56">
        <v>1</v>
      </c>
      <c r="AC137" s="56" t="s">
        <v>71</v>
      </c>
      <c r="AD137" s="64">
        <v>253.58</v>
      </c>
      <c r="AE137" s="64">
        <v>20.09</v>
      </c>
      <c r="AF137" s="64">
        <f t="shared" si="17"/>
        <v>273.67</v>
      </c>
      <c r="AH137" s="65">
        <f t="shared" si="9"/>
        <v>-0.427005284328417</v>
      </c>
      <c r="AI137" s="65">
        <f t="shared" si="9"/>
        <v>-0.23693379790940761</v>
      </c>
      <c r="AJ137" s="65">
        <f t="shared" si="9"/>
        <v>-0.41305221617276278</v>
      </c>
    </row>
    <row r="138" spans="1:36" x14ac:dyDescent="0.3">
      <c r="A138" s="78" t="s">
        <v>302</v>
      </c>
      <c r="B138" s="58" t="s">
        <v>303</v>
      </c>
      <c r="C138" s="59">
        <v>1</v>
      </c>
      <c r="D138" s="60" t="s">
        <v>71</v>
      </c>
      <c r="E138" s="60">
        <v>7.86</v>
      </c>
      <c r="F138" s="60">
        <v>7</v>
      </c>
      <c r="G138" s="60">
        <v>14.86</v>
      </c>
      <c r="H138" s="61">
        <v>7.86</v>
      </c>
      <c r="I138" s="61">
        <v>7</v>
      </c>
      <c r="J138" s="62">
        <v>14.86</v>
      </c>
      <c r="M138" s="75"/>
      <c r="N138" s="76"/>
      <c r="V138" s="56">
        <v>1</v>
      </c>
      <c r="W138" s="56" t="s">
        <v>71</v>
      </c>
      <c r="X138" s="64">
        <v>10.98</v>
      </c>
      <c r="Y138" s="64">
        <v>6.29</v>
      </c>
      <c r="Z138" s="64">
        <f t="shared" si="16"/>
        <v>17.27</v>
      </c>
      <c r="AB138" s="56">
        <v>1</v>
      </c>
      <c r="AC138" s="56" t="s">
        <v>71</v>
      </c>
      <c r="AD138" s="64">
        <v>14</v>
      </c>
      <c r="AE138" s="64">
        <v>8.02</v>
      </c>
      <c r="AF138" s="64">
        <f t="shared" si="17"/>
        <v>22.02</v>
      </c>
      <c r="AH138" s="65">
        <f t="shared" si="9"/>
        <v>-0.4385714285714285</v>
      </c>
      <c r="AI138" s="65">
        <f t="shared" si="9"/>
        <v>-0.12718204488778051</v>
      </c>
      <c r="AJ138" s="65">
        <f t="shared" si="9"/>
        <v>-0.32515894641235243</v>
      </c>
    </row>
    <row r="139" spans="1:36" x14ac:dyDescent="0.3">
      <c r="A139" s="78" t="s">
        <v>304</v>
      </c>
      <c r="B139" s="58" t="s">
        <v>305</v>
      </c>
      <c r="C139" s="59">
        <v>1</v>
      </c>
      <c r="D139" s="60" t="s">
        <v>71</v>
      </c>
      <c r="E139" s="60">
        <v>32.71</v>
      </c>
      <c r="F139" s="60">
        <v>15.67</v>
      </c>
      <c r="G139" s="60">
        <v>48.38</v>
      </c>
      <c r="H139" s="61">
        <v>32.71</v>
      </c>
      <c r="I139" s="61">
        <v>15.67</v>
      </c>
      <c r="J139" s="62">
        <v>48.38</v>
      </c>
      <c r="M139" s="75"/>
      <c r="N139" s="76"/>
      <c r="V139" s="56">
        <v>1</v>
      </c>
      <c r="W139" s="56" t="s">
        <v>71</v>
      </c>
      <c r="X139" s="64">
        <v>34.01</v>
      </c>
      <c r="Y139" s="64">
        <v>13.42</v>
      </c>
      <c r="Z139" s="64">
        <f t="shared" si="16"/>
        <v>47.43</v>
      </c>
      <c r="AB139" s="56">
        <v>1</v>
      </c>
      <c r="AC139" s="56" t="s">
        <v>71</v>
      </c>
      <c r="AD139" s="64">
        <v>43.36</v>
      </c>
      <c r="AE139" s="64">
        <v>17.11</v>
      </c>
      <c r="AF139" s="64">
        <f t="shared" si="17"/>
        <v>60.47</v>
      </c>
      <c r="AH139" s="65">
        <f t="shared" si="9"/>
        <v>-0.24561808118081174</v>
      </c>
      <c r="AI139" s="65">
        <f t="shared" si="9"/>
        <v>-8.4161309175920462E-2</v>
      </c>
      <c r="AJ139" s="65">
        <f t="shared" si="9"/>
        <v>-0.1999338514966098</v>
      </c>
    </row>
    <row r="140" spans="1:36" x14ac:dyDescent="0.3">
      <c r="A140" s="78" t="s">
        <v>306</v>
      </c>
      <c r="B140" s="58" t="s">
        <v>307</v>
      </c>
      <c r="C140" s="59">
        <v>1</v>
      </c>
      <c r="D140" s="60" t="s">
        <v>71</v>
      </c>
      <c r="E140" s="60">
        <v>25.91</v>
      </c>
      <c r="F140" s="60">
        <v>15.67</v>
      </c>
      <c r="G140" s="60">
        <v>41.58</v>
      </c>
      <c r="H140" s="61">
        <v>25.91</v>
      </c>
      <c r="I140" s="61">
        <v>15.67</v>
      </c>
      <c r="J140" s="62">
        <v>41.58</v>
      </c>
      <c r="M140" s="75"/>
      <c r="N140" s="76"/>
      <c r="V140" s="56">
        <v>1</v>
      </c>
      <c r="W140" s="56" t="s">
        <v>71</v>
      </c>
      <c r="X140" s="64">
        <v>31.27</v>
      </c>
      <c r="Y140" s="64">
        <v>13.42</v>
      </c>
      <c r="Z140" s="64">
        <f t="shared" si="16"/>
        <v>44.69</v>
      </c>
      <c r="AB140" s="56">
        <v>1</v>
      </c>
      <c r="AC140" s="56" t="s">
        <v>71</v>
      </c>
      <c r="AD140" s="64">
        <v>39.869999999999997</v>
      </c>
      <c r="AE140" s="64">
        <v>17.11</v>
      </c>
      <c r="AF140" s="64">
        <f t="shared" si="17"/>
        <v>56.98</v>
      </c>
      <c r="AH140" s="65">
        <f t="shared" si="9"/>
        <v>-0.35013794833207923</v>
      </c>
      <c r="AI140" s="65">
        <f t="shared" si="9"/>
        <v>-8.4161309175920462E-2</v>
      </c>
      <c r="AJ140" s="65">
        <f t="shared" si="9"/>
        <v>-0.27027027027027029</v>
      </c>
    </row>
    <row r="141" spans="1:36" x14ac:dyDescent="0.3">
      <c r="A141" s="69">
        <v>13</v>
      </c>
      <c r="B141" s="70" t="s">
        <v>308</v>
      </c>
      <c r="C141" s="71"/>
      <c r="D141" s="72"/>
      <c r="E141" s="72"/>
      <c r="F141" s="72"/>
      <c r="G141" s="72"/>
      <c r="H141" s="52">
        <v>38385.089999999997</v>
      </c>
      <c r="I141" s="52">
        <v>90611.48</v>
      </c>
      <c r="J141" s="52">
        <v>128996.56999999995</v>
      </c>
      <c r="M141" s="75"/>
      <c r="N141" s="76"/>
      <c r="V141" s="54"/>
      <c r="W141" s="54"/>
      <c r="X141" s="55"/>
      <c r="Y141" s="55"/>
      <c r="Z141" s="55"/>
      <c r="AB141" s="54"/>
      <c r="AC141" s="54"/>
      <c r="AD141" s="55"/>
      <c r="AE141" s="55"/>
      <c r="AF141" s="55"/>
      <c r="AH141" s="65">
        <f t="shared" si="9"/>
        <v>0</v>
      </c>
      <c r="AI141" s="65">
        <f t="shared" si="9"/>
        <v>0</v>
      </c>
      <c r="AJ141" s="65">
        <f t="shared" si="9"/>
        <v>0</v>
      </c>
    </row>
    <row r="142" spans="1:36" x14ac:dyDescent="0.3">
      <c r="A142" s="78" t="s">
        <v>309</v>
      </c>
      <c r="B142" s="58" t="s">
        <v>310</v>
      </c>
      <c r="C142" s="59">
        <v>18</v>
      </c>
      <c r="D142" s="60" t="s">
        <v>121</v>
      </c>
      <c r="E142" s="60">
        <v>148.63999999999999</v>
      </c>
      <c r="F142" s="60">
        <v>126.23</v>
      </c>
      <c r="G142" s="60">
        <v>274.87</v>
      </c>
      <c r="H142" s="61">
        <v>2675.5199999999995</v>
      </c>
      <c r="I142" s="61">
        <v>2272.14</v>
      </c>
      <c r="J142" s="62">
        <v>4947.66</v>
      </c>
      <c r="M142" s="75"/>
      <c r="N142" s="76"/>
      <c r="V142" s="56">
        <v>82</v>
      </c>
      <c r="W142" s="56" t="s">
        <v>121</v>
      </c>
      <c r="X142" s="64">
        <v>142.01</v>
      </c>
      <c r="Y142" s="64">
        <v>127.16</v>
      </c>
      <c r="Z142" s="64">
        <f t="shared" ref="Z142:Z163" si="18">SUM(X142:Y142)</f>
        <v>269.16999999999996</v>
      </c>
      <c r="AB142" s="56">
        <v>82</v>
      </c>
      <c r="AC142" s="56" t="s">
        <v>121</v>
      </c>
      <c r="AD142" s="64">
        <v>181.06</v>
      </c>
      <c r="AE142" s="64">
        <v>162.13</v>
      </c>
      <c r="AF142" s="64">
        <f t="shared" ref="AF142:AF163" si="19">SUM(AD142:AE142)</f>
        <v>343.19</v>
      </c>
      <c r="AH142" s="65">
        <f t="shared" si="9"/>
        <v>-0.17905666629846473</v>
      </c>
      <c r="AI142" s="65">
        <f t="shared" si="9"/>
        <v>-0.22142724973786465</v>
      </c>
      <c r="AJ142" s="65">
        <f t="shared" si="9"/>
        <v>-0.1990733995745797</v>
      </c>
    </row>
    <row r="143" spans="1:36" x14ac:dyDescent="0.3">
      <c r="A143" s="78" t="s">
        <v>311</v>
      </c>
      <c r="B143" s="58" t="s">
        <v>312</v>
      </c>
      <c r="C143" s="59">
        <v>22</v>
      </c>
      <c r="D143" s="60" t="s">
        <v>121</v>
      </c>
      <c r="E143" s="60">
        <v>218.62</v>
      </c>
      <c r="F143" s="60">
        <v>61.91</v>
      </c>
      <c r="G143" s="60">
        <v>280.52999999999997</v>
      </c>
      <c r="H143" s="61">
        <v>4809.6400000000003</v>
      </c>
      <c r="I143" s="61">
        <v>1362.02</v>
      </c>
      <c r="J143" s="62">
        <v>6171.66</v>
      </c>
      <c r="M143" s="75"/>
      <c r="N143" s="76"/>
      <c r="V143" s="56">
        <v>11</v>
      </c>
      <c r="W143" s="56" t="s">
        <v>121</v>
      </c>
      <c r="X143" s="64">
        <v>208.36</v>
      </c>
      <c r="Y143" s="64">
        <v>62.5</v>
      </c>
      <c r="Z143" s="64">
        <f t="shared" si="18"/>
        <v>270.86</v>
      </c>
      <c r="AB143" s="56">
        <v>11</v>
      </c>
      <c r="AC143" s="56" t="s">
        <v>121</v>
      </c>
      <c r="AD143" s="64">
        <v>265.66000000000003</v>
      </c>
      <c r="AE143" s="64">
        <v>79.69</v>
      </c>
      <c r="AF143" s="64">
        <f t="shared" si="19"/>
        <v>345.35</v>
      </c>
      <c r="AH143" s="65">
        <f t="shared" si="9"/>
        <v>-0.17706843333584288</v>
      </c>
      <c r="AI143" s="65">
        <f t="shared" si="9"/>
        <v>-0.2231145689546995</v>
      </c>
      <c r="AJ143" s="65">
        <f t="shared" si="9"/>
        <v>-0.18769364412914447</v>
      </c>
    </row>
    <row r="144" spans="1:36" x14ac:dyDescent="0.3">
      <c r="A144" s="78" t="s">
        <v>313</v>
      </c>
      <c r="B144" s="58" t="s">
        <v>314</v>
      </c>
      <c r="C144" s="59">
        <v>9</v>
      </c>
      <c r="D144" s="60" t="s">
        <v>121</v>
      </c>
      <c r="E144" s="60">
        <v>299.66000000000003</v>
      </c>
      <c r="F144" s="60">
        <v>67.19</v>
      </c>
      <c r="G144" s="60">
        <v>366.85</v>
      </c>
      <c r="H144" s="61">
        <v>2696.94</v>
      </c>
      <c r="I144" s="61">
        <v>604.71</v>
      </c>
      <c r="J144" s="62">
        <v>3301.65</v>
      </c>
      <c r="M144" s="75"/>
      <c r="N144" s="76"/>
      <c r="V144" s="56">
        <v>14</v>
      </c>
      <c r="W144" s="56" t="s">
        <v>121</v>
      </c>
      <c r="X144" s="64">
        <v>285.42</v>
      </c>
      <c r="Y144" s="64">
        <v>67.84</v>
      </c>
      <c r="Z144" s="64">
        <f t="shared" si="18"/>
        <v>353.26</v>
      </c>
      <c r="AB144" s="56">
        <v>14</v>
      </c>
      <c r="AC144" s="56" t="s">
        <v>121</v>
      </c>
      <c r="AD144" s="64">
        <v>363.91</v>
      </c>
      <c r="AE144" s="64">
        <v>86.5</v>
      </c>
      <c r="AF144" s="64">
        <f t="shared" si="19"/>
        <v>450.41</v>
      </c>
      <c r="AH144" s="65">
        <f t="shared" si="9"/>
        <v>-0.17655464263141984</v>
      </c>
      <c r="AI144" s="65">
        <f t="shared" si="9"/>
        <v>-0.22323699421965315</v>
      </c>
      <c r="AJ144" s="65">
        <f t="shared" si="9"/>
        <v>-0.18551985968339957</v>
      </c>
    </row>
    <row r="145" spans="1:36" x14ac:dyDescent="0.3">
      <c r="A145" s="78" t="s">
        <v>315</v>
      </c>
      <c r="B145" s="80" t="s">
        <v>316</v>
      </c>
      <c r="C145" s="59">
        <v>259</v>
      </c>
      <c r="D145" s="60" t="s">
        <v>71</v>
      </c>
      <c r="E145" s="60">
        <v>0</v>
      </c>
      <c r="F145" s="60">
        <v>17.78</v>
      </c>
      <c r="G145" s="60">
        <v>17.78</v>
      </c>
      <c r="H145" s="61">
        <v>0</v>
      </c>
      <c r="I145" s="61">
        <v>4605.0200000000004</v>
      </c>
      <c r="J145" s="62">
        <v>4605.0200000000004</v>
      </c>
      <c r="M145" s="75"/>
      <c r="N145" s="76"/>
      <c r="V145" s="56">
        <v>270</v>
      </c>
      <c r="W145" s="56" t="s">
        <v>71</v>
      </c>
      <c r="X145" s="64">
        <v>0</v>
      </c>
      <c r="Y145" s="64">
        <v>15.67</v>
      </c>
      <c r="Z145" s="64">
        <f t="shared" si="18"/>
        <v>15.67</v>
      </c>
      <c r="AB145" s="56">
        <v>270</v>
      </c>
      <c r="AC145" s="56" t="s">
        <v>71</v>
      </c>
      <c r="AD145" s="64">
        <v>0</v>
      </c>
      <c r="AE145" s="64">
        <v>19.98</v>
      </c>
      <c r="AF145" s="64">
        <f t="shared" si="19"/>
        <v>19.98</v>
      </c>
      <c r="AH145" s="65">
        <f t="shared" si="9"/>
        <v>0</v>
      </c>
      <c r="AI145" s="65">
        <f t="shared" si="9"/>
        <v>-0.11011011011011007</v>
      </c>
      <c r="AJ145" s="65">
        <f t="shared" si="9"/>
        <v>-0.11011011011011007</v>
      </c>
    </row>
    <row r="146" spans="1:36" x14ac:dyDescent="0.3">
      <c r="A146" s="78" t="s">
        <v>317</v>
      </c>
      <c r="B146" s="58" t="s">
        <v>318</v>
      </c>
      <c r="C146" s="59">
        <v>306</v>
      </c>
      <c r="D146" s="60" t="s">
        <v>121</v>
      </c>
      <c r="E146" s="60">
        <v>0</v>
      </c>
      <c r="F146" s="60">
        <v>45.91</v>
      </c>
      <c r="G146" s="60">
        <v>45.91</v>
      </c>
      <c r="H146" s="61">
        <v>0</v>
      </c>
      <c r="I146" s="61">
        <v>14048.46</v>
      </c>
      <c r="J146" s="62">
        <v>14048.46</v>
      </c>
      <c r="M146" s="75"/>
      <c r="N146" s="76"/>
      <c r="V146" s="56">
        <v>36</v>
      </c>
      <c r="W146" s="56" t="s">
        <v>121</v>
      </c>
      <c r="X146" s="64">
        <v>0</v>
      </c>
      <c r="Y146" s="64">
        <v>44.48</v>
      </c>
      <c r="Z146" s="64">
        <f t="shared" si="18"/>
        <v>44.48</v>
      </c>
      <c r="AB146" s="56">
        <v>36</v>
      </c>
      <c r="AC146" s="56" t="s">
        <v>121</v>
      </c>
      <c r="AD146" s="64">
        <v>0</v>
      </c>
      <c r="AE146" s="64">
        <v>56.71</v>
      </c>
      <c r="AF146" s="64">
        <f t="shared" si="19"/>
        <v>56.71</v>
      </c>
      <c r="AH146" s="65">
        <f t="shared" si="9"/>
        <v>0</v>
      </c>
      <c r="AI146" s="65">
        <f t="shared" si="9"/>
        <v>-0.19044260271557056</v>
      </c>
      <c r="AJ146" s="65">
        <f t="shared" si="9"/>
        <v>-0.19044260271557056</v>
      </c>
    </row>
    <row r="147" spans="1:36" x14ac:dyDescent="0.3">
      <c r="A147" s="78" t="s">
        <v>319</v>
      </c>
      <c r="B147" s="58" t="s">
        <v>320</v>
      </c>
      <c r="C147" s="59">
        <v>42</v>
      </c>
      <c r="D147" s="60" t="s">
        <v>121</v>
      </c>
      <c r="E147" s="60">
        <v>0</v>
      </c>
      <c r="F147" s="60">
        <v>51.01</v>
      </c>
      <c r="G147" s="60">
        <v>51.01</v>
      </c>
      <c r="H147" s="61">
        <v>0</v>
      </c>
      <c r="I147" s="61">
        <v>2142.42</v>
      </c>
      <c r="J147" s="62">
        <v>2142.42</v>
      </c>
      <c r="M147" s="75"/>
      <c r="N147" s="76"/>
      <c r="V147" s="56">
        <v>26</v>
      </c>
      <c r="W147" s="56" t="s">
        <v>121</v>
      </c>
      <c r="X147" s="64">
        <v>0</v>
      </c>
      <c r="Y147" s="64">
        <v>49.42</v>
      </c>
      <c r="Z147" s="64">
        <f t="shared" si="18"/>
        <v>49.42</v>
      </c>
      <c r="AB147" s="56">
        <v>26</v>
      </c>
      <c r="AC147" s="56" t="s">
        <v>121</v>
      </c>
      <c r="AD147" s="64">
        <v>0</v>
      </c>
      <c r="AE147" s="64">
        <v>63.01</v>
      </c>
      <c r="AF147" s="64">
        <f t="shared" si="19"/>
        <v>63.01</v>
      </c>
      <c r="AH147" s="65">
        <f t="shared" si="9"/>
        <v>0</v>
      </c>
      <c r="AI147" s="65">
        <f t="shared" si="9"/>
        <v>-0.19044596095857802</v>
      </c>
      <c r="AJ147" s="65">
        <f t="shared" si="9"/>
        <v>-0.19044596095857802</v>
      </c>
    </row>
    <row r="148" spans="1:36" x14ac:dyDescent="0.3">
      <c r="A148" s="78" t="s">
        <v>321</v>
      </c>
      <c r="B148" s="58" t="s">
        <v>322</v>
      </c>
      <c r="C148" s="59">
        <v>169</v>
      </c>
      <c r="D148" s="60" t="s">
        <v>71</v>
      </c>
      <c r="E148" s="60">
        <v>0.79</v>
      </c>
      <c r="F148" s="60">
        <v>13.23</v>
      </c>
      <c r="G148" s="60">
        <v>14.02</v>
      </c>
      <c r="H148" s="61">
        <v>133.51000000000002</v>
      </c>
      <c r="I148" s="61">
        <v>2235.87</v>
      </c>
      <c r="J148" s="62">
        <v>2369.38</v>
      </c>
      <c r="M148" s="75"/>
      <c r="N148" s="76"/>
      <c r="V148" s="56">
        <v>37</v>
      </c>
      <c r="W148" s="56" t="s">
        <v>71</v>
      </c>
      <c r="X148" s="64">
        <v>1</v>
      </c>
      <c r="Y148" s="64">
        <v>12.79</v>
      </c>
      <c r="Z148" s="64">
        <f t="shared" si="18"/>
        <v>13.79</v>
      </c>
      <c r="AB148" s="56">
        <v>37</v>
      </c>
      <c r="AC148" s="56" t="s">
        <v>71</v>
      </c>
      <c r="AD148" s="64">
        <v>1.28</v>
      </c>
      <c r="AE148" s="64">
        <v>16.309999999999999</v>
      </c>
      <c r="AF148" s="64">
        <f t="shared" si="19"/>
        <v>17.59</v>
      </c>
      <c r="AH148" s="65">
        <f t="shared" si="9"/>
        <v>-0.3828125</v>
      </c>
      <c r="AI148" s="65">
        <f t="shared" si="9"/>
        <v>-0.18884120171673813</v>
      </c>
      <c r="AJ148" s="65">
        <f t="shared" si="9"/>
        <v>-0.20295622512791356</v>
      </c>
    </row>
    <row r="149" spans="1:36" x14ac:dyDescent="0.3">
      <c r="A149" s="78" t="s">
        <v>323</v>
      </c>
      <c r="B149" s="58" t="s">
        <v>324</v>
      </c>
      <c r="C149" s="59">
        <v>80</v>
      </c>
      <c r="D149" s="60" t="s">
        <v>41</v>
      </c>
      <c r="E149" s="60">
        <v>5.15</v>
      </c>
      <c r="F149" s="60">
        <v>52.91</v>
      </c>
      <c r="G149" s="60">
        <v>58.059999999999995</v>
      </c>
      <c r="H149" s="61">
        <v>412</v>
      </c>
      <c r="I149" s="61">
        <v>4232.7999999999993</v>
      </c>
      <c r="J149" s="62">
        <v>4644.7999999999993</v>
      </c>
      <c r="M149" s="75"/>
      <c r="N149" s="76"/>
      <c r="V149" s="56">
        <v>99</v>
      </c>
      <c r="W149" s="56" t="s">
        <v>41</v>
      </c>
      <c r="X149" s="64">
        <v>8.99</v>
      </c>
      <c r="Y149" s="64">
        <v>51.16</v>
      </c>
      <c r="Z149" s="64">
        <f t="shared" si="18"/>
        <v>60.15</v>
      </c>
      <c r="AB149" s="56">
        <v>99</v>
      </c>
      <c r="AC149" s="56" t="s">
        <v>41</v>
      </c>
      <c r="AD149" s="64">
        <v>11.46</v>
      </c>
      <c r="AE149" s="64">
        <v>65.23</v>
      </c>
      <c r="AF149" s="64">
        <f t="shared" si="19"/>
        <v>76.69</v>
      </c>
      <c r="AH149" s="65">
        <f t="shared" ref="AH149:AJ215" si="20">IF(E149=0,0,(E149/AD149)-1)</f>
        <v>-0.55061082024432806</v>
      </c>
      <c r="AI149" s="65">
        <f t="shared" si="20"/>
        <v>-0.1888701517706578</v>
      </c>
      <c r="AJ149" s="65">
        <f t="shared" si="20"/>
        <v>-0.24292606597991917</v>
      </c>
    </row>
    <row r="150" spans="1:36" x14ac:dyDescent="0.3">
      <c r="A150" s="78" t="s">
        <v>325</v>
      </c>
      <c r="B150" s="80" t="s">
        <v>326</v>
      </c>
      <c r="C150" s="59">
        <v>58</v>
      </c>
      <c r="D150" s="60" t="s">
        <v>121</v>
      </c>
      <c r="E150" s="60">
        <v>0.79</v>
      </c>
      <c r="F150" s="60">
        <v>76.52</v>
      </c>
      <c r="G150" s="60">
        <v>77.31</v>
      </c>
      <c r="H150" s="61">
        <v>45.82</v>
      </c>
      <c r="I150" s="61">
        <v>4438.16</v>
      </c>
      <c r="J150" s="62">
        <v>4483.9800000000005</v>
      </c>
      <c r="M150" s="75"/>
      <c r="N150" s="79"/>
      <c r="V150" s="56">
        <v>33</v>
      </c>
      <c r="W150" s="56" t="s">
        <v>121</v>
      </c>
      <c r="X150" s="64">
        <v>1</v>
      </c>
      <c r="Y150" s="64">
        <v>74.13</v>
      </c>
      <c r="Z150" s="64">
        <f t="shared" si="18"/>
        <v>75.13</v>
      </c>
      <c r="AB150" s="56">
        <v>33</v>
      </c>
      <c r="AC150" s="56" t="s">
        <v>121</v>
      </c>
      <c r="AD150" s="64">
        <v>1.28</v>
      </c>
      <c r="AE150" s="64">
        <v>94.52</v>
      </c>
      <c r="AF150" s="64">
        <f t="shared" si="19"/>
        <v>95.8</v>
      </c>
      <c r="AH150" s="65">
        <f t="shared" si="20"/>
        <v>-0.3828125</v>
      </c>
      <c r="AI150" s="65">
        <f t="shared" si="20"/>
        <v>-0.19043588658484978</v>
      </c>
      <c r="AJ150" s="65">
        <f t="shared" si="20"/>
        <v>-0.1930062630480166</v>
      </c>
    </row>
    <row r="151" spans="1:36" x14ac:dyDescent="0.3">
      <c r="A151" s="78" t="s">
        <v>327</v>
      </c>
      <c r="B151" s="80" t="s">
        <v>328</v>
      </c>
      <c r="C151" s="59">
        <v>3</v>
      </c>
      <c r="D151" s="60" t="s">
        <v>71</v>
      </c>
      <c r="E151" s="60">
        <v>0.84</v>
      </c>
      <c r="F151" s="60">
        <v>61.87</v>
      </c>
      <c r="G151" s="60">
        <v>62.71</v>
      </c>
      <c r="H151" s="61">
        <v>2.52</v>
      </c>
      <c r="I151" s="61">
        <v>185.60999999999999</v>
      </c>
      <c r="J151" s="62">
        <v>188.13</v>
      </c>
      <c r="M151" s="75"/>
      <c r="N151" s="76"/>
      <c r="V151" s="56">
        <v>1</v>
      </c>
      <c r="W151" s="56" t="s">
        <v>71</v>
      </c>
      <c r="X151" s="64">
        <v>1.44</v>
      </c>
      <c r="Y151" s="64">
        <v>57.12</v>
      </c>
      <c r="Z151" s="64">
        <f t="shared" si="18"/>
        <v>58.559999999999995</v>
      </c>
      <c r="AB151" s="56">
        <v>1</v>
      </c>
      <c r="AC151" s="56" t="s">
        <v>71</v>
      </c>
      <c r="AD151" s="64">
        <v>1.84</v>
      </c>
      <c r="AE151" s="64">
        <v>72.83</v>
      </c>
      <c r="AF151" s="64">
        <f t="shared" si="19"/>
        <v>74.67</v>
      </c>
      <c r="AH151" s="65">
        <f t="shared" si="20"/>
        <v>-0.54347826086956519</v>
      </c>
      <c r="AI151" s="65">
        <f t="shared" si="20"/>
        <v>-0.15048743649594953</v>
      </c>
      <c r="AJ151" s="65">
        <f t="shared" si="20"/>
        <v>-0.16017142091870895</v>
      </c>
    </row>
    <row r="152" spans="1:36" x14ac:dyDescent="0.3">
      <c r="A152" s="78" t="s">
        <v>329</v>
      </c>
      <c r="B152" s="58" t="s">
        <v>330</v>
      </c>
      <c r="C152" s="59">
        <v>61</v>
      </c>
      <c r="D152" s="60" t="s">
        <v>121</v>
      </c>
      <c r="E152" s="60">
        <v>0.95</v>
      </c>
      <c r="F152" s="60">
        <v>76.52</v>
      </c>
      <c r="G152" s="60">
        <v>77.47</v>
      </c>
      <c r="H152" s="61">
        <v>57.949999999999996</v>
      </c>
      <c r="I152" s="61">
        <v>4667.7199999999993</v>
      </c>
      <c r="J152" s="62">
        <v>4725.67</v>
      </c>
      <c r="M152" s="75"/>
      <c r="N152" s="76"/>
      <c r="V152" s="56">
        <v>28</v>
      </c>
      <c r="W152" s="56" t="s">
        <v>121</v>
      </c>
      <c r="X152" s="64">
        <v>1.2</v>
      </c>
      <c r="Y152" s="64">
        <v>74.13</v>
      </c>
      <c r="Z152" s="64">
        <f t="shared" si="18"/>
        <v>75.33</v>
      </c>
      <c r="AB152" s="56">
        <v>28</v>
      </c>
      <c r="AC152" s="56" t="s">
        <v>121</v>
      </c>
      <c r="AD152" s="64">
        <v>1.53</v>
      </c>
      <c r="AE152" s="64">
        <v>94.52</v>
      </c>
      <c r="AF152" s="64">
        <f t="shared" si="19"/>
        <v>96.05</v>
      </c>
      <c r="AH152" s="65">
        <f t="shared" si="20"/>
        <v>-0.37908496732026142</v>
      </c>
      <c r="AI152" s="65">
        <f t="shared" si="20"/>
        <v>-0.19043588658484978</v>
      </c>
      <c r="AJ152" s="65">
        <f t="shared" si="20"/>
        <v>-0.19344091618948467</v>
      </c>
    </row>
    <row r="153" spans="1:36" x14ac:dyDescent="0.3">
      <c r="A153" s="78" t="s">
        <v>331</v>
      </c>
      <c r="B153" s="58" t="s">
        <v>332</v>
      </c>
      <c r="C153" s="59">
        <v>1745</v>
      </c>
      <c r="D153" s="60" t="s">
        <v>121</v>
      </c>
      <c r="E153" s="60">
        <v>1.8</v>
      </c>
      <c r="F153" s="60">
        <v>9.92</v>
      </c>
      <c r="G153" s="60">
        <v>11.72</v>
      </c>
      <c r="H153" s="61">
        <v>3141</v>
      </c>
      <c r="I153" s="61">
        <v>17310.400000000001</v>
      </c>
      <c r="J153" s="62">
        <v>20451.400000000001</v>
      </c>
      <c r="M153" s="75"/>
      <c r="N153" s="76"/>
      <c r="V153" s="56">
        <v>2222</v>
      </c>
      <c r="W153" s="56" t="s">
        <v>121</v>
      </c>
      <c r="X153" s="64">
        <v>2.1800000000000002</v>
      </c>
      <c r="Y153" s="64">
        <v>8.24</v>
      </c>
      <c r="Z153" s="64">
        <f t="shared" si="18"/>
        <v>10.42</v>
      </c>
      <c r="AB153" s="56">
        <v>2222</v>
      </c>
      <c r="AC153" s="56" t="s">
        <v>121</v>
      </c>
      <c r="AD153" s="64">
        <v>2.78</v>
      </c>
      <c r="AE153" s="64">
        <v>10.51</v>
      </c>
      <c r="AF153" s="64">
        <f t="shared" si="19"/>
        <v>13.29</v>
      </c>
      <c r="AH153" s="65">
        <f t="shared" si="20"/>
        <v>-0.35251798561151071</v>
      </c>
      <c r="AI153" s="65">
        <f t="shared" si="20"/>
        <v>-5.6137012369172234E-2</v>
      </c>
      <c r="AJ153" s="65">
        <f t="shared" si="20"/>
        <v>-0.11813393528969141</v>
      </c>
    </row>
    <row r="154" spans="1:36" x14ac:dyDescent="0.3">
      <c r="A154" s="78" t="s">
        <v>333</v>
      </c>
      <c r="B154" s="58" t="s">
        <v>334</v>
      </c>
      <c r="C154" s="59">
        <v>26</v>
      </c>
      <c r="D154" s="60" t="s">
        <v>71</v>
      </c>
      <c r="E154" s="60">
        <v>289.82</v>
      </c>
      <c r="F154" s="60">
        <v>264.19</v>
      </c>
      <c r="G154" s="60">
        <v>554.01</v>
      </c>
      <c r="H154" s="61">
        <v>7535.32</v>
      </c>
      <c r="I154" s="61">
        <v>6868.94</v>
      </c>
      <c r="J154" s="62">
        <v>14404.26</v>
      </c>
      <c r="M154" s="75"/>
      <c r="N154" s="76"/>
      <c r="V154" s="56">
        <v>6</v>
      </c>
      <c r="W154" s="56" t="s">
        <v>71</v>
      </c>
      <c r="X154" s="64">
        <v>425.88</v>
      </c>
      <c r="Y154" s="64">
        <v>239.2</v>
      </c>
      <c r="Z154" s="64">
        <f t="shared" si="18"/>
        <v>665.07999999999993</v>
      </c>
      <c r="AB154" s="56">
        <v>6</v>
      </c>
      <c r="AC154" s="56" t="s">
        <v>71</v>
      </c>
      <c r="AD154" s="64">
        <v>543</v>
      </c>
      <c r="AE154" s="64">
        <v>304.98</v>
      </c>
      <c r="AF154" s="64">
        <f t="shared" si="19"/>
        <v>847.98</v>
      </c>
      <c r="AH154" s="65">
        <f t="shared" si="20"/>
        <v>-0.46626151012891348</v>
      </c>
      <c r="AI154" s="65">
        <f t="shared" si="20"/>
        <v>-0.13374647517870031</v>
      </c>
      <c r="AJ154" s="65">
        <f t="shared" si="20"/>
        <v>-0.34667091204981249</v>
      </c>
    </row>
    <row r="155" spans="1:36" x14ac:dyDescent="0.3">
      <c r="A155" s="78" t="s">
        <v>335</v>
      </c>
      <c r="B155" s="58" t="s">
        <v>336</v>
      </c>
      <c r="C155" s="59">
        <v>229</v>
      </c>
      <c r="D155" s="60" t="s">
        <v>121</v>
      </c>
      <c r="E155" s="60">
        <v>12</v>
      </c>
      <c r="F155" s="60">
        <v>79.260000000000005</v>
      </c>
      <c r="G155" s="60">
        <v>91.26</v>
      </c>
      <c r="H155" s="61">
        <v>2748</v>
      </c>
      <c r="I155" s="61">
        <v>18150.54</v>
      </c>
      <c r="J155" s="62">
        <v>20898.54</v>
      </c>
      <c r="M155" s="75"/>
      <c r="N155" s="76"/>
      <c r="V155" s="56">
        <v>21</v>
      </c>
      <c r="W155" s="56" t="s">
        <v>121</v>
      </c>
      <c r="X155" s="64">
        <v>18.260000000000002</v>
      </c>
      <c r="Y155" s="64">
        <v>71.760000000000005</v>
      </c>
      <c r="Z155" s="64">
        <f t="shared" si="18"/>
        <v>90.02000000000001</v>
      </c>
      <c r="AB155" s="56">
        <v>21</v>
      </c>
      <c r="AC155" s="56" t="s">
        <v>121</v>
      </c>
      <c r="AD155" s="64">
        <v>23.28</v>
      </c>
      <c r="AE155" s="64">
        <v>91.49</v>
      </c>
      <c r="AF155" s="64">
        <f t="shared" si="19"/>
        <v>114.77</v>
      </c>
      <c r="AH155" s="65">
        <f t="shared" si="20"/>
        <v>-0.48453608247422686</v>
      </c>
      <c r="AI155" s="65">
        <f t="shared" si="20"/>
        <v>-0.13367581156410524</v>
      </c>
      <c r="AJ155" s="65">
        <f t="shared" si="20"/>
        <v>-0.20484447155179919</v>
      </c>
    </row>
    <row r="156" spans="1:36" x14ac:dyDescent="0.3">
      <c r="A156" s="78" t="s">
        <v>337</v>
      </c>
      <c r="B156" s="58" t="s">
        <v>338</v>
      </c>
      <c r="C156" s="59">
        <v>23</v>
      </c>
      <c r="D156" s="60" t="s">
        <v>121</v>
      </c>
      <c r="E156" s="60">
        <v>1.72</v>
      </c>
      <c r="F156" s="60">
        <v>23.82</v>
      </c>
      <c r="G156" s="60">
        <v>25.54</v>
      </c>
      <c r="H156" s="61">
        <v>39.56</v>
      </c>
      <c r="I156" s="61">
        <v>547.86</v>
      </c>
      <c r="J156" s="62">
        <v>587.41999999999996</v>
      </c>
      <c r="M156" s="75"/>
      <c r="N156" s="76"/>
      <c r="V156" s="56">
        <v>24</v>
      </c>
      <c r="W156" s="56" t="s">
        <v>121</v>
      </c>
      <c r="X156" s="64">
        <v>3.44</v>
      </c>
      <c r="Y156" s="64">
        <v>20.65</v>
      </c>
      <c r="Z156" s="64">
        <f t="shared" si="18"/>
        <v>24.09</v>
      </c>
      <c r="AB156" s="56">
        <v>24</v>
      </c>
      <c r="AC156" s="56" t="s">
        <v>121</v>
      </c>
      <c r="AD156" s="64">
        <v>4.3899999999999997</v>
      </c>
      <c r="AE156" s="64">
        <v>26.33</v>
      </c>
      <c r="AF156" s="64">
        <f t="shared" si="19"/>
        <v>30.72</v>
      </c>
      <c r="AH156" s="65">
        <f t="shared" si="20"/>
        <v>-0.60820045558086555</v>
      </c>
      <c r="AI156" s="65">
        <f t="shared" si="20"/>
        <v>-9.5328522597797116E-2</v>
      </c>
      <c r="AJ156" s="65">
        <f t="shared" si="20"/>
        <v>-0.16861979166666663</v>
      </c>
    </row>
    <row r="157" spans="1:36" x14ac:dyDescent="0.3">
      <c r="A157" s="78" t="s">
        <v>339</v>
      </c>
      <c r="B157" s="58" t="s">
        <v>340</v>
      </c>
      <c r="C157" s="59">
        <v>14</v>
      </c>
      <c r="D157" s="60" t="s">
        <v>71</v>
      </c>
      <c r="E157" s="60">
        <v>215.46</v>
      </c>
      <c r="F157" s="60">
        <v>26.42</v>
      </c>
      <c r="G157" s="60">
        <v>241.88</v>
      </c>
      <c r="H157" s="61">
        <v>3016.44</v>
      </c>
      <c r="I157" s="61">
        <v>369.88</v>
      </c>
      <c r="J157" s="62">
        <v>3386.3199999999997</v>
      </c>
      <c r="M157" s="75"/>
      <c r="N157" s="76"/>
      <c r="V157" s="56">
        <v>74</v>
      </c>
      <c r="W157" s="56" t="s">
        <v>71</v>
      </c>
      <c r="X157" s="64">
        <v>263.89999999999998</v>
      </c>
      <c r="Y157" s="64">
        <v>23.92</v>
      </c>
      <c r="Z157" s="64">
        <f t="shared" si="18"/>
        <v>287.82</v>
      </c>
      <c r="AB157" s="56">
        <v>74</v>
      </c>
      <c r="AC157" s="56" t="s">
        <v>71</v>
      </c>
      <c r="AD157" s="64">
        <v>336.47</v>
      </c>
      <c r="AE157" s="64">
        <v>30.5</v>
      </c>
      <c r="AF157" s="64">
        <f t="shared" si="19"/>
        <v>366.97</v>
      </c>
      <c r="AH157" s="65">
        <f t="shared" si="20"/>
        <v>-0.35964573364638752</v>
      </c>
      <c r="AI157" s="65">
        <f t="shared" si="20"/>
        <v>-0.1337704918032786</v>
      </c>
      <c r="AJ157" s="65">
        <f t="shared" si="20"/>
        <v>-0.34087255088971857</v>
      </c>
    </row>
    <row r="158" spans="1:36" x14ac:dyDescent="0.3">
      <c r="A158" s="78" t="s">
        <v>341</v>
      </c>
      <c r="B158" s="58" t="s">
        <v>342</v>
      </c>
      <c r="C158" s="59">
        <v>11</v>
      </c>
      <c r="D158" s="60" t="s">
        <v>121</v>
      </c>
      <c r="E158" s="60">
        <v>146.38</v>
      </c>
      <c r="F158" s="60">
        <v>4.76</v>
      </c>
      <c r="G158" s="60">
        <v>151.13999999999999</v>
      </c>
      <c r="H158" s="61">
        <v>1610.1799999999998</v>
      </c>
      <c r="I158" s="61">
        <v>52.36</v>
      </c>
      <c r="J158" s="62">
        <v>1662.54</v>
      </c>
      <c r="M158" s="75"/>
      <c r="N158" s="76"/>
      <c r="V158" s="56">
        <v>26</v>
      </c>
      <c r="W158" s="56" t="s">
        <v>121</v>
      </c>
      <c r="X158" s="64">
        <v>146.41999999999999</v>
      </c>
      <c r="Y158" s="64">
        <v>3.94</v>
      </c>
      <c r="Z158" s="64">
        <f t="shared" si="18"/>
        <v>150.35999999999999</v>
      </c>
      <c r="AB158" s="56">
        <v>26</v>
      </c>
      <c r="AC158" s="56" t="s">
        <v>121</v>
      </c>
      <c r="AD158" s="64">
        <v>186.69</v>
      </c>
      <c r="AE158" s="64">
        <v>5.0199999999999996</v>
      </c>
      <c r="AF158" s="64">
        <f t="shared" si="19"/>
        <v>191.71</v>
      </c>
      <c r="AH158" s="65">
        <f t="shared" si="20"/>
        <v>-0.21591943864159835</v>
      </c>
      <c r="AI158" s="65">
        <f t="shared" si="20"/>
        <v>-5.1792828685258918E-2</v>
      </c>
      <c r="AJ158" s="65">
        <f t="shared" si="20"/>
        <v>-0.21162172030671333</v>
      </c>
    </row>
    <row r="159" spans="1:36" x14ac:dyDescent="0.3">
      <c r="A159" s="78" t="s">
        <v>343</v>
      </c>
      <c r="B159" s="58" t="s">
        <v>344</v>
      </c>
      <c r="C159" s="59">
        <v>47</v>
      </c>
      <c r="D159" s="60" t="s">
        <v>71</v>
      </c>
      <c r="E159" s="60">
        <v>194.43</v>
      </c>
      <c r="F159" s="60">
        <v>132.1</v>
      </c>
      <c r="G159" s="60">
        <v>326.52999999999997</v>
      </c>
      <c r="H159" s="61">
        <v>9138.2100000000009</v>
      </c>
      <c r="I159" s="61">
        <v>6208.7</v>
      </c>
      <c r="J159" s="62">
        <v>15346.909999999998</v>
      </c>
      <c r="M159" s="75"/>
      <c r="N159" s="76"/>
      <c r="V159" s="56">
        <v>51</v>
      </c>
      <c r="W159" s="56" t="s">
        <v>71</v>
      </c>
      <c r="X159" s="64">
        <v>317.16000000000003</v>
      </c>
      <c r="Y159" s="64">
        <v>119.6</v>
      </c>
      <c r="Z159" s="64">
        <f t="shared" si="18"/>
        <v>436.76</v>
      </c>
      <c r="AB159" s="56">
        <v>51</v>
      </c>
      <c r="AC159" s="56" t="s">
        <v>71</v>
      </c>
      <c r="AD159" s="64">
        <v>404.38</v>
      </c>
      <c r="AE159" s="64">
        <v>152.49</v>
      </c>
      <c r="AF159" s="64">
        <f t="shared" si="19"/>
        <v>556.87</v>
      </c>
      <c r="AH159" s="65">
        <f t="shared" si="20"/>
        <v>-0.51918987091349722</v>
      </c>
      <c r="AI159" s="65">
        <f t="shared" si="20"/>
        <v>-0.13371368614335377</v>
      </c>
      <c r="AJ159" s="65">
        <f t="shared" si="20"/>
        <v>-0.41363334350925718</v>
      </c>
    </row>
    <row r="160" spans="1:36" x14ac:dyDescent="0.3">
      <c r="A160" s="78" t="s">
        <v>345</v>
      </c>
      <c r="B160" s="58" t="s">
        <v>346</v>
      </c>
      <c r="C160" s="59">
        <v>1</v>
      </c>
      <c r="D160" s="60" t="s">
        <v>71</v>
      </c>
      <c r="E160" s="60">
        <v>308.47000000000003</v>
      </c>
      <c r="F160" s="60">
        <v>148.26</v>
      </c>
      <c r="G160" s="60">
        <v>456.73</v>
      </c>
      <c r="H160" s="61">
        <v>308.47000000000003</v>
      </c>
      <c r="I160" s="61">
        <v>148.26</v>
      </c>
      <c r="J160" s="62">
        <v>456.73</v>
      </c>
      <c r="M160" s="75"/>
      <c r="N160" s="76"/>
      <c r="V160" s="56">
        <v>1</v>
      </c>
      <c r="W160" s="56" t="s">
        <v>71</v>
      </c>
      <c r="X160" s="64">
        <v>300.22000000000003</v>
      </c>
      <c r="Y160" s="64">
        <v>130.15</v>
      </c>
      <c r="Z160" s="64">
        <f t="shared" si="18"/>
        <v>430.37</v>
      </c>
      <c r="AB160" s="56">
        <v>1</v>
      </c>
      <c r="AC160" s="56" t="s">
        <v>71</v>
      </c>
      <c r="AD160" s="64">
        <v>382.78</v>
      </c>
      <c r="AE160" s="64">
        <v>165.94</v>
      </c>
      <c r="AF160" s="64">
        <f t="shared" si="19"/>
        <v>548.72</v>
      </c>
      <c r="AH160" s="65">
        <f t="shared" si="20"/>
        <v>-0.19413239981190222</v>
      </c>
      <c r="AI160" s="65">
        <f t="shared" si="20"/>
        <v>-0.1065445341689768</v>
      </c>
      <c r="AJ160" s="65">
        <f t="shared" si="20"/>
        <v>-0.16764470039364343</v>
      </c>
    </row>
    <row r="161" spans="1:36" x14ac:dyDescent="0.3">
      <c r="A161" s="78" t="s">
        <v>347</v>
      </c>
      <c r="B161" s="58" t="s">
        <v>348</v>
      </c>
      <c r="C161" s="59">
        <v>1</v>
      </c>
      <c r="D161" s="60" t="s">
        <v>41</v>
      </c>
      <c r="E161" s="60">
        <v>4.84</v>
      </c>
      <c r="F161" s="60">
        <v>65.63</v>
      </c>
      <c r="G161" s="60">
        <v>70.47</v>
      </c>
      <c r="H161" s="61">
        <v>4.84</v>
      </c>
      <c r="I161" s="61">
        <v>65.63</v>
      </c>
      <c r="J161" s="62">
        <v>70.47</v>
      </c>
      <c r="M161" s="75"/>
      <c r="N161" s="76"/>
      <c r="V161" s="56">
        <v>1</v>
      </c>
      <c r="W161" s="56" t="s">
        <v>41</v>
      </c>
      <c r="X161" s="64">
        <v>8.59</v>
      </c>
      <c r="Y161" s="64">
        <v>60.67</v>
      </c>
      <c r="Z161" s="64">
        <f t="shared" si="18"/>
        <v>69.260000000000005</v>
      </c>
      <c r="AB161" s="56">
        <v>1</v>
      </c>
      <c r="AC161" s="56" t="s">
        <v>41</v>
      </c>
      <c r="AD161" s="64">
        <v>10.95</v>
      </c>
      <c r="AE161" s="64">
        <v>77.349999999999994</v>
      </c>
      <c r="AF161" s="64">
        <f t="shared" si="19"/>
        <v>88.3</v>
      </c>
      <c r="AH161" s="65">
        <f t="shared" si="20"/>
        <v>-0.55799086757990868</v>
      </c>
      <c r="AI161" s="65">
        <f t="shared" si="20"/>
        <v>-0.15151906916612801</v>
      </c>
      <c r="AJ161" s="65">
        <f t="shared" si="20"/>
        <v>-0.20192525481313706</v>
      </c>
    </row>
    <row r="162" spans="1:36" x14ac:dyDescent="0.3">
      <c r="A162" s="78" t="s">
        <v>349</v>
      </c>
      <c r="B162" s="58" t="s">
        <v>350</v>
      </c>
      <c r="C162" s="59">
        <v>1</v>
      </c>
      <c r="D162" s="60" t="s">
        <v>41</v>
      </c>
      <c r="E162" s="60">
        <v>9.17</v>
      </c>
      <c r="F162" s="60">
        <v>14.72</v>
      </c>
      <c r="G162" s="60">
        <v>23.89</v>
      </c>
      <c r="H162" s="61">
        <v>9.17</v>
      </c>
      <c r="I162" s="61">
        <v>14.72</v>
      </c>
      <c r="J162" s="62">
        <v>23.89</v>
      </c>
      <c r="M162" s="75"/>
      <c r="N162" s="76"/>
      <c r="V162" s="56">
        <v>1</v>
      </c>
      <c r="W162" s="56" t="s">
        <v>41</v>
      </c>
      <c r="X162" s="64">
        <v>9.0299999999999994</v>
      </c>
      <c r="Y162" s="64">
        <v>12.41</v>
      </c>
      <c r="Z162" s="64">
        <f t="shared" si="18"/>
        <v>21.439999999999998</v>
      </c>
      <c r="AB162" s="56">
        <v>1</v>
      </c>
      <c r="AC162" s="56" t="s">
        <v>41</v>
      </c>
      <c r="AD162" s="64">
        <v>11.51</v>
      </c>
      <c r="AE162" s="64">
        <v>15.82</v>
      </c>
      <c r="AF162" s="64">
        <f t="shared" si="19"/>
        <v>27.33</v>
      </c>
      <c r="AH162" s="65">
        <f t="shared" si="20"/>
        <v>-0.20330147697654211</v>
      </c>
      <c r="AI162" s="65">
        <f t="shared" si="20"/>
        <v>-6.9532237673830544E-2</v>
      </c>
      <c r="AJ162" s="65">
        <f t="shared" si="20"/>
        <v>-0.1258690084156604</v>
      </c>
    </row>
    <row r="163" spans="1:36" x14ac:dyDescent="0.3">
      <c r="A163" s="78" t="s">
        <v>351</v>
      </c>
      <c r="B163" s="58" t="s">
        <v>352</v>
      </c>
      <c r="C163" s="59">
        <v>1</v>
      </c>
      <c r="D163" s="60" t="s">
        <v>121</v>
      </c>
      <c r="E163" s="60">
        <v>0</v>
      </c>
      <c r="F163" s="60">
        <v>79.260000000000005</v>
      </c>
      <c r="G163" s="60">
        <v>79.260000000000005</v>
      </c>
      <c r="H163" s="61">
        <v>0</v>
      </c>
      <c r="I163" s="61">
        <v>79.260000000000005</v>
      </c>
      <c r="J163" s="62">
        <v>79.260000000000005</v>
      </c>
      <c r="M163" s="75"/>
      <c r="N163" s="76"/>
      <c r="V163" s="56">
        <v>1</v>
      </c>
      <c r="W163" s="56" t="s">
        <v>121</v>
      </c>
      <c r="X163" s="64">
        <v>0</v>
      </c>
      <c r="Y163" s="64">
        <v>71.760000000000005</v>
      </c>
      <c r="Z163" s="64">
        <f t="shared" si="18"/>
        <v>71.760000000000005</v>
      </c>
      <c r="AB163" s="56">
        <v>1</v>
      </c>
      <c r="AC163" s="56" t="s">
        <v>121</v>
      </c>
      <c r="AD163" s="64">
        <v>0</v>
      </c>
      <c r="AE163" s="64">
        <v>91.49</v>
      </c>
      <c r="AF163" s="64">
        <f t="shared" si="19"/>
        <v>91.49</v>
      </c>
      <c r="AH163" s="65">
        <f t="shared" si="20"/>
        <v>0</v>
      </c>
      <c r="AI163" s="65">
        <f t="shared" si="20"/>
        <v>-0.13367581156410524</v>
      </c>
      <c r="AJ163" s="65">
        <f t="shared" si="20"/>
        <v>-0.13367581156410524</v>
      </c>
    </row>
    <row r="164" spans="1:36" x14ac:dyDescent="0.3">
      <c r="A164" s="69">
        <v>14</v>
      </c>
      <c r="B164" s="70" t="s">
        <v>353</v>
      </c>
      <c r="C164" s="71"/>
      <c r="D164" s="72"/>
      <c r="E164" s="72"/>
      <c r="F164" s="72"/>
      <c r="G164" s="72"/>
      <c r="H164" s="52">
        <v>321522.7</v>
      </c>
      <c r="I164" s="52">
        <v>130243.75000000003</v>
      </c>
      <c r="J164" s="52">
        <v>451766.45</v>
      </c>
      <c r="M164" s="75"/>
      <c r="N164" s="76"/>
      <c r="V164" s="54"/>
      <c r="W164" s="54"/>
      <c r="X164" s="55"/>
      <c r="Y164" s="55"/>
      <c r="Z164" s="55"/>
      <c r="AB164" s="54"/>
      <c r="AC164" s="54"/>
      <c r="AD164" s="55"/>
      <c r="AE164" s="55"/>
      <c r="AF164" s="55"/>
      <c r="AH164" s="65">
        <f t="shared" si="20"/>
        <v>0</v>
      </c>
      <c r="AI164" s="65">
        <f t="shared" si="20"/>
        <v>0</v>
      </c>
      <c r="AJ164" s="65">
        <f t="shared" si="20"/>
        <v>0</v>
      </c>
    </row>
    <row r="165" spans="1:36" x14ac:dyDescent="0.3">
      <c r="A165" s="78" t="s">
        <v>354</v>
      </c>
      <c r="B165" s="58" t="s">
        <v>355</v>
      </c>
      <c r="C165" s="59">
        <v>11</v>
      </c>
      <c r="D165" s="60" t="s">
        <v>71</v>
      </c>
      <c r="E165" s="60">
        <v>344.93</v>
      </c>
      <c r="F165" s="60">
        <v>180.73</v>
      </c>
      <c r="G165" s="60">
        <v>525.66</v>
      </c>
      <c r="H165" s="61">
        <v>3794.23</v>
      </c>
      <c r="I165" s="61">
        <v>1988.03</v>
      </c>
      <c r="J165" s="62">
        <v>5782.2599999999993</v>
      </c>
      <c r="M165" s="75"/>
      <c r="N165" s="76"/>
      <c r="V165" s="56">
        <v>1</v>
      </c>
      <c r="W165" s="56" t="s">
        <v>71</v>
      </c>
      <c r="X165" s="64">
        <v>394.98</v>
      </c>
      <c r="Y165" s="64">
        <v>167.28</v>
      </c>
      <c r="Z165" s="64">
        <f t="shared" ref="Z165:Z194" si="21">SUM(X165:Y165)</f>
        <v>562.26</v>
      </c>
      <c r="AB165" s="56">
        <v>1</v>
      </c>
      <c r="AC165" s="56" t="s">
        <v>71</v>
      </c>
      <c r="AD165" s="64">
        <v>503.6</v>
      </c>
      <c r="AE165" s="64">
        <v>213.28</v>
      </c>
      <c r="AF165" s="64">
        <f t="shared" ref="AF165:AF194" si="22">SUM(AD165:AE165)</f>
        <v>716.88</v>
      </c>
      <c r="AH165" s="65">
        <f t="shared" si="20"/>
        <v>-0.31507148530579832</v>
      </c>
      <c r="AI165" s="65">
        <f t="shared" si="20"/>
        <v>-0.15261627906976749</v>
      </c>
      <c r="AJ165" s="65">
        <f t="shared" si="20"/>
        <v>-0.26673920321392708</v>
      </c>
    </row>
    <row r="166" spans="1:36" x14ac:dyDescent="0.3">
      <c r="A166" s="78" t="s">
        <v>356</v>
      </c>
      <c r="B166" s="58" t="s">
        <v>357</v>
      </c>
      <c r="C166" s="59">
        <v>5</v>
      </c>
      <c r="D166" s="60" t="s">
        <v>71</v>
      </c>
      <c r="E166" s="60">
        <v>475.3</v>
      </c>
      <c r="F166" s="60">
        <v>66.94</v>
      </c>
      <c r="G166" s="60">
        <v>542.24</v>
      </c>
      <c r="H166" s="61">
        <v>2376.5</v>
      </c>
      <c r="I166" s="61">
        <v>334.7</v>
      </c>
      <c r="J166" s="62">
        <v>2711.2</v>
      </c>
      <c r="M166" s="75"/>
      <c r="N166" s="76"/>
      <c r="V166" s="56">
        <v>1</v>
      </c>
      <c r="W166" s="56" t="s">
        <v>71</v>
      </c>
      <c r="X166" s="64">
        <v>543.12</v>
      </c>
      <c r="Y166" s="64">
        <v>61.96</v>
      </c>
      <c r="Z166" s="64">
        <f t="shared" si="21"/>
        <v>605.08000000000004</v>
      </c>
      <c r="AB166" s="56">
        <v>1</v>
      </c>
      <c r="AC166" s="56" t="s">
        <v>71</v>
      </c>
      <c r="AD166" s="64">
        <v>692.48</v>
      </c>
      <c r="AE166" s="64">
        <v>79</v>
      </c>
      <c r="AF166" s="64">
        <f t="shared" si="22"/>
        <v>771.48</v>
      </c>
      <c r="AH166" s="65">
        <f t="shared" si="20"/>
        <v>-0.31362638632162665</v>
      </c>
      <c r="AI166" s="65">
        <f t="shared" si="20"/>
        <v>-0.15265822784810135</v>
      </c>
      <c r="AJ166" s="65">
        <f t="shared" si="20"/>
        <v>-0.29714315341940167</v>
      </c>
    </row>
    <row r="167" spans="1:36" x14ac:dyDescent="0.3">
      <c r="A167" s="78" t="s">
        <v>358</v>
      </c>
      <c r="B167" s="58" t="s">
        <v>359</v>
      </c>
      <c r="C167" s="59">
        <v>129</v>
      </c>
      <c r="D167" s="60" t="s">
        <v>87</v>
      </c>
      <c r="E167" s="60">
        <v>3.04</v>
      </c>
      <c r="F167" s="60">
        <v>25.79</v>
      </c>
      <c r="G167" s="60">
        <v>28.83</v>
      </c>
      <c r="H167" s="61">
        <v>392.16</v>
      </c>
      <c r="I167" s="61">
        <v>3326.91</v>
      </c>
      <c r="J167" s="62">
        <v>3719.0699999999997</v>
      </c>
      <c r="M167" s="75"/>
      <c r="N167" s="76"/>
      <c r="V167" s="56">
        <v>58</v>
      </c>
      <c r="W167" s="56" t="s">
        <v>87</v>
      </c>
      <c r="X167" s="64">
        <v>4.82</v>
      </c>
      <c r="Y167" s="64">
        <v>23.12</v>
      </c>
      <c r="Z167" s="64">
        <f t="shared" si="21"/>
        <v>27.94</v>
      </c>
      <c r="AB167" s="56">
        <v>58</v>
      </c>
      <c r="AC167" s="56" t="s">
        <v>87</v>
      </c>
      <c r="AD167" s="64">
        <v>6.15</v>
      </c>
      <c r="AE167" s="64">
        <v>29.48</v>
      </c>
      <c r="AF167" s="64">
        <f t="shared" si="22"/>
        <v>35.630000000000003</v>
      </c>
      <c r="AH167" s="65">
        <f t="shared" si="20"/>
        <v>-0.50569105691056915</v>
      </c>
      <c r="AI167" s="65">
        <f t="shared" si="20"/>
        <v>-0.12516960651289011</v>
      </c>
      <c r="AJ167" s="65">
        <f t="shared" si="20"/>
        <v>-0.19085040696042677</v>
      </c>
    </row>
    <row r="168" spans="1:36" ht="28.8" x14ac:dyDescent="0.3">
      <c r="A168" s="78" t="s">
        <v>360</v>
      </c>
      <c r="B168" s="58" t="s">
        <v>361</v>
      </c>
      <c r="C168" s="59">
        <v>80</v>
      </c>
      <c r="D168" s="60" t="s">
        <v>87</v>
      </c>
      <c r="E168" s="60">
        <v>67.09</v>
      </c>
      <c r="F168" s="60">
        <v>88.78</v>
      </c>
      <c r="G168" s="60">
        <v>155.87</v>
      </c>
      <c r="H168" s="61">
        <v>5367.2000000000007</v>
      </c>
      <c r="I168" s="61">
        <v>7102.4</v>
      </c>
      <c r="J168" s="62">
        <v>12469.6</v>
      </c>
      <c r="M168" s="75"/>
      <c r="N168" s="76"/>
      <c r="V168" s="56">
        <v>1</v>
      </c>
      <c r="W168" s="56" t="s">
        <v>87</v>
      </c>
      <c r="X168" s="64">
        <v>81.86</v>
      </c>
      <c r="Y168" s="64">
        <v>80.12</v>
      </c>
      <c r="Z168" s="64">
        <f t="shared" si="21"/>
        <v>161.98000000000002</v>
      </c>
      <c r="AB168" s="56">
        <v>1</v>
      </c>
      <c r="AC168" s="56" t="s">
        <v>87</v>
      </c>
      <c r="AD168" s="64">
        <v>104.37</v>
      </c>
      <c r="AE168" s="64">
        <v>102.15</v>
      </c>
      <c r="AF168" s="64">
        <f t="shared" si="22"/>
        <v>206.52</v>
      </c>
      <c r="AH168" s="65">
        <f t="shared" si="20"/>
        <v>-0.35719076362939539</v>
      </c>
      <c r="AI168" s="65">
        <f t="shared" si="20"/>
        <v>-0.13088595203132647</v>
      </c>
      <c r="AJ168" s="65">
        <f t="shared" si="20"/>
        <v>-0.24525469688165802</v>
      </c>
    </row>
    <row r="169" spans="1:36" x14ac:dyDescent="0.3">
      <c r="A169" s="78" t="s">
        <v>362</v>
      </c>
      <c r="B169" s="58" t="s">
        <v>363</v>
      </c>
      <c r="C169" s="59">
        <v>30</v>
      </c>
      <c r="D169" s="60" t="s">
        <v>87</v>
      </c>
      <c r="E169" s="60">
        <v>213.14</v>
      </c>
      <c r="F169" s="60">
        <v>325.24</v>
      </c>
      <c r="G169" s="60">
        <v>538.38</v>
      </c>
      <c r="H169" s="61">
        <v>6394.2</v>
      </c>
      <c r="I169" s="61">
        <v>9757.2000000000007</v>
      </c>
      <c r="J169" s="62">
        <v>16151.4</v>
      </c>
      <c r="M169" s="75"/>
      <c r="N169" s="76"/>
      <c r="V169" s="56">
        <v>33</v>
      </c>
      <c r="W169" s="56" t="s">
        <v>87</v>
      </c>
      <c r="X169" s="64">
        <v>241.6</v>
      </c>
      <c r="Y169" s="64">
        <v>293.77999999999997</v>
      </c>
      <c r="Z169" s="64">
        <f t="shared" si="21"/>
        <v>535.38</v>
      </c>
      <c r="AB169" s="56">
        <v>33</v>
      </c>
      <c r="AC169" s="56" t="s">
        <v>87</v>
      </c>
      <c r="AD169" s="64">
        <v>308.04000000000002</v>
      </c>
      <c r="AE169" s="64">
        <v>374.57</v>
      </c>
      <c r="AF169" s="64">
        <f t="shared" si="22"/>
        <v>682.61</v>
      </c>
      <c r="AH169" s="65">
        <f t="shared" si="20"/>
        <v>-0.30807687313335941</v>
      </c>
      <c r="AI169" s="65">
        <f t="shared" si="20"/>
        <v>-0.13169768000640736</v>
      </c>
      <c r="AJ169" s="65">
        <f t="shared" si="20"/>
        <v>-0.21129195294531289</v>
      </c>
    </row>
    <row r="170" spans="1:36" x14ac:dyDescent="0.3">
      <c r="A170" s="78" t="s">
        <v>364</v>
      </c>
      <c r="B170" s="58" t="s">
        <v>365</v>
      </c>
      <c r="C170" s="59">
        <v>429</v>
      </c>
      <c r="D170" s="60" t="s">
        <v>71</v>
      </c>
      <c r="E170" s="60">
        <v>32.67</v>
      </c>
      <c r="F170" s="60">
        <v>26.64</v>
      </c>
      <c r="G170" s="60">
        <v>59.31</v>
      </c>
      <c r="H170" s="61">
        <v>14015.43</v>
      </c>
      <c r="I170" s="61">
        <v>11428.56</v>
      </c>
      <c r="J170" s="62">
        <v>25443.99</v>
      </c>
      <c r="M170" s="75"/>
      <c r="N170" s="76"/>
      <c r="V170" s="56">
        <v>273</v>
      </c>
      <c r="W170" s="56" t="s">
        <v>71</v>
      </c>
      <c r="X170" s="64">
        <v>42</v>
      </c>
      <c r="Y170" s="64">
        <v>23.96</v>
      </c>
      <c r="Z170" s="64">
        <f t="shared" si="21"/>
        <v>65.960000000000008</v>
      </c>
      <c r="AB170" s="56">
        <v>273</v>
      </c>
      <c r="AC170" s="56" t="s">
        <v>71</v>
      </c>
      <c r="AD170" s="64">
        <v>53.55</v>
      </c>
      <c r="AE170" s="64">
        <v>30.55</v>
      </c>
      <c r="AF170" s="64">
        <f t="shared" si="22"/>
        <v>84.1</v>
      </c>
      <c r="AH170" s="65">
        <f t="shared" si="20"/>
        <v>-0.38991596638655457</v>
      </c>
      <c r="AI170" s="65">
        <f t="shared" si="20"/>
        <v>-0.12798690671031099</v>
      </c>
      <c r="AJ170" s="65">
        <f t="shared" si="20"/>
        <v>-0.29476813317479189</v>
      </c>
    </row>
    <row r="171" spans="1:36" ht="14.4" customHeight="1" x14ac:dyDescent="0.3">
      <c r="A171" s="78" t="s">
        <v>366</v>
      </c>
      <c r="B171" s="58" t="s">
        <v>367</v>
      </c>
      <c r="C171" s="59">
        <v>162</v>
      </c>
      <c r="D171" s="60" t="s">
        <v>71</v>
      </c>
      <c r="E171" s="60">
        <v>32.67</v>
      </c>
      <c r="F171" s="60">
        <v>78.180000000000007</v>
      </c>
      <c r="G171" s="60">
        <v>110.85000000000001</v>
      </c>
      <c r="H171" s="61">
        <v>5292.54</v>
      </c>
      <c r="I171" s="61">
        <v>12665.160000000002</v>
      </c>
      <c r="J171" s="62">
        <v>17957.7</v>
      </c>
      <c r="M171" s="75"/>
      <c r="N171" s="76"/>
      <c r="V171" s="56">
        <v>11</v>
      </c>
      <c r="W171" s="56" t="s">
        <v>71</v>
      </c>
      <c r="X171" s="64">
        <v>42</v>
      </c>
      <c r="Y171" s="64">
        <v>68.47</v>
      </c>
      <c r="Z171" s="64">
        <f t="shared" si="21"/>
        <v>110.47</v>
      </c>
      <c r="AB171" s="56">
        <v>11</v>
      </c>
      <c r="AC171" s="56" t="s">
        <v>71</v>
      </c>
      <c r="AD171" s="64">
        <v>53.55</v>
      </c>
      <c r="AE171" s="64">
        <v>87.3</v>
      </c>
      <c r="AF171" s="64">
        <f t="shared" si="22"/>
        <v>140.85</v>
      </c>
      <c r="AH171" s="65">
        <f t="shared" si="20"/>
        <v>-0.38991596638655457</v>
      </c>
      <c r="AI171" s="65">
        <f t="shared" si="20"/>
        <v>-0.10446735395188989</v>
      </c>
      <c r="AJ171" s="65">
        <f t="shared" si="20"/>
        <v>-0.21299254526091582</v>
      </c>
    </row>
    <row r="172" spans="1:36" x14ac:dyDescent="0.3">
      <c r="A172" s="78" t="s">
        <v>368</v>
      </c>
      <c r="B172" s="58" t="s">
        <v>369</v>
      </c>
      <c r="C172" s="59">
        <v>495</v>
      </c>
      <c r="D172" s="60" t="s">
        <v>71</v>
      </c>
      <c r="E172" s="60">
        <v>546.95000000000005</v>
      </c>
      <c r="F172" s="60">
        <v>154.37</v>
      </c>
      <c r="G172" s="60">
        <v>701.32</v>
      </c>
      <c r="H172" s="61">
        <v>270740.25</v>
      </c>
      <c r="I172" s="61">
        <v>76413.150000000009</v>
      </c>
      <c r="J172" s="62">
        <v>347153.4</v>
      </c>
      <c r="M172" s="75"/>
      <c r="N172" s="76"/>
      <c r="V172" s="56">
        <v>31</v>
      </c>
      <c r="W172" s="56" t="s">
        <v>71</v>
      </c>
      <c r="X172" s="64">
        <v>625.14</v>
      </c>
      <c r="Y172" s="64">
        <v>138.87</v>
      </c>
      <c r="Z172" s="64">
        <f t="shared" si="21"/>
        <v>764.01</v>
      </c>
      <c r="AB172" s="56">
        <v>31</v>
      </c>
      <c r="AC172" s="56" t="s">
        <v>71</v>
      </c>
      <c r="AD172" s="64">
        <v>797.05</v>
      </c>
      <c r="AE172" s="64">
        <v>177.06</v>
      </c>
      <c r="AF172" s="64">
        <f t="shared" si="22"/>
        <v>974.1099999999999</v>
      </c>
      <c r="AH172" s="65">
        <f t="shared" si="20"/>
        <v>-0.3137820713882441</v>
      </c>
      <c r="AI172" s="65">
        <f t="shared" si="20"/>
        <v>-0.12814865017508192</v>
      </c>
      <c r="AJ172" s="65">
        <f t="shared" si="20"/>
        <v>-0.28004024186180188</v>
      </c>
    </row>
    <row r="173" spans="1:36" x14ac:dyDescent="0.3">
      <c r="A173" s="78" t="s">
        <v>370</v>
      </c>
      <c r="B173" s="58" t="s">
        <v>371</v>
      </c>
      <c r="C173" s="59">
        <v>1</v>
      </c>
      <c r="D173" s="60" t="s">
        <v>121</v>
      </c>
      <c r="E173" s="60">
        <v>282.20999999999998</v>
      </c>
      <c r="F173" s="60">
        <v>42.24</v>
      </c>
      <c r="G173" s="60">
        <v>324.45</v>
      </c>
      <c r="H173" s="61">
        <v>282.20999999999998</v>
      </c>
      <c r="I173" s="61">
        <v>42.24</v>
      </c>
      <c r="J173" s="62">
        <v>324.45</v>
      </c>
      <c r="M173" s="75"/>
      <c r="N173" s="79"/>
      <c r="V173" s="56">
        <v>1</v>
      </c>
      <c r="W173" s="56" t="s">
        <v>121</v>
      </c>
      <c r="X173" s="64">
        <v>362.06</v>
      </c>
      <c r="Y173" s="64">
        <v>37.4</v>
      </c>
      <c r="Z173" s="64">
        <f t="shared" si="21"/>
        <v>399.46</v>
      </c>
      <c r="AB173" s="56">
        <v>1</v>
      </c>
      <c r="AC173" s="56" t="s">
        <v>121</v>
      </c>
      <c r="AD173" s="64">
        <v>461.63</v>
      </c>
      <c r="AE173" s="64">
        <v>47.69</v>
      </c>
      <c r="AF173" s="64">
        <f t="shared" si="22"/>
        <v>509.32</v>
      </c>
      <c r="AH173" s="65">
        <f t="shared" si="20"/>
        <v>-0.38866624786084092</v>
      </c>
      <c r="AI173" s="65">
        <f t="shared" si="20"/>
        <v>-0.11427972321241342</v>
      </c>
      <c r="AJ173" s="65">
        <f t="shared" si="20"/>
        <v>-0.3629741616272677</v>
      </c>
    </row>
    <row r="174" spans="1:36" x14ac:dyDescent="0.3">
      <c r="A174" s="78" t="s">
        <v>372</v>
      </c>
      <c r="B174" s="58" t="s">
        <v>373</v>
      </c>
      <c r="C174" s="59">
        <v>4</v>
      </c>
      <c r="D174" s="60" t="s">
        <v>121</v>
      </c>
      <c r="E174" s="60">
        <v>132.33000000000001</v>
      </c>
      <c r="F174" s="60">
        <v>39.67</v>
      </c>
      <c r="G174" s="60">
        <v>172</v>
      </c>
      <c r="H174" s="61">
        <v>529.32000000000005</v>
      </c>
      <c r="I174" s="61">
        <v>158.68</v>
      </c>
      <c r="J174" s="62">
        <v>688</v>
      </c>
      <c r="M174" s="75"/>
      <c r="N174" s="76"/>
      <c r="V174" s="56">
        <v>1</v>
      </c>
      <c r="W174" s="56" t="s">
        <v>121</v>
      </c>
      <c r="X174" s="64">
        <v>167.46</v>
      </c>
      <c r="Y174" s="64">
        <v>34.799999999999997</v>
      </c>
      <c r="Z174" s="64">
        <f t="shared" si="21"/>
        <v>202.26</v>
      </c>
      <c r="AB174" s="56">
        <v>1</v>
      </c>
      <c r="AC174" s="56" t="s">
        <v>121</v>
      </c>
      <c r="AD174" s="64">
        <v>213.51</v>
      </c>
      <c r="AE174" s="64">
        <v>44.37</v>
      </c>
      <c r="AF174" s="64">
        <f t="shared" si="22"/>
        <v>257.88</v>
      </c>
      <c r="AH174" s="65">
        <f t="shared" si="20"/>
        <v>-0.38021638330757335</v>
      </c>
      <c r="AI174" s="65">
        <f t="shared" si="20"/>
        <v>-0.10592742844264136</v>
      </c>
      <c r="AJ174" s="65">
        <f t="shared" si="20"/>
        <v>-0.33302311152474018</v>
      </c>
    </row>
    <row r="175" spans="1:36" x14ac:dyDescent="0.3">
      <c r="A175" s="78" t="s">
        <v>374</v>
      </c>
      <c r="B175" s="58" t="s">
        <v>375</v>
      </c>
      <c r="C175" s="59">
        <v>96</v>
      </c>
      <c r="D175" s="60" t="s">
        <v>121</v>
      </c>
      <c r="E175" s="60">
        <v>3.43</v>
      </c>
      <c r="F175" s="60">
        <v>53.54</v>
      </c>
      <c r="G175" s="60">
        <v>56.97</v>
      </c>
      <c r="H175" s="61">
        <v>329.28000000000003</v>
      </c>
      <c r="I175" s="61">
        <v>5139.84</v>
      </c>
      <c r="J175" s="62">
        <v>5469.12</v>
      </c>
      <c r="M175" s="75"/>
      <c r="N175" s="76"/>
      <c r="V175" s="56">
        <v>60</v>
      </c>
      <c r="W175" s="56" t="s">
        <v>121</v>
      </c>
      <c r="X175" s="64">
        <v>6.88</v>
      </c>
      <c r="Y175" s="64">
        <v>48.06</v>
      </c>
      <c r="Z175" s="64">
        <f t="shared" si="21"/>
        <v>54.940000000000005</v>
      </c>
      <c r="AB175" s="56">
        <v>60</v>
      </c>
      <c r="AC175" s="56" t="s">
        <v>121</v>
      </c>
      <c r="AD175" s="64">
        <v>8.77</v>
      </c>
      <c r="AE175" s="64">
        <v>61.28</v>
      </c>
      <c r="AF175" s="64">
        <f t="shared" si="22"/>
        <v>70.05</v>
      </c>
      <c r="AH175" s="65">
        <f t="shared" si="20"/>
        <v>-0.60889395667046742</v>
      </c>
      <c r="AI175" s="65">
        <f t="shared" si="20"/>
        <v>-0.12630548302872069</v>
      </c>
      <c r="AJ175" s="65">
        <f t="shared" si="20"/>
        <v>-0.18672376873661667</v>
      </c>
    </row>
    <row r="176" spans="1:36" x14ac:dyDescent="0.3">
      <c r="A176" s="78" t="s">
        <v>376</v>
      </c>
      <c r="B176" s="58" t="s">
        <v>377</v>
      </c>
      <c r="C176" s="59">
        <v>4</v>
      </c>
      <c r="D176" s="60" t="s">
        <v>71</v>
      </c>
      <c r="E176" s="60">
        <v>101.78</v>
      </c>
      <c r="F176" s="60">
        <v>45.94</v>
      </c>
      <c r="G176" s="60">
        <v>147.72</v>
      </c>
      <c r="H176" s="61">
        <v>407.12</v>
      </c>
      <c r="I176" s="61">
        <v>183.76</v>
      </c>
      <c r="J176" s="62">
        <v>590.88</v>
      </c>
      <c r="M176" s="75"/>
      <c r="N176" s="76"/>
      <c r="V176" s="56">
        <v>1</v>
      </c>
      <c r="W176" s="56" t="s">
        <v>71</v>
      </c>
      <c r="X176" s="64">
        <v>86.73</v>
      </c>
      <c r="Y176" s="64">
        <v>41.09</v>
      </c>
      <c r="Z176" s="64">
        <f t="shared" si="21"/>
        <v>127.82000000000001</v>
      </c>
      <c r="AB176" s="56">
        <v>1</v>
      </c>
      <c r="AC176" s="56" t="s">
        <v>71</v>
      </c>
      <c r="AD176" s="64">
        <v>110.58</v>
      </c>
      <c r="AE176" s="64">
        <v>52.39</v>
      </c>
      <c r="AF176" s="64">
        <f t="shared" si="22"/>
        <v>162.97</v>
      </c>
      <c r="AH176" s="65">
        <f t="shared" si="20"/>
        <v>-7.9580394284680778E-2</v>
      </c>
      <c r="AI176" s="65">
        <f t="shared" si="20"/>
        <v>-0.1231150983012026</v>
      </c>
      <c r="AJ176" s="65">
        <f t="shared" si="20"/>
        <v>-9.3575504694115463E-2</v>
      </c>
    </row>
    <row r="177" spans="1:36" x14ac:dyDescent="0.3">
      <c r="A177" s="78" t="s">
        <v>378</v>
      </c>
      <c r="B177" s="58" t="s">
        <v>379</v>
      </c>
      <c r="C177" s="59">
        <v>1</v>
      </c>
      <c r="D177" s="60" t="s">
        <v>121</v>
      </c>
      <c r="E177" s="60">
        <v>263.93</v>
      </c>
      <c r="F177" s="60">
        <v>379.68</v>
      </c>
      <c r="G177" s="60">
        <v>643.61</v>
      </c>
      <c r="H177" s="61">
        <v>263.93</v>
      </c>
      <c r="I177" s="61">
        <v>379.68</v>
      </c>
      <c r="J177" s="62">
        <v>643.61</v>
      </c>
      <c r="M177" s="75"/>
      <c r="N177" s="76"/>
      <c r="V177" s="56">
        <v>1</v>
      </c>
      <c r="W177" s="56" t="s">
        <v>121</v>
      </c>
      <c r="X177" s="64">
        <v>255.96</v>
      </c>
      <c r="Y177" s="64">
        <v>356.1</v>
      </c>
      <c r="Z177" s="64">
        <f t="shared" si="21"/>
        <v>612.06000000000006</v>
      </c>
      <c r="AB177" s="56">
        <v>1</v>
      </c>
      <c r="AC177" s="56" t="s">
        <v>121</v>
      </c>
      <c r="AD177" s="64">
        <v>326.35000000000002</v>
      </c>
      <c r="AE177" s="64">
        <v>454.03</v>
      </c>
      <c r="AF177" s="64">
        <f t="shared" si="22"/>
        <v>780.38</v>
      </c>
      <c r="AH177" s="65">
        <f t="shared" si="20"/>
        <v>-0.19126704458403554</v>
      </c>
      <c r="AI177" s="65">
        <f t="shared" si="20"/>
        <v>-0.16375569896262354</v>
      </c>
      <c r="AJ177" s="65">
        <f t="shared" si="20"/>
        <v>-0.17526077039391064</v>
      </c>
    </row>
    <row r="178" spans="1:36" x14ac:dyDescent="0.3">
      <c r="A178" s="78" t="s">
        <v>380</v>
      </c>
      <c r="B178" s="58" t="s">
        <v>381</v>
      </c>
      <c r="C178" s="59">
        <v>1</v>
      </c>
      <c r="D178" s="60" t="s">
        <v>121</v>
      </c>
      <c r="E178" s="60">
        <v>3519.2</v>
      </c>
      <c r="F178" s="60">
        <v>132.74</v>
      </c>
      <c r="G178" s="60">
        <v>3651.9399999999996</v>
      </c>
      <c r="H178" s="61">
        <v>3519.2</v>
      </c>
      <c r="I178" s="61">
        <v>132.74</v>
      </c>
      <c r="J178" s="62">
        <v>3651.9399999999996</v>
      </c>
      <c r="M178" s="75"/>
      <c r="N178" s="76"/>
      <c r="V178" s="56">
        <v>1</v>
      </c>
      <c r="W178" s="56" t="s">
        <v>121</v>
      </c>
      <c r="X178" s="64">
        <v>3998.87</v>
      </c>
      <c r="Y178" s="64">
        <v>112.74</v>
      </c>
      <c r="Z178" s="64">
        <f t="shared" si="21"/>
        <v>4111.6099999999997</v>
      </c>
      <c r="AB178" s="56">
        <v>1</v>
      </c>
      <c r="AC178" s="56" t="s">
        <v>121</v>
      </c>
      <c r="AD178" s="64">
        <v>5098.5600000000004</v>
      </c>
      <c r="AE178" s="64">
        <v>143.74</v>
      </c>
      <c r="AF178" s="64">
        <f t="shared" si="22"/>
        <v>5242.3</v>
      </c>
      <c r="AH178" s="65">
        <f t="shared" si="20"/>
        <v>-0.3097658946839893</v>
      </c>
      <c r="AI178" s="65">
        <f t="shared" si="20"/>
        <v>-7.6527062752191455E-2</v>
      </c>
      <c r="AJ178" s="65">
        <f t="shared" si="20"/>
        <v>-0.30337065791732643</v>
      </c>
    </row>
    <row r="179" spans="1:36" x14ac:dyDescent="0.3">
      <c r="A179" s="78" t="s">
        <v>382</v>
      </c>
      <c r="B179" s="58" t="s">
        <v>383</v>
      </c>
      <c r="C179" s="59">
        <v>1</v>
      </c>
      <c r="D179" s="60" t="s">
        <v>121</v>
      </c>
      <c r="E179" s="60">
        <v>2240.64</v>
      </c>
      <c r="F179" s="60">
        <v>132.74</v>
      </c>
      <c r="G179" s="60">
        <v>2373.38</v>
      </c>
      <c r="H179" s="61">
        <v>2240.64</v>
      </c>
      <c r="I179" s="61">
        <v>132.74</v>
      </c>
      <c r="J179" s="62">
        <v>2373.38</v>
      </c>
      <c r="M179" s="75"/>
      <c r="N179" s="76"/>
      <c r="V179" s="56">
        <v>1</v>
      </c>
      <c r="W179" s="56" t="s">
        <v>121</v>
      </c>
      <c r="X179" s="64">
        <v>2539.5</v>
      </c>
      <c r="Y179" s="64">
        <v>112.74</v>
      </c>
      <c r="Z179" s="64">
        <f t="shared" si="21"/>
        <v>2652.24</v>
      </c>
      <c r="AB179" s="56">
        <v>1</v>
      </c>
      <c r="AC179" s="56" t="s">
        <v>121</v>
      </c>
      <c r="AD179" s="64">
        <v>3237.86</v>
      </c>
      <c r="AE179" s="64">
        <v>143.74</v>
      </c>
      <c r="AF179" s="64">
        <f t="shared" si="22"/>
        <v>3381.6000000000004</v>
      </c>
      <c r="AH179" s="65">
        <f t="shared" si="20"/>
        <v>-0.30798737437690338</v>
      </c>
      <c r="AI179" s="65">
        <f t="shared" si="20"/>
        <v>-7.6527062752191455E-2</v>
      </c>
      <c r="AJ179" s="65">
        <f t="shared" si="20"/>
        <v>-0.29814880529926668</v>
      </c>
    </row>
    <row r="180" spans="1:36" x14ac:dyDescent="0.3">
      <c r="A180" s="78" t="s">
        <v>384</v>
      </c>
      <c r="B180" s="58" t="s">
        <v>385</v>
      </c>
      <c r="C180" s="59">
        <v>1</v>
      </c>
      <c r="D180" s="60" t="s">
        <v>121</v>
      </c>
      <c r="E180" s="60">
        <v>697.97</v>
      </c>
      <c r="F180" s="60">
        <v>186.28</v>
      </c>
      <c r="G180" s="60">
        <v>884.25</v>
      </c>
      <c r="H180" s="61">
        <v>697.97</v>
      </c>
      <c r="I180" s="61">
        <v>186.28</v>
      </c>
      <c r="J180" s="62">
        <v>884.25</v>
      </c>
      <c r="M180" s="75"/>
      <c r="N180" s="76"/>
      <c r="V180" s="56">
        <v>1</v>
      </c>
      <c r="W180" s="56" t="s">
        <v>121</v>
      </c>
      <c r="X180" s="64">
        <v>778.67</v>
      </c>
      <c r="Y180" s="64">
        <v>160.80000000000001</v>
      </c>
      <c r="Z180" s="64">
        <f t="shared" si="21"/>
        <v>939.47</v>
      </c>
      <c r="AB180" s="56">
        <v>1</v>
      </c>
      <c r="AC180" s="56" t="s">
        <v>121</v>
      </c>
      <c r="AD180" s="64">
        <v>992.8</v>
      </c>
      <c r="AE180" s="64">
        <v>205.02</v>
      </c>
      <c r="AF180" s="64">
        <f t="shared" si="22"/>
        <v>1197.82</v>
      </c>
      <c r="AH180" s="65">
        <f t="shared" si="20"/>
        <v>-0.29696817082997573</v>
      </c>
      <c r="AI180" s="65">
        <f t="shared" si="20"/>
        <v>-9.1405716515461921E-2</v>
      </c>
      <c r="AJ180" s="65">
        <f t="shared" si="20"/>
        <v>-0.26178390743183444</v>
      </c>
    </row>
    <row r="181" spans="1:36" x14ac:dyDescent="0.3">
      <c r="A181" s="78" t="s">
        <v>386</v>
      </c>
      <c r="B181" s="58" t="s">
        <v>387</v>
      </c>
      <c r="C181" s="59">
        <v>1</v>
      </c>
      <c r="D181" s="60" t="s">
        <v>71</v>
      </c>
      <c r="E181" s="60">
        <v>361.83</v>
      </c>
      <c r="F181" s="60">
        <v>62.27</v>
      </c>
      <c r="G181" s="60">
        <v>424.09999999999997</v>
      </c>
      <c r="H181" s="61">
        <v>361.83</v>
      </c>
      <c r="I181" s="61">
        <v>62.27</v>
      </c>
      <c r="J181" s="62">
        <v>424.09999999999997</v>
      </c>
      <c r="M181" s="75"/>
      <c r="N181" s="79"/>
      <c r="V181" s="56">
        <v>1</v>
      </c>
      <c r="W181" s="56" t="s">
        <v>71</v>
      </c>
      <c r="X181" s="64">
        <v>377</v>
      </c>
      <c r="Y181" s="64">
        <v>54.84</v>
      </c>
      <c r="Z181" s="64">
        <f t="shared" si="21"/>
        <v>431.84000000000003</v>
      </c>
      <c r="AB181" s="56">
        <v>1</v>
      </c>
      <c r="AC181" s="56" t="s">
        <v>71</v>
      </c>
      <c r="AD181" s="64">
        <v>480.68</v>
      </c>
      <c r="AE181" s="64">
        <v>69.92</v>
      </c>
      <c r="AF181" s="64">
        <f t="shared" si="22"/>
        <v>550.6</v>
      </c>
      <c r="AH181" s="65">
        <f t="shared" si="20"/>
        <v>-0.24725389032204381</v>
      </c>
      <c r="AI181" s="65">
        <f t="shared" si="20"/>
        <v>-0.10941075514874143</v>
      </c>
      <c r="AJ181" s="65">
        <f t="shared" si="20"/>
        <v>-0.22974936432982207</v>
      </c>
    </row>
    <row r="182" spans="1:36" x14ac:dyDescent="0.3">
      <c r="A182" s="78" t="s">
        <v>388</v>
      </c>
      <c r="B182" s="58" t="s">
        <v>389</v>
      </c>
      <c r="C182" s="59">
        <v>1</v>
      </c>
      <c r="D182" s="60" t="s">
        <v>71</v>
      </c>
      <c r="E182" s="60">
        <v>361.83</v>
      </c>
      <c r="F182" s="60">
        <v>24.92</v>
      </c>
      <c r="G182" s="60">
        <v>386.75</v>
      </c>
      <c r="H182" s="61">
        <v>361.83</v>
      </c>
      <c r="I182" s="61">
        <v>24.92</v>
      </c>
      <c r="J182" s="62">
        <v>386.75</v>
      </c>
      <c r="M182" s="75"/>
      <c r="N182" s="76"/>
      <c r="V182" s="56">
        <v>1</v>
      </c>
      <c r="W182" s="56" t="s">
        <v>71</v>
      </c>
      <c r="X182" s="64">
        <v>377</v>
      </c>
      <c r="Y182" s="64">
        <v>21.93</v>
      </c>
      <c r="Z182" s="64">
        <f t="shared" si="21"/>
        <v>398.93</v>
      </c>
      <c r="AB182" s="56">
        <v>1</v>
      </c>
      <c r="AC182" s="56" t="s">
        <v>71</v>
      </c>
      <c r="AD182" s="64">
        <v>480.68</v>
      </c>
      <c r="AE182" s="64">
        <v>27.96</v>
      </c>
      <c r="AF182" s="64">
        <f t="shared" si="22"/>
        <v>508.64</v>
      </c>
      <c r="AH182" s="65">
        <f t="shared" si="20"/>
        <v>-0.24725389032204381</v>
      </c>
      <c r="AI182" s="65">
        <f t="shared" si="20"/>
        <v>-0.10872675250357655</v>
      </c>
      <c r="AJ182" s="65">
        <f t="shared" si="20"/>
        <v>-0.23963903743315507</v>
      </c>
    </row>
    <row r="183" spans="1:36" x14ac:dyDescent="0.3">
      <c r="A183" s="78" t="s">
        <v>390</v>
      </c>
      <c r="B183" s="58" t="s">
        <v>391</v>
      </c>
      <c r="C183" s="59">
        <v>1</v>
      </c>
      <c r="D183" s="60" t="s">
        <v>71</v>
      </c>
      <c r="E183" s="60">
        <v>361.83</v>
      </c>
      <c r="F183" s="60">
        <v>12.45</v>
      </c>
      <c r="G183" s="60">
        <v>374.28</v>
      </c>
      <c r="H183" s="61">
        <v>361.83</v>
      </c>
      <c r="I183" s="61">
        <v>12.45</v>
      </c>
      <c r="J183" s="62">
        <v>374.28</v>
      </c>
      <c r="M183" s="75"/>
      <c r="N183" s="76"/>
      <c r="V183" s="56">
        <v>1</v>
      </c>
      <c r="W183" s="56" t="s">
        <v>71</v>
      </c>
      <c r="X183" s="64">
        <v>377</v>
      </c>
      <c r="Y183" s="64">
        <v>10.97</v>
      </c>
      <c r="Z183" s="64">
        <f t="shared" si="21"/>
        <v>387.97</v>
      </c>
      <c r="AB183" s="56">
        <v>1</v>
      </c>
      <c r="AC183" s="56" t="s">
        <v>71</v>
      </c>
      <c r="AD183" s="64">
        <v>480.68</v>
      </c>
      <c r="AE183" s="64">
        <v>13.99</v>
      </c>
      <c r="AF183" s="64">
        <f t="shared" si="22"/>
        <v>494.67</v>
      </c>
      <c r="AH183" s="65">
        <f t="shared" si="20"/>
        <v>-0.24725389032204381</v>
      </c>
      <c r="AI183" s="65">
        <f t="shared" si="20"/>
        <v>-0.11007862759113662</v>
      </c>
      <c r="AJ183" s="65">
        <f t="shared" si="20"/>
        <v>-0.24337437079264967</v>
      </c>
    </row>
    <row r="184" spans="1:36" x14ac:dyDescent="0.3">
      <c r="A184" s="78" t="s">
        <v>392</v>
      </c>
      <c r="B184" s="58" t="s">
        <v>393</v>
      </c>
      <c r="C184" s="59">
        <v>1</v>
      </c>
      <c r="D184" s="60" t="s">
        <v>87</v>
      </c>
      <c r="E184" s="60">
        <v>130.84</v>
      </c>
      <c r="F184" s="60">
        <v>35.5</v>
      </c>
      <c r="G184" s="60">
        <v>166.34</v>
      </c>
      <c r="H184" s="61">
        <v>130.84</v>
      </c>
      <c r="I184" s="61">
        <v>35.5</v>
      </c>
      <c r="J184" s="62">
        <v>166.34</v>
      </c>
      <c r="M184" s="75"/>
      <c r="N184" s="76"/>
      <c r="V184" s="56">
        <v>1</v>
      </c>
      <c r="W184" s="56" t="s">
        <v>87</v>
      </c>
      <c r="X184" s="64">
        <v>141.16999999999999</v>
      </c>
      <c r="Y184" s="64">
        <v>30.81</v>
      </c>
      <c r="Z184" s="64">
        <f t="shared" si="21"/>
        <v>171.98</v>
      </c>
      <c r="AB184" s="56">
        <v>1</v>
      </c>
      <c r="AC184" s="56" t="s">
        <v>87</v>
      </c>
      <c r="AD184" s="64">
        <v>179.99</v>
      </c>
      <c r="AE184" s="64">
        <v>39.28</v>
      </c>
      <c r="AF184" s="64">
        <f t="shared" si="22"/>
        <v>219.27</v>
      </c>
      <c r="AH184" s="65">
        <f t="shared" si="20"/>
        <v>-0.27307072615145289</v>
      </c>
      <c r="AI184" s="65">
        <f t="shared" si="20"/>
        <v>-9.6232179226069303E-2</v>
      </c>
      <c r="AJ184" s="65">
        <f t="shared" si="20"/>
        <v>-0.24139189127559635</v>
      </c>
    </row>
    <row r="185" spans="1:36" x14ac:dyDescent="0.3">
      <c r="A185" s="78" t="s">
        <v>394</v>
      </c>
      <c r="B185" s="58" t="s">
        <v>395</v>
      </c>
      <c r="C185" s="59">
        <v>1</v>
      </c>
      <c r="D185" s="60" t="s">
        <v>87</v>
      </c>
      <c r="E185" s="60">
        <v>181.18</v>
      </c>
      <c r="F185" s="60">
        <v>26.77</v>
      </c>
      <c r="G185" s="60">
        <v>207.95000000000002</v>
      </c>
      <c r="H185" s="61">
        <v>181.18</v>
      </c>
      <c r="I185" s="61">
        <v>26.77</v>
      </c>
      <c r="J185" s="62">
        <v>207.95000000000002</v>
      </c>
      <c r="M185" s="75"/>
      <c r="N185" s="76"/>
      <c r="V185" s="56">
        <v>1</v>
      </c>
      <c r="W185" s="56" t="s">
        <v>87</v>
      </c>
      <c r="X185" s="64">
        <v>197.8</v>
      </c>
      <c r="Y185" s="64">
        <v>24.03</v>
      </c>
      <c r="Z185" s="64">
        <f t="shared" si="21"/>
        <v>221.83</v>
      </c>
      <c r="AB185" s="56">
        <v>1</v>
      </c>
      <c r="AC185" s="56" t="s">
        <v>87</v>
      </c>
      <c r="AD185" s="64">
        <v>252.2</v>
      </c>
      <c r="AE185" s="64">
        <v>30.64</v>
      </c>
      <c r="AF185" s="64">
        <f t="shared" si="22"/>
        <v>282.83999999999997</v>
      </c>
      <c r="AH185" s="65">
        <f t="shared" si="20"/>
        <v>-0.28160190325138768</v>
      </c>
      <c r="AI185" s="65">
        <f t="shared" si="20"/>
        <v>-0.12630548302872069</v>
      </c>
      <c r="AJ185" s="65">
        <f t="shared" si="20"/>
        <v>-0.26477867345495676</v>
      </c>
    </row>
    <row r="186" spans="1:36" x14ac:dyDescent="0.3">
      <c r="A186" s="78" t="s">
        <v>396</v>
      </c>
      <c r="B186" s="58" t="s">
        <v>397</v>
      </c>
      <c r="C186" s="59">
        <v>1</v>
      </c>
      <c r="D186" s="60" t="s">
        <v>87</v>
      </c>
      <c r="E186" s="60">
        <v>351.56</v>
      </c>
      <c r="F186" s="60">
        <v>53.32</v>
      </c>
      <c r="G186" s="60">
        <v>404.88</v>
      </c>
      <c r="H186" s="61">
        <v>351.56</v>
      </c>
      <c r="I186" s="61">
        <v>53.32</v>
      </c>
      <c r="J186" s="62">
        <v>404.88</v>
      </c>
      <c r="M186" s="75"/>
      <c r="N186" s="76"/>
      <c r="V186" s="56">
        <v>1</v>
      </c>
      <c r="W186" s="56" t="s">
        <v>87</v>
      </c>
      <c r="X186" s="64">
        <v>392.28</v>
      </c>
      <c r="Y186" s="64">
        <v>46.58</v>
      </c>
      <c r="Z186" s="64">
        <f t="shared" si="21"/>
        <v>438.85999999999996</v>
      </c>
      <c r="AB186" s="56">
        <v>1</v>
      </c>
      <c r="AC186" s="56" t="s">
        <v>87</v>
      </c>
      <c r="AD186" s="64">
        <v>500.16</v>
      </c>
      <c r="AE186" s="64">
        <v>59.39</v>
      </c>
      <c r="AF186" s="64">
        <f t="shared" si="22"/>
        <v>559.55000000000007</v>
      </c>
      <c r="AH186" s="65">
        <f t="shared" si="20"/>
        <v>-0.29710492642354447</v>
      </c>
      <c r="AI186" s="65">
        <f t="shared" si="20"/>
        <v>-0.10220575854520964</v>
      </c>
      <c r="AJ186" s="65">
        <f t="shared" si="20"/>
        <v>-0.27641855062103482</v>
      </c>
    </row>
    <row r="187" spans="1:36" x14ac:dyDescent="0.3">
      <c r="A187" s="78" t="s">
        <v>398</v>
      </c>
      <c r="B187" s="58" t="s">
        <v>399</v>
      </c>
      <c r="C187" s="59">
        <v>1</v>
      </c>
      <c r="D187" s="60" t="s">
        <v>121</v>
      </c>
      <c r="E187" s="60">
        <v>521.6</v>
      </c>
      <c r="F187" s="60">
        <v>88.49</v>
      </c>
      <c r="G187" s="60">
        <v>610.09</v>
      </c>
      <c r="H187" s="61">
        <v>521.6</v>
      </c>
      <c r="I187" s="61">
        <v>88.49</v>
      </c>
      <c r="J187" s="62">
        <v>610.09</v>
      </c>
      <c r="M187" s="75"/>
      <c r="N187" s="76"/>
      <c r="V187" s="56">
        <v>1</v>
      </c>
      <c r="W187" s="56" t="s">
        <v>121</v>
      </c>
      <c r="X187" s="64">
        <v>577.36</v>
      </c>
      <c r="Y187" s="64">
        <v>75.16</v>
      </c>
      <c r="Z187" s="64">
        <f t="shared" si="21"/>
        <v>652.52</v>
      </c>
      <c r="AB187" s="56">
        <v>1</v>
      </c>
      <c r="AC187" s="56" t="s">
        <v>121</v>
      </c>
      <c r="AD187" s="64">
        <v>736.13</v>
      </c>
      <c r="AE187" s="64">
        <v>95.83</v>
      </c>
      <c r="AF187" s="64">
        <f t="shared" si="22"/>
        <v>831.96</v>
      </c>
      <c r="AH187" s="65">
        <f t="shared" si="20"/>
        <v>-0.29142950294105652</v>
      </c>
      <c r="AI187" s="65">
        <f t="shared" si="20"/>
        <v>-7.659396848586042E-2</v>
      </c>
      <c r="AJ187" s="65">
        <f t="shared" si="20"/>
        <v>-0.26668349439876915</v>
      </c>
    </row>
    <row r="188" spans="1:36" x14ac:dyDescent="0.3">
      <c r="A188" s="78" t="s">
        <v>400</v>
      </c>
      <c r="B188" s="58" t="s">
        <v>401</v>
      </c>
      <c r="C188" s="59">
        <v>1</v>
      </c>
      <c r="D188" s="60" t="s">
        <v>121</v>
      </c>
      <c r="E188" s="60">
        <v>348.48</v>
      </c>
      <c r="F188" s="60">
        <v>88.49</v>
      </c>
      <c r="G188" s="60">
        <v>436.97</v>
      </c>
      <c r="H188" s="61">
        <v>348.48</v>
      </c>
      <c r="I188" s="61">
        <v>88.49</v>
      </c>
      <c r="J188" s="62">
        <v>436.97</v>
      </c>
      <c r="M188" s="75"/>
      <c r="N188" s="76"/>
      <c r="V188" s="56">
        <v>1</v>
      </c>
      <c r="W188" s="56" t="s">
        <v>121</v>
      </c>
      <c r="X188" s="64">
        <v>379.76</v>
      </c>
      <c r="Y188" s="64">
        <v>75.16</v>
      </c>
      <c r="Z188" s="64">
        <f t="shared" si="21"/>
        <v>454.91999999999996</v>
      </c>
      <c r="AB188" s="56">
        <v>1</v>
      </c>
      <c r="AC188" s="56" t="s">
        <v>121</v>
      </c>
      <c r="AD188" s="64">
        <v>484.19</v>
      </c>
      <c r="AE188" s="64">
        <v>95.83</v>
      </c>
      <c r="AF188" s="64">
        <f t="shared" si="22"/>
        <v>580.02</v>
      </c>
      <c r="AH188" s="65">
        <f t="shared" si="20"/>
        <v>-0.28028253371610312</v>
      </c>
      <c r="AI188" s="65">
        <f t="shared" si="20"/>
        <v>-7.659396848586042E-2</v>
      </c>
      <c r="AJ188" s="65">
        <f t="shared" si="20"/>
        <v>-0.24662942657149745</v>
      </c>
    </row>
    <row r="189" spans="1:36" x14ac:dyDescent="0.3">
      <c r="A189" s="78" t="s">
        <v>402</v>
      </c>
      <c r="B189" s="58" t="s">
        <v>403</v>
      </c>
      <c r="C189" s="59">
        <v>1</v>
      </c>
      <c r="D189" s="60" t="s">
        <v>121</v>
      </c>
      <c r="E189" s="60">
        <v>737.55</v>
      </c>
      <c r="F189" s="60">
        <v>88.49</v>
      </c>
      <c r="G189" s="60">
        <v>826.04</v>
      </c>
      <c r="H189" s="61">
        <v>737.55</v>
      </c>
      <c r="I189" s="61">
        <v>88.49</v>
      </c>
      <c r="J189" s="62">
        <v>826.04</v>
      </c>
      <c r="M189" s="75"/>
      <c r="N189" s="79"/>
      <c r="V189" s="56">
        <v>1</v>
      </c>
      <c r="W189" s="56" t="s">
        <v>121</v>
      </c>
      <c r="X189" s="64">
        <v>823.85</v>
      </c>
      <c r="Y189" s="64">
        <v>75.16</v>
      </c>
      <c r="Z189" s="64">
        <f t="shared" si="21"/>
        <v>899.01</v>
      </c>
      <c r="AB189" s="56">
        <v>1</v>
      </c>
      <c r="AC189" s="56" t="s">
        <v>121</v>
      </c>
      <c r="AD189" s="64">
        <v>1050.4100000000001</v>
      </c>
      <c r="AE189" s="64">
        <v>95.83</v>
      </c>
      <c r="AF189" s="64">
        <f t="shared" si="22"/>
        <v>1146.24</v>
      </c>
      <c r="AH189" s="65">
        <f t="shared" si="20"/>
        <v>-0.29784560314543851</v>
      </c>
      <c r="AI189" s="65">
        <f t="shared" si="20"/>
        <v>-7.659396848586042E-2</v>
      </c>
      <c r="AJ189" s="65">
        <f t="shared" si="20"/>
        <v>-0.27934812953657173</v>
      </c>
    </row>
    <row r="190" spans="1:36" x14ac:dyDescent="0.3">
      <c r="A190" s="78" t="s">
        <v>404</v>
      </c>
      <c r="B190" s="58" t="s">
        <v>405</v>
      </c>
      <c r="C190" s="59">
        <v>1</v>
      </c>
      <c r="D190" s="60" t="s">
        <v>121</v>
      </c>
      <c r="E190" s="60">
        <v>267.22000000000003</v>
      </c>
      <c r="F190" s="60">
        <v>80.31</v>
      </c>
      <c r="G190" s="60">
        <v>347.53000000000003</v>
      </c>
      <c r="H190" s="61">
        <v>267.22000000000003</v>
      </c>
      <c r="I190" s="61">
        <v>80.31</v>
      </c>
      <c r="J190" s="62">
        <v>347.53000000000003</v>
      </c>
      <c r="M190" s="75"/>
      <c r="N190" s="76"/>
      <c r="V190" s="56">
        <v>1</v>
      </c>
      <c r="W190" s="56" t="s">
        <v>121</v>
      </c>
      <c r="X190" s="64">
        <v>205.11</v>
      </c>
      <c r="Y190" s="64">
        <v>72.09</v>
      </c>
      <c r="Z190" s="64">
        <f t="shared" si="21"/>
        <v>277.20000000000005</v>
      </c>
      <c r="AB190" s="56">
        <v>1</v>
      </c>
      <c r="AC190" s="56" t="s">
        <v>121</v>
      </c>
      <c r="AD190" s="64">
        <v>261.52</v>
      </c>
      <c r="AE190" s="64">
        <v>91.91</v>
      </c>
      <c r="AF190" s="64">
        <f t="shared" si="22"/>
        <v>353.42999999999995</v>
      </c>
      <c r="AH190" s="65">
        <f t="shared" si="20"/>
        <v>2.1795656163964727E-2</v>
      </c>
      <c r="AI190" s="65">
        <f t="shared" si="20"/>
        <v>-0.1262104232401261</v>
      </c>
      <c r="AJ190" s="65">
        <f t="shared" si="20"/>
        <v>-1.6693546105310597E-2</v>
      </c>
    </row>
    <row r="191" spans="1:36" x14ac:dyDescent="0.3">
      <c r="A191" s="78" t="s">
        <v>406</v>
      </c>
      <c r="B191" s="58" t="s">
        <v>407</v>
      </c>
      <c r="C191" s="59">
        <v>1</v>
      </c>
      <c r="D191" s="60" t="s">
        <v>121</v>
      </c>
      <c r="E191" s="60">
        <v>92.06</v>
      </c>
      <c r="F191" s="60">
        <v>53.54</v>
      </c>
      <c r="G191" s="60">
        <v>145.6</v>
      </c>
      <c r="H191" s="61">
        <v>92.06</v>
      </c>
      <c r="I191" s="61">
        <v>53.54</v>
      </c>
      <c r="J191" s="62">
        <v>145.6</v>
      </c>
      <c r="M191" s="75"/>
      <c r="N191" s="76"/>
      <c r="V191" s="56">
        <v>1</v>
      </c>
      <c r="W191" s="56" t="s">
        <v>121</v>
      </c>
      <c r="X191" s="64">
        <v>85.55</v>
      </c>
      <c r="Y191" s="64">
        <v>48.06</v>
      </c>
      <c r="Z191" s="64">
        <f t="shared" si="21"/>
        <v>133.61000000000001</v>
      </c>
      <c r="AB191" s="56">
        <v>1</v>
      </c>
      <c r="AC191" s="56" t="s">
        <v>121</v>
      </c>
      <c r="AD191" s="64">
        <v>109.08</v>
      </c>
      <c r="AE191" s="64">
        <v>61.28</v>
      </c>
      <c r="AF191" s="64">
        <f t="shared" si="22"/>
        <v>170.36</v>
      </c>
      <c r="AH191" s="65">
        <f t="shared" si="20"/>
        <v>-0.15603226989365604</v>
      </c>
      <c r="AI191" s="65">
        <f t="shared" si="20"/>
        <v>-0.12630548302872069</v>
      </c>
      <c r="AJ191" s="65">
        <f t="shared" si="20"/>
        <v>-0.14533928152148401</v>
      </c>
    </row>
    <row r="192" spans="1:36" x14ac:dyDescent="0.3">
      <c r="A192" s="78" t="s">
        <v>408</v>
      </c>
      <c r="B192" s="58" t="s">
        <v>409</v>
      </c>
      <c r="C192" s="59">
        <v>1</v>
      </c>
      <c r="D192" s="60" t="s">
        <v>71</v>
      </c>
      <c r="E192" s="60">
        <v>213.74</v>
      </c>
      <c r="F192" s="60">
        <v>107.08</v>
      </c>
      <c r="G192" s="60">
        <v>320.82</v>
      </c>
      <c r="H192" s="61">
        <v>213.74</v>
      </c>
      <c r="I192" s="61">
        <v>107.08</v>
      </c>
      <c r="J192" s="62">
        <v>320.82</v>
      </c>
      <c r="M192" s="75"/>
      <c r="N192" s="76"/>
      <c r="V192" s="56">
        <v>1</v>
      </c>
      <c r="W192" s="56" t="s">
        <v>71</v>
      </c>
      <c r="X192" s="64">
        <v>247.26</v>
      </c>
      <c r="Y192" s="64">
        <v>96.12</v>
      </c>
      <c r="Z192" s="64">
        <f t="shared" si="21"/>
        <v>343.38</v>
      </c>
      <c r="AB192" s="56">
        <v>1</v>
      </c>
      <c r="AC192" s="56" t="s">
        <v>71</v>
      </c>
      <c r="AD192" s="64">
        <v>315.26</v>
      </c>
      <c r="AE192" s="64">
        <v>122.55</v>
      </c>
      <c r="AF192" s="64">
        <f t="shared" si="22"/>
        <v>437.81</v>
      </c>
      <c r="AH192" s="65">
        <f t="shared" si="20"/>
        <v>-0.32201992006597724</v>
      </c>
      <c r="AI192" s="65">
        <f t="shared" si="20"/>
        <v>-0.12623419012647896</v>
      </c>
      <c r="AJ192" s="65">
        <f t="shared" si="20"/>
        <v>-0.26721637239898588</v>
      </c>
    </row>
    <row r="193" spans="1:36" x14ac:dyDescent="0.3">
      <c r="A193" s="78" t="s">
        <v>410</v>
      </c>
      <c r="B193" s="58" t="s">
        <v>411</v>
      </c>
      <c r="C193" s="59">
        <v>1</v>
      </c>
      <c r="D193" s="60" t="s">
        <v>121</v>
      </c>
      <c r="E193" s="60">
        <v>852.89</v>
      </c>
      <c r="F193" s="60">
        <v>61.27</v>
      </c>
      <c r="G193" s="60">
        <v>914.16</v>
      </c>
      <c r="H193" s="61">
        <v>852.89</v>
      </c>
      <c r="I193" s="61">
        <v>61.27</v>
      </c>
      <c r="J193" s="62">
        <v>914.16</v>
      </c>
      <c r="M193" s="75"/>
      <c r="N193" s="76"/>
      <c r="V193" s="56">
        <v>1</v>
      </c>
      <c r="W193" s="56" t="s">
        <v>121</v>
      </c>
      <c r="X193" s="64">
        <v>955.5</v>
      </c>
      <c r="Y193" s="64">
        <v>49.08</v>
      </c>
      <c r="Z193" s="64">
        <f t="shared" si="21"/>
        <v>1004.58</v>
      </c>
      <c r="AB193" s="56">
        <v>1</v>
      </c>
      <c r="AC193" s="56" t="s">
        <v>121</v>
      </c>
      <c r="AD193" s="64">
        <v>1218.26</v>
      </c>
      <c r="AE193" s="64">
        <v>62.58</v>
      </c>
      <c r="AF193" s="64">
        <f t="shared" si="22"/>
        <v>1280.8399999999999</v>
      </c>
      <c r="AH193" s="65">
        <f t="shared" si="20"/>
        <v>-0.29991134897312566</v>
      </c>
      <c r="AI193" s="65">
        <f t="shared" si="20"/>
        <v>-2.0933205496963758E-2</v>
      </c>
      <c r="AJ193" s="65">
        <f t="shared" si="20"/>
        <v>-0.28628087817369852</v>
      </c>
    </row>
    <row r="194" spans="1:36" x14ac:dyDescent="0.3">
      <c r="A194" s="78" t="s">
        <v>412</v>
      </c>
      <c r="B194" s="58" t="s">
        <v>413</v>
      </c>
      <c r="C194" s="59">
        <v>1</v>
      </c>
      <c r="D194" s="60" t="s">
        <v>87</v>
      </c>
      <c r="E194" s="60">
        <v>97.91</v>
      </c>
      <c r="F194" s="60">
        <v>88.78</v>
      </c>
      <c r="G194" s="60">
        <v>186.69</v>
      </c>
      <c r="H194" s="61">
        <v>97.91</v>
      </c>
      <c r="I194" s="61">
        <v>88.78</v>
      </c>
      <c r="J194" s="62">
        <v>186.69</v>
      </c>
      <c r="M194" s="75"/>
      <c r="N194" s="76"/>
      <c r="V194" s="56">
        <v>1</v>
      </c>
      <c r="W194" s="56" t="s">
        <v>87</v>
      </c>
      <c r="X194" s="64">
        <v>113.08</v>
      </c>
      <c r="Y194" s="64">
        <v>80.12</v>
      </c>
      <c r="Z194" s="64">
        <f t="shared" si="21"/>
        <v>193.2</v>
      </c>
      <c r="AB194" s="56">
        <v>1</v>
      </c>
      <c r="AC194" s="56" t="s">
        <v>87</v>
      </c>
      <c r="AD194" s="64">
        <v>144.18</v>
      </c>
      <c r="AE194" s="64">
        <v>102.15</v>
      </c>
      <c r="AF194" s="64">
        <f t="shared" si="22"/>
        <v>246.33</v>
      </c>
      <c r="AH194" s="65">
        <f t="shared" si="20"/>
        <v>-0.32091829657372739</v>
      </c>
      <c r="AI194" s="65">
        <f t="shared" si="20"/>
        <v>-0.13088595203132647</v>
      </c>
      <c r="AJ194" s="65">
        <f t="shared" si="20"/>
        <v>-0.24211423699914758</v>
      </c>
    </row>
    <row r="195" spans="1:36" x14ac:dyDescent="0.3">
      <c r="A195" s="69">
        <v>15</v>
      </c>
      <c r="B195" s="70" t="s">
        <v>414</v>
      </c>
      <c r="C195" s="71"/>
      <c r="D195" s="72"/>
      <c r="E195" s="72"/>
      <c r="F195" s="72"/>
      <c r="G195" s="72"/>
      <c r="H195" s="52">
        <v>328179.90000000008</v>
      </c>
      <c r="I195" s="52">
        <v>118542.94000000002</v>
      </c>
      <c r="J195" s="52">
        <v>446722.84</v>
      </c>
      <c r="M195" s="75"/>
      <c r="N195" s="76"/>
      <c r="V195" s="54"/>
      <c r="W195" s="54"/>
      <c r="X195" s="55"/>
      <c r="Y195" s="55"/>
      <c r="Z195" s="55"/>
      <c r="AB195" s="54"/>
      <c r="AC195" s="54"/>
      <c r="AD195" s="55"/>
      <c r="AE195" s="55"/>
      <c r="AF195" s="55"/>
      <c r="AH195" s="65">
        <f t="shared" si="20"/>
        <v>0</v>
      </c>
      <c r="AI195" s="65">
        <f t="shared" si="20"/>
        <v>0</v>
      </c>
      <c r="AJ195" s="65">
        <f t="shared" si="20"/>
        <v>0</v>
      </c>
    </row>
    <row r="196" spans="1:36" ht="28.8" x14ac:dyDescent="0.3">
      <c r="A196" s="78" t="s">
        <v>415</v>
      </c>
      <c r="B196" s="58" t="s">
        <v>416</v>
      </c>
      <c r="C196" s="59">
        <v>208</v>
      </c>
      <c r="D196" s="60" t="s">
        <v>417</v>
      </c>
      <c r="E196" s="60">
        <v>157.51</v>
      </c>
      <c r="F196" s="60">
        <v>356.4</v>
      </c>
      <c r="G196" s="60">
        <v>513.91</v>
      </c>
      <c r="H196" s="61">
        <v>32762.079999999998</v>
      </c>
      <c r="I196" s="61">
        <v>74131.199999999997</v>
      </c>
      <c r="J196" s="62">
        <v>106893.28</v>
      </c>
      <c r="M196" s="75"/>
      <c r="N196" s="76"/>
      <c r="V196" s="56">
        <v>17</v>
      </c>
      <c r="W196" s="56" t="s">
        <v>417</v>
      </c>
      <c r="X196" s="64">
        <v>146.36000000000001</v>
      </c>
      <c r="Y196" s="64">
        <v>345.96</v>
      </c>
      <c r="Z196" s="64">
        <f t="shared" ref="Z196:Z213" si="23">SUM(X196:Y196)</f>
        <v>492.32</v>
      </c>
      <c r="AB196" s="56">
        <v>17</v>
      </c>
      <c r="AC196" s="56" t="s">
        <v>417</v>
      </c>
      <c r="AD196" s="64">
        <v>186.61</v>
      </c>
      <c r="AE196" s="64">
        <v>441.1</v>
      </c>
      <c r="AF196" s="64">
        <f t="shared" ref="AF196:AF213" si="24">SUM(AD196:AE196)</f>
        <v>627.71</v>
      </c>
      <c r="AH196" s="65">
        <f t="shared" si="20"/>
        <v>-0.15594019613096843</v>
      </c>
      <c r="AI196" s="65">
        <f t="shared" si="20"/>
        <v>-0.19201995012468842</v>
      </c>
      <c r="AJ196" s="65">
        <f t="shared" si="20"/>
        <v>-0.18129390960794012</v>
      </c>
    </row>
    <row r="197" spans="1:36" x14ac:dyDescent="0.3">
      <c r="A197" s="78" t="s">
        <v>418</v>
      </c>
      <c r="B197" s="58" t="s">
        <v>419</v>
      </c>
      <c r="C197" s="59">
        <v>156</v>
      </c>
      <c r="D197" s="60" t="s">
        <v>417</v>
      </c>
      <c r="E197" s="60">
        <v>40.21</v>
      </c>
      <c r="F197" s="60">
        <v>39.69</v>
      </c>
      <c r="G197" s="60">
        <v>79.900000000000006</v>
      </c>
      <c r="H197" s="61">
        <v>6272.76</v>
      </c>
      <c r="I197" s="61">
        <v>6191.6399999999994</v>
      </c>
      <c r="J197" s="62">
        <v>12464.400000000001</v>
      </c>
      <c r="M197" s="75"/>
      <c r="N197" s="76"/>
      <c r="V197" s="56">
        <v>357</v>
      </c>
      <c r="W197" s="56" t="s">
        <v>417</v>
      </c>
      <c r="X197" s="64">
        <v>30.87</v>
      </c>
      <c r="Y197" s="64">
        <v>38.369999999999997</v>
      </c>
      <c r="Z197" s="64">
        <f t="shared" si="23"/>
        <v>69.239999999999995</v>
      </c>
      <c r="AB197" s="56">
        <v>357</v>
      </c>
      <c r="AC197" s="56" t="s">
        <v>417</v>
      </c>
      <c r="AD197" s="64">
        <v>39.36</v>
      </c>
      <c r="AE197" s="64">
        <v>48.92</v>
      </c>
      <c r="AF197" s="64">
        <f t="shared" si="24"/>
        <v>88.28</v>
      </c>
      <c r="AH197" s="65">
        <f t="shared" si="20"/>
        <v>2.1595528455284674E-2</v>
      </c>
      <c r="AI197" s="65">
        <f t="shared" si="20"/>
        <v>-0.18867538838920694</v>
      </c>
      <c r="AJ197" s="65">
        <f t="shared" si="20"/>
        <v>-9.4925237879474378E-2</v>
      </c>
    </row>
    <row r="198" spans="1:36" x14ac:dyDescent="0.3">
      <c r="A198" s="78" t="s">
        <v>420</v>
      </c>
      <c r="B198" s="58" t="s">
        <v>421</v>
      </c>
      <c r="C198" s="59">
        <v>194</v>
      </c>
      <c r="D198" s="60" t="s">
        <v>417</v>
      </c>
      <c r="E198" s="60">
        <v>135.19999999999999</v>
      </c>
      <c r="F198" s="60">
        <v>39.75</v>
      </c>
      <c r="G198" s="60">
        <v>174.95</v>
      </c>
      <c r="H198" s="61">
        <v>26228.799999999999</v>
      </c>
      <c r="I198" s="61">
        <v>7711.5</v>
      </c>
      <c r="J198" s="62">
        <v>33940.299999999996</v>
      </c>
      <c r="M198" s="75"/>
      <c r="N198" s="76"/>
      <c r="V198" s="56">
        <v>196</v>
      </c>
      <c r="W198" s="56" t="s">
        <v>417</v>
      </c>
      <c r="X198" s="64">
        <v>125.63</v>
      </c>
      <c r="Y198" s="64">
        <v>40.090000000000003</v>
      </c>
      <c r="Z198" s="64">
        <f t="shared" si="23"/>
        <v>165.72</v>
      </c>
      <c r="AB198" s="56">
        <v>196</v>
      </c>
      <c r="AC198" s="56" t="s">
        <v>417</v>
      </c>
      <c r="AD198" s="64">
        <v>160.18</v>
      </c>
      <c r="AE198" s="64">
        <v>51.11</v>
      </c>
      <c r="AF198" s="64">
        <f t="shared" si="24"/>
        <v>211.29000000000002</v>
      </c>
      <c r="AH198" s="65">
        <f t="shared" si="20"/>
        <v>-0.15594955674865785</v>
      </c>
      <c r="AI198" s="65">
        <f t="shared" si="20"/>
        <v>-0.22226570142829194</v>
      </c>
      <c r="AJ198" s="65">
        <f t="shared" si="20"/>
        <v>-0.17199110227649217</v>
      </c>
    </row>
    <row r="199" spans="1:36" x14ac:dyDescent="0.3">
      <c r="A199" s="78" t="s">
        <v>422</v>
      </c>
      <c r="B199" s="58" t="s">
        <v>423</v>
      </c>
      <c r="C199" s="59">
        <v>61</v>
      </c>
      <c r="D199" s="60" t="s">
        <v>121</v>
      </c>
      <c r="E199" s="60">
        <v>27.94</v>
      </c>
      <c r="F199" s="60">
        <v>24.77</v>
      </c>
      <c r="G199" s="60">
        <v>52.71</v>
      </c>
      <c r="H199" s="61">
        <v>1704.3400000000001</v>
      </c>
      <c r="I199" s="61">
        <v>1510.97</v>
      </c>
      <c r="J199" s="62">
        <v>3215.31</v>
      </c>
      <c r="M199" s="75"/>
      <c r="N199" s="76"/>
      <c r="V199" s="56">
        <v>6</v>
      </c>
      <c r="W199" s="56" t="s">
        <v>121</v>
      </c>
      <c r="X199" s="64">
        <v>31.89</v>
      </c>
      <c r="Y199" s="64">
        <v>21.52</v>
      </c>
      <c r="Z199" s="64">
        <f t="shared" si="23"/>
        <v>53.41</v>
      </c>
      <c r="AB199" s="56">
        <v>6</v>
      </c>
      <c r="AC199" s="56" t="s">
        <v>121</v>
      </c>
      <c r="AD199" s="64">
        <v>40.659999999999997</v>
      </c>
      <c r="AE199" s="64">
        <v>27.44</v>
      </c>
      <c r="AF199" s="64">
        <f t="shared" si="24"/>
        <v>68.099999999999994</v>
      </c>
      <c r="AH199" s="65">
        <f t="shared" si="20"/>
        <v>-0.31283817019183469</v>
      </c>
      <c r="AI199" s="65">
        <f t="shared" si="20"/>
        <v>-9.7303206997084613E-2</v>
      </c>
      <c r="AJ199" s="65">
        <f t="shared" si="20"/>
        <v>-0.22599118942731267</v>
      </c>
    </row>
    <row r="200" spans="1:36" x14ac:dyDescent="0.3">
      <c r="A200" s="78" t="s">
        <v>424</v>
      </c>
      <c r="B200" s="58" t="s">
        <v>425</v>
      </c>
      <c r="C200" s="59">
        <v>87</v>
      </c>
      <c r="D200" s="60" t="s">
        <v>121</v>
      </c>
      <c r="E200" s="60">
        <v>140.94999999999999</v>
      </c>
      <c r="F200" s="60">
        <v>25.05</v>
      </c>
      <c r="G200" s="60">
        <v>166</v>
      </c>
      <c r="H200" s="61">
        <v>12262.65</v>
      </c>
      <c r="I200" s="61">
        <v>2179.35</v>
      </c>
      <c r="J200" s="62">
        <v>14442</v>
      </c>
      <c r="M200" s="75"/>
      <c r="N200" s="76"/>
      <c r="V200" s="56">
        <v>65</v>
      </c>
      <c r="W200" s="56" t="s">
        <v>121</v>
      </c>
      <c r="X200" s="64">
        <v>195.2</v>
      </c>
      <c r="Y200" s="64">
        <v>22.05</v>
      </c>
      <c r="Z200" s="64">
        <f t="shared" si="23"/>
        <v>217.25</v>
      </c>
      <c r="AB200" s="56">
        <v>65</v>
      </c>
      <c r="AC200" s="56" t="s">
        <v>121</v>
      </c>
      <c r="AD200" s="64">
        <v>248.88</v>
      </c>
      <c r="AE200" s="64">
        <v>28.11</v>
      </c>
      <c r="AF200" s="64">
        <f t="shared" si="24"/>
        <v>276.99</v>
      </c>
      <c r="AH200" s="65">
        <f t="shared" si="20"/>
        <v>-0.43366280938604951</v>
      </c>
      <c r="AI200" s="65">
        <f t="shared" si="20"/>
        <v>-0.1088580576307363</v>
      </c>
      <c r="AJ200" s="65">
        <f t="shared" si="20"/>
        <v>-0.40070038629553417</v>
      </c>
    </row>
    <row r="201" spans="1:36" ht="28.8" x14ac:dyDescent="0.3">
      <c r="A201" s="78" t="s">
        <v>426</v>
      </c>
      <c r="B201" s="58" t="s">
        <v>427</v>
      </c>
      <c r="C201" s="59">
        <v>227</v>
      </c>
      <c r="D201" s="60" t="s">
        <v>121</v>
      </c>
      <c r="E201" s="60">
        <v>848.81</v>
      </c>
      <c r="F201" s="60">
        <v>25.05</v>
      </c>
      <c r="G201" s="60">
        <v>873.8599999999999</v>
      </c>
      <c r="H201" s="61">
        <v>192679.87</v>
      </c>
      <c r="I201" s="61">
        <v>5686.35</v>
      </c>
      <c r="J201" s="62">
        <v>198366.21999999997</v>
      </c>
      <c r="M201" s="75"/>
      <c r="N201" s="76"/>
      <c r="V201" s="56">
        <v>244</v>
      </c>
      <c r="W201" s="56" t="s">
        <v>121</v>
      </c>
      <c r="X201" s="64">
        <v>788.74</v>
      </c>
      <c r="Y201" s="64">
        <v>22.05</v>
      </c>
      <c r="Z201" s="64">
        <f t="shared" si="23"/>
        <v>810.79</v>
      </c>
      <c r="AB201" s="56">
        <v>244</v>
      </c>
      <c r="AC201" s="56" t="s">
        <v>121</v>
      </c>
      <c r="AD201" s="64">
        <v>1005.64</v>
      </c>
      <c r="AE201" s="64">
        <v>28.11</v>
      </c>
      <c r="AF201" s="64">
        <f t="shared" si="24"/>
        <v>1033.75</v>
      </c>
      <c r="AH201" s="65">
        <f t="shared" si="20"/>
        <v>-0.15595043952110099</v>
      </c>
      <c r="AI201" s="65">
        <f t="shared" si="20"/>
        <v>-0.1088580576307363</v>
      </c>
      <c r="AJ201" s="65">
        <f t="shared" si="20"/>
        <v>-0.1546698911729143</v>
      </c>
    </row>
    <row r="202" spans="1:36" x14ac:dyDescent="0.3">
      <c r="A202" s="78" t="s">
        <v>428</v>
      </c>
      <c r="B202" s="58" t="s">
        <v>429</v>
      </c>
      <c r="C202" s="59">
        <v>397</v>
      </c>
      <c r="D202" s="60" t="s">
        <v>121</v>
      </c>
      <c r="E202" s="60">
        <v>1.94</v>
      </c>
      <c r="F202" s="60">
        <v>25.05</v>
      </c>
      <c r="G202" s="60">
        <v>26.990000000000002</v>
      </c>
      <c r="H202" s="61">
        <v>770.18</v>
      </c>
      <c r="I202" s="61">
        <v>9944.85</v>
      </c>
      <c r="J202" s="62">
        <v>10715.03</v>
      </c>
      <c r="M202" s="75"/>
      <c r="N202" s="76"/>
      <c r="V202" s="56">
        <v>138</v>
      </c>
      <c r="W202" s="56" t="s">
        <v>121</v>
      </c>
      <c r="X202" s="64">
        <v>2.16</v>
      </c>
      <c r="Y202" s="64">
        <v>22.05</v>
      </c>
      <c r="Z202" s="64">
        <f t="shared" si="23"/>
        <v>24.21</v>
      </c>
      <c r="AB202" s="56">
        <v>138</v>
      </c>
      <c r="AC202" s="56" t="s">
        <v>121</v>
      </c>
      <c r="AD202" s="64">
        <v>2.75</v>
      </c>
      <c r="AE202" s="64">
        <v>28.11</v>
      </c>
      <c r="AF202" s="64">
        <f t="shared" si="24"/>
        <v>30.86</v>
      </c>
      <c r="AH202" s="65">
        <f t="shared" si="20"/>
        <v>-0.29454545454545455</v>
      </c>
      <c r="AI202" s="65">
        <f t="shared" si="20"/>
        <v>-0.1088580576307363</v>
      </c>
      <c r="AJ202" s="65">
        <f t="shared" si="20"/>
        <v>-0.12540505508749178</v>
      </c>
    </row>
    <row r="203" spans="1:36" x14ac:dyDescent="0.3">
      <c r="A203" s="78" t="s">
        <v>430</v>
      </c>
      <c r="B203" s="58" t="s">
        <v>431</v>
      </c>
      <c r="C203" s="59">
        <v>81</v>
      </c>
      <c r="D203" s="60" t="s">
        <v>121</v>
      </c>
      <c r="E203" s="60">
        <v>111.67</v>
      </c>
      <c r="F203" s="60">
        <v>9.56</v>
      </c>
      <c r="G203" s="60">
        <v>121.23</v>
      </c>
      <c r="H203" s="61">
        <v>9045.27</v>
      </c>
      <c r="I203" s="61">
        <v>774.36</v>
      </c>
      <c r="J203" s="62">
        <v>9819.630000000001</v>
      </c>
      <c r="M203" s="75"/>
      <c r="N203" s="76"/>
      <c r="V203" s="56">
        <v>79</v>
      </c>
      <c r="W203" s="56" t="s">
        <v>121</v>
      </c>
      <c r="X203" s="64">
        <v>154.65</v>
      </c>
      <c r="Y203" s="64">
        <v>8.23</v>
      </c>
      <c r="Z203" s="64">
        <f t="shared" si="23"/>
        <v>162.88</v>
      </c>
      <c r="AB203" s="56">
        <v>79</v>
      </c>
      <c r="AC203" s="56" t="s">
        <v>121</v>
      </c>
      <c r="AD203" s="64">
        <v>197.18</v>
      </c>
      <c r="AE203" s="64">
        <v>10.49</v>
      </c>
      <c r="AF203" s="64">
        <f t="shared" si="24"/>
        <v>207.67000000000002</v>
      </c>
      <c r="AH203" s="65">
        <f t="shared" si="20"/>
        <v>-0.43366467187341518</v>
      </c>
      <c r="AI203" s="65">
        <f t="shared" si="20"/>
        <v>-8.8655862726406021E-2</v>
      </c>
      <c r="AJ203" s="65">
        <f t="shared" si="20"/>
        <v>-0.41623729956180477</v>
      </c>
    </row>
    <row r="204" spans="1:36" x14ac:dyDescent="0.3">
      <c r="A204" s="78" t="s">
        <v>432</v>
      </c>
      <c r="B204" s="58" t="s">
        <v>433</v>
      </c>
      <c r="C204" s="59">
        <v>59</v>
      </c>
      <c r="D204" s="60" t="s">
        <v>121</v>
      </c>
      <c r="E204" s="60">
        <v>55.19</v>
      </c>
      <c r="F204" s="60">
        <v>26.46</v>
      </c>
      <c r="G204" s="60">
        <v>81.650000000000006</v>
      </c>
      <c r="H204" s="61">
        <v>3256.21</v>
      </c>
      <c r="I204" s="61">
        <v>1561.14</v>
      </c>
      <c r="J204" s="62">
        <v>4817.3500000000004</v>
      </c>
      <c r="M204" s="75"/>
      <c r="N204" s="79"/>
      <c r="V204" s="56">
        <v>9</v>
      </c>
      <c r="W204" s="56" t="s">
        <v>121</v>
      </c>
      <c r="X204" s="64">
        <v>62.99</v>
      </c>
      <c r="Y204" s="64">
        <v>25.58</v>
      </c>
      <c r="Z204" s="64">
        <f t="shared" si="23"/>
        <v>88.57</v>
      </c>
      <c r="AB204" s="56">
        <v>9</v>
      </c>
      <c r="AC204" s="56" t="s">
        <v>121</v>
      </c>
      <c r="AD204" s="64">
        <v>80.31</v>
      </c>
      <c r="AE204" s="64">
        <v>32.61</v>
      </c>
      <c r="AF204" s="64">
        <f t="shared" si="24"/>
        <v>112.92</v>
      </c>
      <c r="AH204" s="65">
        <f t="shared" si="20"/>
        <v>-0.31278794670651233</v>
      </c>
      <c r="AI204" s="65">
        <f t="shared" si="20"/>
        <v>-0.18859245630174792</v>
      </c>
      <c r="AJ204" s="65">
        <f t="shared" si="20"/>
        <v>-0.27692171448813319</v>
      </c>
    </row>
    <row r="205" spans="1:36" x14ac:dyDescent="0.3">
      <c r="A205" s="78" t="s">
        <v>434</v>
      </c>
      <c r="B205" s="58" t="s">
        <v>435</v>
      </c>
      <c r="C205" s="59">
        <v>107</v>
      </c>
      <c r="D205" s="60" t="s">
        <v>87</v>
      </c>
      <c r="E205" s="60">
        <v>60.92</v>
      </c>
      <c r="F205" s="60">
        <v>17.86</v>
      </c>
      <c r="G205" s="60">
        <v>78.78</v>
      </c>
      <c r="H205" s="61">
        <v>6518.4400000000005</v>
      </c>
      <c r="I205" s="61">
        <v>1911.02</v>
      </c>
      <c r="J205" s="62">
        <v>8429.4600000000009</v>
      </c>
      <c r="M205" s="75"/>
      <c r="N205" s="76"/>
      <c r="V205" s="56">
        <v>28</v>
      </c>
      <c r="W205" s="56" t="s">
        <v>87</v>
      </c>
      <c r="X205" s="64">
        <v>84.73</v>
      </c>
      <c r="Y205" s="64">
        <v>15.72</v>
      </c>
      <c r="Z205" s="64">
        <f t="shared" si="23"/>
        <v>100.45</v>
      </c>
      <c r="AB205" s="56">
        <v>28</v>
      </c>
      <c r="AC205" s="56" t="s">
        <v>87</v>
      </c>
      <c r="AD205" s="64">
        <v>108.03</v>
      </c>
      <c r="AE205" s="64">
        <v>20.04</v>
      </c>
      <c r="AF205" s="64">
        <f t="shared" si="24"/>
        <v>128.07</v>
      </c>
      <c r="AH205" s="65">
        <f t="shared" si="20"/>
        <v>-0.43608256965657688</v>
      </c>
      <c r="AI205" s="65">
        <f t="shared" si="20"/>
        <v>-0.10878243512974051</v>
      </c>
      <c r="AJ205" s="65">
        <f t="shared" si="20"/>
        <v>-0.38486765050363081</v>
      </c>
    </row>
    <row r="206" spans="1:36" x14ac:dyDescent="0.3">
      <c r="A206" s="78" t="s">
        <v>436</v>
      </c>
      <c r="B206" s="58" t="s">
        <v>437</v>
      </c>
      <c r="C206" s="59">
        <v>33</v>
      </c>
      <c r="D206" s="60" t="s">
        <v>121</v>
      </c>
      <c r="E206" s="60">
        <v>46.5</v>
      </c>
      <c r="F206" s="60">
        <v>14.3</v>
      </c>
      <c r="G206" s="60">
        <v>60.8</v>
      </c>
      <c r="H206" s="61">
        <v>1534.5</v>
      </c>
      <c r="I206" s="61">
        <v>471.90000000000003</v>
      </c>
      <c r="J206" s="62">
        <v>2006.3999999999999</v>
      </c>
      <c r="M206" s="75"/>
      <c r="N206" s="76"/>
      <c r="V206" s="56">
        <v>1</v>
      </c>
      <c r="W206" s="56" t="s">
        <v>121</v>
      </c>
      <c r="X206" s="64">
        <v>53.08</v>
      </c>
      <c r="Y206" s="64">
        <v>12.02</v>
      </c>
      <c r="Z206" s="64">
        <f t="shared" si="23"/>
        <v>65.099999999999994</v>
      </c>
      <c r="AB206" s="56">
        <v>1</v>
      </c>
      <c r="AC206" s="56" t="s">
        <v>121</v>
      </c>
      <c r="AD206" s="64">
        <v>67.680000000000007</v>
      </c>
      <c r="AE206" s="64">
        <v>15.33</v>
      </c>
      <c r="AF206" s="64">
        <f t="shared" si="24"/>
        <v>83.01</v>
      </c>
      <c r="AH206" s="65">
        <f t="shared" si="20"/>
        <v>-0.31294326241134762</v>
      </c>
      <c r="AI206" s="65">
        <f t="shared" si="20"/>
        <v>-6.7188519243313705E-2</v>
      </c>
      <c r="AJ206" s="65">
        <f t="shared" si="20"/>
        <v>-0.26755812552704505</v>
      </c>
    </row>
    <row r="207" spans="1:36" x14ac:dyDescent="0.3">
      <c r="A207" s="78" t="s">
        <v>438</v>
      </c>
      <c r="B207" s="58" t="s">
        <v>439</v>
      </c>
      <c r="C207" s="59">
        <v>50</v>
      </c>
      <c r="D207" s="60" t="s">
        <v>121</v>
      </c>
      <c r="E207" s="60">
        <v>89.07</v>
      </c>
      <c r="F207" s="60">
        <v>15.87</v>
      </c>
      <c r="G207" s="60">
        <v>104.94</v>
      </c>
      <c r="H207" s="61">
        <v>4453.5</v>
      </c>
      <c r="I207" s="61">
        <v>793.5</v>
      </c>
      <c r="J207" s="62">
        <v>5247</v>
      </c>
      <c r="M207" s="75"/>
      <c r="N207" s="76"/>
      <c r="V207" s="56">
        <v>19</v>
      </c>
      <c r="W207" s="56" t="s">
        <v>121</v>
      </c>
      <c r="X207" s="64">
        <v>68.37</v>
      </c>
      <c r="Y207" s="64">
        <v>15.35</v>
      </c>
      <c r="Z207" s="64">
        <f t="shared" si="23"/>
        <v>83.72</v>
      </c>
      <c r="AB207" s="56">
        <v>19</v>
      </c>
      <c r="AC207" s="56" t="s">
        <v>121</v>
      </c>
      <c r="AD207" s="64">
        <v>87.17</v>
      </c>
      <c r="AE207" s="64">
        <v>19.57</v>
      </c>
      <c r="AF207" s="64">
        <f t="shared" si="24"/>
        <v>106.74000000000001</v>
      </c>
      <c r="AH207" s="65">
        <f t="shared" si="20"/>
        <v>2.1796489617987636E-2</v>
      </c>
      <c r="AI207" s="65">
        <f t="shared" si="20"/>
        <v>-0.18906489524782832</v>
      </c>
      <c r="AJ207" s="65">
        <f t="shared" si="20"/>
        <v>-1.6863406408094583E-2</v>
      </c>
    </row>
    <row r="208" spans="1:36" x14ac:dyDescent="0.3">
      <c r="A208" s="78" t="s">
        <v>440</v>
      </c>
      <c r="B208" s="58" t="s">
        <v>441</v>
      </c>
      <c r="C208" s="59">
        <v>94</v>
      </c>
      <c r="D208" s="60" t="s">
        <v>121</v>
      </c>
      <c r="E208" s="60">
        <v>197.97</v>
      </c>
      <c r="F208" s="60">
        <v>23.82</v>
      </c>
      <c r="G208" s="60">
        <v>221.79</v>
      </c>
      <c r="H208" s="61">
        <v>18609.18</v>
      </c>
      <c r="I208" s="61">
        <v>2239.08</v>
      </c>
      <c r="J208" s="62">
        <v>20848.259999999998</v>
      </c>
      <c r="M208" s="75"/>
      <c r="N208" s="76"/>
      <c r="V208" s="56">
        <v>55</v>
      </c>
      <c r="W208" s="56" t="s">
        <v>121</v>
      </c>
      <c r="X208" s="64">
        <v>225.97</v>
      </c>
      <c r="Y208" s="64">
        <v>20.65</v>
      </c>
      <c r="Z208" s="64">
        <f t="shared" si="23"/>
        <v>246.62</v>
      </c>
      <c r="AB208" s="56">
        <v>55</v>
      </c>
      <c r="AC208" s="56" t="s">
        <v>121</v>
      </c>
      <c r="AD208" s="64">
        <v>288.11</v>
      </c>
      <c r="AE208" s="64">
        <v>26.33</v>
      </c>
      <c r="AF208" s="64">
        <f t="shared" si="24"/>
        <v>314.44</v>
      </c>
      <c r="AH208" s="65">
        <f t="shared" si="20"/>
        <v>-0.31286661344625322</v>
      </c>
      <c r="AI208" s="65">
        <f t="shared" si="20"/>
        <v>-9.5328522597797116E-2</v>
      </c>
      <c r="AJ208" s="65">
        <f t="shared" si="20"/>
        <v>-0.29465080778526909</v>
      </c>
    </row>
    <row r="209" spans="1:36" x14ac:dyDescent="0.3">
      <c r="A209" s="78" t="s">
        <v>442</v>
      </c>
      <c r="B209" s="58" t="s">
        <v>443</v>
      </c>
      <c r="C209" s="59">
        <v>39</v>
      </c>
      <c r="D209" s="60" t="s">
        <v>121</v>
      </c>
      <c r="E209" s="60">
        <v>139.77000000000001</v>
      </c>
      <c r="F209" s="60">
        <v>23.82</v>
      </c>
      <c r="G209" s="60">
        <v>163.59</v>
      </c>
      <c r="H209" s="61">
        <v>5451.0300000000007</v>
      </c>
      <c r="I209" s="61">
        <v>928.98</v>
      </c>
      <c r="J209" s="62">
        <v>6380.01</v>
      </c>
      <c r="M209" s="75"/>
      <c r="N209" s="76"/>
      <c r="V209" s="56">
        <v>7</v>
      </c>
      <c r="W209" s="56" t="s">
        <v>121</v>
      </c>
      <c r="X209" s="64">
        <v>159.53</v>
      </c>
      <c r="Y209" s="64">
        <v>20.65</v>
      </c>
      <c r="Z209" s="64">
        <f t="shared" si="23"/>
        <v>180.18</v>
      </c>
      <c r="AB209" s="56">
        <v>7</v>
      </c>
      <c r="AC209" s="56" t="s">
        <v>121</v>
      </c>
      <c r="AD209" s="64">
        <v>203.4</v>
      </c>
      <c r="AE209" s="64">
        <v>26.33</v>
      </c>
      <c r="AF209" s="64">
        <f t="shared" si="24"/>
        <v>229.73000000000002</v>
      </c>
      <c r="AH209" s="65">
        <f t="shared" si="20"/>
        <v>-0.31283185840707961</v>
      </c>
      <c r="AI209" s="65">
        <f t="shared" si="20"/>
        <v>-9.5328522597797116E-2</v>
      </c>
      <c r="AJ209" s="65">
        <f t="shared" si="20"/>
        <v>-0.28790319070212866</v>
      </c>
    </row>
    <row r="210" spans="1:36" x14ac:dyDescent="0.3">
      <c r="A210" s="78" t="s">
        <v>444</v>
      </c>
      <c r="B210" s="58" t="s">
        <v>445</v>
      </c>
      <c r="C210" s="59">
        <v>54</v>
      </c>
      <c r="D210" s="60" t="s">
        <v>121</v>
      </c>
      <c r="E210" s="60">
        <v>97.49</v>
      </c>
      <c r="F210" s="60">
        <v>39.19</v>
      </c>
      <c r="G210" s="60">
        <v>136.68</v>
      </c>
      <c r="H210" s="61">
        <v>5264.46</v>
      </c>
      <c r="I210" s="61">
        <v>2116.2599999999998</v>
      </c>
      <c r="J210" s="62">
        <v>7380.72</v>
      </c>
      <c r="M210" s="75"/>
      <c r="N210" s="76"/>
      <c r="V210" s="56">
        <v>1</v>
      </c>
      <c r="W210" s="56" t="s">
        <v>121</v>
      </c>
      <c r="X210" s="64">
        <v>111.28</v>
      </c>
      <c r="Y210" s="64">
        <v>39.479999999999997</v>
      </c>
      <c r="Z210" s="64">
        <f t="shared" si="23"/>
        <v>150.76</v>
      </c>
      <c r="AB210" s="56">
        <v>1</v>
      </c>
      <c r="AC210" s="56" t="s">
        <v>121</v>
      </c>
      <c r="AD210" s="64">
        <v>141.88</v>
      </c>
      <c r="AE210" s="64">
        <v>50.34</v>
      </c>
      <c r="AF210" s="64">
        <f t="shared" si="24"/>
        <v>192.22</v>
      </c>
      <c r="AH210" s="65">
        <f t="shared" si="20"/>
        <v>-0.31287003101212296</v>
      </c>
      <c r="AI210" s="65">
        <f t="shared" si="20"/>
        <v>-0.22149384187524845</v>
      </c>
      <c r="AJ210" s="65">
        <f t="shared" si="20"/>
        <v>-0.28893975652897719</v>
      </c>
    </row>
    <row r="211" spans="1:36" x14ac:dyDescent="0.3">
      <c r="A211" s="78" t="s">
        <v>446</v>
      </c>
      <c r="B211" s="58" t="s">
        <v>447</v>
      </c>
      <c r="C211" s="59">
        <v>22</v>
      </c>
      <c r="D211" s="60" t="s">
        <v>121</v>
      </c>
      <c r="E211" s="60">
        <v>54.99</v>
      </c>
      <c r="F211" s="60">
        <v>15.36</v>
      </c>
      <c r="G211" s="60">
        <v>70.349999999999994</v>
      </c>
      <c r="H211" s="61">
        <v>1209.78</v>
      </c>
      <c r="I211" s="61">
        <v>337.91999999999996</v>
      </c>
      <c r="J211" s="62">
        <v>1547.6999999999998</v>
      </c>
      <c r="M211" s="75"/>
      <c r="N211" s="76"/>
      <c r="V211" s="56">
        <v>31</v>
      </c>
      <c r="W211" s="56" t="s">
        <v>121</v>
      </c>
      <c r="X211" s="64">
        <v>62.22</v>
      </c>
      <c r="Y211" s="64">
        <v>14.78</v>
      </c>
      <c r="Z211" s="64">
        <f t="shared" si="23"/>
        <v>77</v>
      </c>
      <c r="AB211" s="56">
        <v>31</v>
      </c>
      <c r="AC211" s="56" t="s">
        <v>121</v>
      </c>
      <c r="AD211" s="64">
        <v>79.33</v>
      </c>
      <c r="AE211" s="64">
        <v>18.84</v>
      </c>
      <c r="AF211" s="64">
        <f t="shared" si="24"/>
        <v>98.17</v>
      </c>
      <c r="AH211" s="65">
        <f t="shared" si="20"/>
        <v>-0.3068196142695071</v>
      </c>
      <c r="AI211" s="65">
        <f t="shared" si="20"/>
        <v>-0.18471337579617841</v>
      </c>
      <c r="AJ211" s="65">
        <f t="shared" si="20"/>
        <v>-0.28338596312519104</v>
      </c>
    </row>
    <row r="212" spans="1:36" x14ac:dyDescent="0.3">
      <c r="A212" s="78" t="s">
        <v>448</v>
      </c>
      <c r="B212" s="58" t="s">
        <v>449</v>
      </c>
      <c r="C212" s="59">
        <v>1</v>
      </c>
      <c r="D212" s="60" t="s">
        <v>121</v>
      </c>
      <c r="E212" s="60">
        <v>67.31</v>
      </c>
      <c r="F212" s="60">
        <v>26.46</v>
      </c>
      <c r="G212" s="60">
        <v>93.77000000000001</v>
      </c>
      <c r="H212" s="61">
        <v>67.31</v>
      </c>
      <c r="I212" s="61">
        <v>26.46</v>
      </c>
      <c r="J212" s="62">
        <v>93.77000000000001</v>
      </c>
      <c r="M212" s="75"/>
      <c r="N212" s="76"/>
      <c r="V212" s="56">
        <v>1</v>
      </c>
      <c r="W212" s="56" t="s">
        <v>121</v>
      </c>
      <c r="X212" s="64">
        <v>76.83</v>
      </c>
      <c r="Y212" s="64">
        <v>25.58</v>
      </c>
      <c r="Z212" s="64">
        <f t="shared" si="23"/>
        <v>102.41</v>
      </c>
      <c r="AB212" s="56">
        <v>1</v>
      </c>
      <c r="AC212" s="56" t="s">
        <v>121</v>
      </c>
      <c r="AD212" s="64">
        <v>97.96</v>
      </c>
      <c r="AE212" s="64">
        <v>32.61</v>
      </c>
      <c r="AF212" s="64">
        <f t="shared" si="24"/>
        <v>130.57</v>
      </c>
      <c r="AH212" s="65">
        <f t="shared" si="20"/>
        <v>-0.31288280930992241</v>
      </c>
      <c r="AI212" s="65">
        <f t="shared" si="20"/>
        <v>-0.18859245630174792</v>
      </c>
      <c r="AJ212" s="65">
        <f t="shared" si="20"/>
        <v>-0.28184115799954035</v>
      </c>
    </row>
    <row r="213" spans="1:36" x14ac:dyDescent="0.3">
      <c r="A213" s="78" t="s">
        <v>450</v>
      </c>
      <c r="B213" s="58" t="s">
        <v>451</v>
      </c>
      <c r="C213" s="59">
        <v>1</v>
      </c>
      <c r="D213" s="60" t="s">
        <v>121</v>
      </c>
      <c r="E213" s="60">
        <v>89.54</v>
      </c>
      <c r="F213" s="60">
        <v>26.46</v>
      </c>
      <c r="G213" s="60">
        <v>116</v>
      </c>
      <c r="H213" s="61">
        <v>89.54</v>
      </c>
      <c r="I213" s="61">
        <v>26.46</v>
      </c>
      <c r="J213" s="62">
        <v>116</v>
      </c>
      <c r="M213" s="75"/>
      <c r="N213" s="76"/>
      <c r="V213" s="56">
        <v>1</v>
      </c>
      <c r="W213" s="56" t="s">
        <v>121</v>
      </c>
      <c r="X213" s="64">
        <v>102.2</v>
      </c>
      <c r="Y213" s="64">
        <v>25.58</v>
      </c>
      <c r="Z213" s="64">
        <f t="shared" si="23"/>
        <v>127.78</v>
      </c>
      <c r="AB213" s="56">
        <v>1</v>
      </c>
      <c r="AC213" s="56" t="s">
        <v>121</v>
      </c>
      <c r="AD213" s="64">
        <v>130.31</v>
      </c>
      <c r="AE213" s="64">
        <v>32.61</v>
      </c>
      <c r="AF213" s="64">
        <f t="shared" si="24"/>
        <v>162.92000000000002</v>
      </c>
      <c r="AH213" s="65">
        <f t="shared" si="20"/>
        <v>-0.31286931164147025</v>
      </c>
      <c r="AI213" s="65">
        <f t="shared" si="20"/>
        <v>-0.18859245630174792</v>
      </c>
      <c r="AJ213" s="65">
        <f t="shared" si="20"/>
        <v>-0.28799410753744181</v>
      </c>
    </row>
    <row r="214" spans="1:36" x14ac:dyDescent="0.3">
      <c r="A214" s="69">
        <v>16</v>
      </c>
      <c r="B214" s="70" t="s">
        <v>452</v>
      </c>
      <c r="C214" s="71"/>
      <c r="D214" s="72"/>
      <c r="E214" s="72"/>
      <c r="F214" s="72"/>
      <c r="G214" s="72"/>
      <c r="H214" s="52">
        <v>140591.52999999997</v>
      </c>
      <c r="I214" s="52">
        <v>34004.07</v>
      </c>
      <c r="J214" s="52">
        <v>174595.6</v>
      </c>
      <c r="M214" s="75"/>
      <c r="N214" s="76"/>
      <c r="V214" s="54"/>
      <c r="W214" s="54"/>
      <c r="X214" s="55"/>
      <c r="Y214" s="55"/>
      <c r="Z214" s="55"/>
      <c r="AB214" s="54"/>
      <c r="AC214" s="54"/>
      <c r="AD214" s="55"/>
      <c r="AE214" s="55"/>
      <c r="AF214" s="55"/>
      <c r="AH214" s="65">
        <f t="shared" si="20"/>
        <v>0</v>
      </c>
      <c r="AI214" s="65">
        <f t="shared" si="20"/>
        <v>0</v>
      </c>
      <c r="AJ214" s="65">
        <f t="shared" si="20"/>
        <v>0</v>
      </c>
    </row>
    <row r="215" spans="1:36" x14ac:dyDescent="0.3">
      <c r="A215" s="78" t="s">
        <v>453</v>
      </c>
      <c r="B215" s="58" t="s">
        <v>454</v>
      </c>
      <c r="C215" s="59">
        <v>14</v>
      </c>
      <c r="D215" s="60" t="s">
        <v>71</v>
      </c>
      <c r="E215" s="60">
        <v>181.02</v>
      </c>
      <c r="F215" s="60">
        <v>21.52</v>
      </c>
      <c r="G215" s="60">
        <v>202.54000000000002</v>
      </c>
      <c r="H215" s="61">
        <v>2534.2800000000002</v>
      </c>
      <c r="I215" s="61">
        <v>301.27999999999997</v>
      </c>
      <c r="J215" s="62">
        <v>2835.5600000000004</v>
      </c>
      <c r="M215" s="75"/>
      <c r="N215" s="76"/>
      <c r="V215" s="56">
        <v>19</v>
      </c>
      <c r="W215" s="56" t="s">
        <v>71</v>
      </c>
      <c r="X215" s="64">
        <v>159.63</v>
      </c>
      <c r="Y215" s="64">
        <v>18.510000000000002</v>
      </c>
      <c r="Z215" s="64">
        <f t="shared" ref="Z215:Z233" si="25">SUM(X215:Y215)</f>
        <v>178.14</v>
      </c>
      <c r="AB215" s="56">
        <v>19</v>
      </c>
      <c r="AC215" s="56" t="s">
        <v>71</v>
      </c>
      <c r="AD215" s="64">
        <v>203.53</v>
      </c>
      <c r="AE215" s="64">
        <v>23.6</v>
      </c>
      <c r="AF215" s="64">
        <f t="shared" ref="AF215:AF233" si="26">SUM(AD215:AE215)</f>
        <v>227.13</v>
      </c>
      <c r="AH215" s="65">
        <f t="shared" si="20"/>
        <v>-0.11059794624871022</v>
      </c>
      <c r="AI215" s="65">
        <f t="shared" si="20"/>
        <v>-8.8135593220339037E-2</v>
      </c>
      <c r="AJ215" s="65">
        <f t="shared" si="20"/>
        <v>-0.10826398978558527</v>
      </c>
    </row>
    <row r="216" spans="1:36" x14ac:dyDescent="0.3">
      <c r="A216" s="78" t="s">
        <v>455</v>
      </c>
      <c r="B216" s="58" t="s">
        <v>456</v>
      </c>
      <c r="C216" s="59">
        <v>47</v>
      </c>
      <c r="D216" s="60" t="s">
        <v>71</v>
      </c>
      <c r="E216" s="60">
        <v>243.08</v>
      </c>
      <c r="F216" s="60">
        <v>23.91</v>
      </c>
      <c r="G216" s="60">
        <v>266.99</v>
      </c>
      <c r="H216" s="61">
        <v>11424.76</v>
      </c>
      <c r="I216" s="61">
        <v>1123.77</v>
      </c>
      <c r="J216" s="62">
        <v>12548.53</v>
      </c>
      <c r="M216" s="75"/>
      <c r="N216" s="76"/>
      <c r="V216" s="56">
        <v>1</v>
      </c>
      <c r="W216" s="56" t="s">
        <v>71</v>
      </c>
      <c r="X216" s="64">
        <v>201.08</v>
      </c>
      <c r="Y216" s="64">
        <v>20.57</v>
      </c>
      <c r="Z216" s="64">
        <f t="shared" si="25"/>
        <v>221.65</v>
      </c>
      <c r="AB216" s="56">
        <v>1</v>
      </c>
      <c r="AC216" s="56" t="s">
        <v>71</v>
      </c>
      <c r="AD216" s="64">
        <v>256.38</v>
      </c>
      <c r="AE216" s="64">
        <v>26.23</v>
      </c>
      <c r="AF216" s="64">
        <f t="shared" si="26"/>
        <v>282.61</v>
      </c>
      <c r="AH216" s="65">
        <f t="shared" ref="AH216:AJ282" si="27">IF(E216=0,0,(E216/AD216)-1)</f>
        <v>-5.1876121382323004E-2</v>
      </c>
      <c r="AI216" s="65">
        <f t="shared" si="27"/>
        <v>-8.8448341593595159E-2</v>
      </c>
      <c r="AJ216" s="65">
        <f t="shared" si="27"/>
        <v>-5.5270514136088633E-2</v>
      </c>
    </row>
    <row r="217" spans="1:36" x14ac:dyDescent="0.3">
      <c r="A217" s="78" t="s">
        <v>457</v>
      </c>
      <c r="B217" s="58" t="s">
        <v>458</v>
      </c>
      <c r="C217" s="59">
        <v>1</v>
      </c>
      <c r="D217" s="60" t="s">
        <v>71</v>
      </c>
      <c r="E217" s="60">
        <v>156.19</v>
      </c>
      <c r="F217" s="60">
        <v>21.52</v>
      </c>
      <c r="G217" s="60">
        <v>177.71</v>
      </c>
      <c r="H217" s="61">
        <v>156.19</v>
      </c>
      <c r="I217" s="61">
        <v>21.52</v>
      </c>
      <c r="J217" s="62">
        <v>177.71</v>
      </c>
      <c r="M217" s="75"/>
      <c r="N217" s="76"/>
      <c r="V217" s="56">
        <v>1</v>
      </c>
      <c r="W217" s="56" t="s">
        <v>71</v>
      </c>
      <c r="X217" s="64">
        <v>143.04</v>
      </c>
      <c r="Y217" s="64">
        <v>18.510000000000002</v>
      </c>
      <c r="Z217" s="64">
        <f t="shared" si="25"/>
        <v>161.54999999999998</v>
      </c>
      <c r="AB217" s="56">
        <v>1</v>
      </c>
      <c r="AC217" s="56" t="s">
        <v>71</v>
      </c>
      <c r="AD217" s="64">
        <v>182.38</v>
      </c>
      <c r="AE217" s="64">
        <v>23.6</v>
      </c>
      <c r="AF217" s="64">
        <f t="shared" si="26"/>
        <v>205.98</v>
      </c>
      <c r="AH217" s="65">
        <f t="shared" si="27"/>
        <v>-0.14360127206930584</v>
      </c>
      <c r="AI217" s="65">
        <f t="shared" si="27"/>
        <v>-8.8135593220339037E-2</v>
      </c>
      <c r="AJ217" s="65">
        <f t="shared" si="27"/>
        <v>-0.13724633459559177</v>
      </c>
    </row>
    <row r="218" spans="1:36" x14ac:dyDescent="0.3">
      <c r="A218" s="78" t="s">
        <v>459</v>
      </c>
      <c r="B218" s="58" t="s">
        <v>460</v>
      </c>
      <c r="C218" s="59">
        <v>4</v>
      </c>
      <c r="D218" s="60" t="s">
        <v>71</v>
      </c>
      <c r="E218" s="60">
        <v>404.43</v>
      </c>
      <c r="F218" s="60">
        <v>21.52</v>
      </c>
      <c r="G218" s="60">
        <v>425.95</v>
      </c>
      <c r="H218" s="61">
        <v>1617.72</v>
      </c>
      <c r="I218" s="61">
        <v>86.08</v>
      </c>
      <c r="J218" s="62">
        <v>1703.8</v>
      </c>
      <c r="M218" s="75"/>
      <c r="N218" s="76"/>
      <c r="V218" s="56">
        <v>28</v>
      </c>
      <c r="W218" s="56" t="s">
        <v>71</v>
      </c>
      <c r="X218" s="64">
        <v>308.88</v>
      </c>
      <c r="Y218" s="64">
        <v>18.510000000000002</v>
      </c>
      <c r="Z218" s="64">
        <f t="shared" si="25"/>
        <v>327.39</v>
      </c>
      <c r="AB218" s="56">
        <v>28</v>
      </c>
      <c r="AC218" s="56" t="s">
        <v>71</v>
      </c>
      <c r="AD218" s="64">
        <v>393.82</v>
      </c>
      <c r="AE218" s="64">
        <v>23.6</v>
      </c>
      <c r="AF218" s="64">
        <f t="shared" si="26"/>
        <v>417.42</v>
      </c>
      <c r="AH218" s="65">
        <f t="shared" si="27"/>
        <v>2.6941242191864445E-2</v>
      </c>
      <c r="AI218" s="65">
        <f t="shared" si="27"/>
        <v>-8.8135593220339037E-2</v>
      </c>
      <c r="AJ218" s="65">
        <f t="shared" si="27"/>
        <v>2.0435053423410343E-2</v>
      </c>
    </row>
    <row r="219" spans="1:36" x14ac:dyDescent="0.3">
      <c r="A219" s="78" t="s">
        <v>461</v>
      </c>
      <c r="B219" s="58" t="s">
        <v>462</v>
      </c>
      <c r="C219" s="59">
        <v>125</v>
      </c>
      <c r="D219" s="60" t="s">
        <v>71</v>
      </c>
      <c r="E219" s="60">
        <v>450.2</v>
      </c>
      <c r="F219" s="60">
        <v>23.91</v>
      </c>
      <c r="G219" s="60">
        <v>474.11</v>
      </c>
      <c r="H219" s="61">
        <v>56275</v>
      </c>
      <c r="I219" s="61">
        <v>2988.75</v>
      </c>
      <c r="J219" s="62">
        <v>59263.75</v>
      </c>
      <c r="M219" s="75"/>
      <c r="N219" s="76"/>
      <c r="V219" s="56">
        <v>235</v>
      </c>
      <c r="W219" s="56" t="s">
        <v>71</v>
      </c>
      <c r="X219" s="64">
        <v>314.88</v>
      </c>
      <c r="Y219" s="64">
        <v>20.57</v>
      </c>
      <c r="Z219" s="64">
        <f t="shared" si="25"/>
        <v>335.45</v>
      </c>
      <c r="AB219" s="56">
        <v>235</v>
      </c>
      <c r="AC219" s="56" t="s">
        <v>71</v>
      </c>
      <c r="AD219" s="64">
        <v>401.47</v>
      </c>
      <c r="AE219" s="64">
        <v>26.23</v>
      </c>
      <c r="AF219" s="64">
        <f t="shared" si="26"/>
        <v>427.70000000000005</v>
      </c>
      <c r="AH219" s="65">
        <f t="shared" si="27"/>
        <v>0.12137893242334408</v>
      </c>
      <c r="AI219" s="65">
        <f t="shared" si="27"/>
        <v>-8.8448341593595159E-2</v>
      </c>
      <c r="AJ219" s="65">
        <f t="shared" si="27"/>
        <v>0.10851063829787222</v>
      </c>
    </row>
    <row r="220" spans="1:36" ht="28.8" x14ac:dyDescent="0.3">
      <c r="A220" s="78" t="s">
        <v>463</v>
      </c>
      <c r="B220" s="58" t="s">
        <v>464</v>
      </c>
      <c r="C220" s="59">
        <v>1</v>
      </c>
      <c r="D220" s="60" t="s">
        <v>71</v>
      </c>
      <c r="E220" s="60">
        <v>758.24</v>
      </c>
      <c r="F220" s="60">
        <v>23.91</v>
      </c>
      <c r="G220" s="60">
        <v>782.15</v>
      </c>
      <c r="H220" s="61">
        <v>758.24</v>
      </c>
      <c r="I220" s="61">
        <v>23.91</v>
      </c>
      <c r="J220" s="62">
        <v>782.15</v>
      </c>
      <c r="M220" s="75"/>
      <c r="N220" s="76"/>
      <c r="V220" s="56">
        <v>1</v>
      </c>
      <c r="W220" s="56" t="s">
        <v>71</v>
      </c>
      <c r="X220" s="64">
        <v>583.95000000000005</v>
      </c>
      <c r="Y220" s="64">
        <v>20.57</v>
      </c>
      <c r="Z220" s="64">
        <f t="shared" si="25"/>
        <v>604.5200000000001</v>
      </c>
      <c r="AB220" s="56">
        <v>1</v>
      </c>
      <c r="AC220" s="56" t="s">
        <v>71</v>
      </c>
      <c r="AD220" s="64">
        <v>744.54</v>
      </c>
      <c r="AE220" s="64">
        <v>26.23</v>
      </c>
      <c r="AF220" s="64">
        <f t="shared" si="26"/>
        <v>770.77</v>
      </c>
      <c r="AH220" s="65">
        <f t="shared" si="27"/>
        <v>1.8400623203588928E-2</v>
      </c>
      <c r="AI220" s="65">
        <f t="shared" si="27"/>
        <v>-8.8448341593595159E-2</v>
      </c>
      <c r="AJ220" s="65">
        <f t="shared" si="27"/>
        <v>1.4764456322897912E-2</v>
      </c>
    </row>
    <row r="221" spans="1:36" ht="28.8" x14ac:dyDescent="0.3">
      <c r="A221" s="78" t="s">
        <v>465</v>
      </c>
      <c r="B221" s="58" t="s">
        <v>466</v>
      </c>
      <c r="C221" s="59">
        <v>4</v>
      </c>
      <c r="D221" s="60" t="s">
        <v>71</v>
      </c>
      <c r="E221" s="60">
        <v>1136.44</v>
      </c>
      <c r="F221" s="60">
        <v>23.91</v>
      </c>
      <c r="G221" s="60">
        <v>1160.3500000000001</v>
      </c>
      <c r="H221" s="61">
        <v>4545.76</v>
      </c>
      <c r="I221" s="61">
        <v>95.64</v>
      </c>
      <c r="J221" s="62">
        <v>4641.4000000000005</v>
      </c>
      <c r="M221" s="75"/>
      <c r="N221" s="76"/>
      <c r="V221" s="56">
        <v>50</v>
      </c>
      <c r="W221" s="56" t="s">
        <v>71</v>
      </c>
      <c r="X221" s="64">
        <v>1353.15</v>
      </c>
      <c r="Y221" s="64">
        <v>20.57</v>
      </c>
      <c r="Z221" s="64">
        <f t="shared" si="25"/>
        <v>1373.72</v>
      </c>
      <c r="AB221" s="56">
        <v>50</v>
      </c>
      <c r="AC221" s="56" t="s">
        <v>71</v>
      </c>
      <c r="AD221" s="64">
        <v>1725.27</v>
      </c>
      <c r="AE221" s="64">
        <v>26.23</v>
      </c>
      <c r="AF221" s="64">
        <f t="shared" si="26"/>
        <v>1751.5</v>
      </c>
      <c r="AH221" s="65">
        <f t="shared" si="27"/>
        <v>-0.34129730419006876</v>
      </c>
      <c r="AI221" s="65">
        <f t="shared" si="27"/>
        <v>-8.8448341593595159E-2</v>
      </c>
      <c r="AJ221" s="65">
        <f t="shared" si="27"/>
        <v>-0.33751070510990566</v>
      </c>
    </row>
    <row r="222" spans="1:36" x14ac:dyDescent="0.3">
      <c r="A222" s="78" t="s">
        <v>467</v>
      </c>
      <c r="B222" s="58" t="s">
        <v>468</v>
      </c>
      <c r="C222" s="59">
        <v>1</v>
      </c>
      <c r="D222" s="60" t="s">
        <v>71</v>
      </c>
      <c r="E222" s="60">
        <v>448.23</v>
      </c>
      <c r="F222" s="60">
        <v>23.91</v>
      </c>
      <c r="G222" s="60">
        <v>472.14000000000004</v>
      </c>
      <c r="H222" s="61">
        <v>448.23</v>
      </c>
      <c r="I222" s="61">
        <v>23.91</v>
      </c>
      <c r="J222" s="62">
        <v>472.14000000000004</v>
      </c>
      <c r="M222" s="75"/>
      <c r="N222" s="76"/>
      <c r="V222" s="56">
        <v>1</v>
      </c>
      <c r="W222" s="56" t="s">
        <v>71</v>
      </c>
      <c r="X222" s="64">
        <v>546.62</v>
      </c>
      <c r="Y222" s="64">
        <v>20.57</v>
      </c>
      <c r="Z222" s="64">
        <f t="shared" si="25"/>
        <v>567.19000000000005</v>
      </c>
      <c r="AB222" s="56">
        <v>1</v>
      </c>
      <c r="AC222" s="56" t="s">
        <v>71</v>
      </c>
      <c r="AD222" s="64">
        <v>696.94</v>
      </c>
      <c r="AE222" s="64">
        <v>26.23</v>
      </c>
      <c r="AF222" s="64">
        <f t="shared" si="26"/>
        <v>723.17000000000007</v>
      </c>
      <c r="AH222" s="65">
        <f t="shared" si="27"/>
        <v>-0.35685998794731255</v>
      </c>
      <c r="AI222" s="65">
        <f t="shared" si="27"/>
        <v>-8.8448341593595159E-2</v>
      </c>
      <c r="AJ222" s="65">
        <f t="shared" si="27"/>
        <v>-0.3471244658932201</v>
      </c>
    </row>
    <row r="223" spans="1:36" x14ac:dyDescent="0.3">
      <c r="A223" s="78" t="s">
        <v>469</v>
      </c>
      <c r="B223" s="58" t="s">
        <v>470</v>
      </c>
      <c r="C223" s="59">
        <v>67</v>
      </c>
      <c r="D223" s="60" t="s">
        <v>71</v>
      </c>
      <c r="E223" s="60">
        <v>405</v>
      </c>
      <c r="F223" s="60">
        <v>23.91</v>
      </c>
      <c r="G223" s="60">
        <v>428.91</v>
      </c>
      <c r="H223" s="61">
        <v>27135</v>
      </c>
      <c r="I223" s="61">
        <v>1601.97</v>
      </c>
      <c r="J223" s="62">
        <v>28736.97</v>
      </c>
      <c r="M223" s="75"/>
      <c r="N223" s="79"/>
      <c r="V223" s="56">
        <v>46</v>
      </c>
      <c r="W223" s="56" t="s">
        <v>71</v>
      </c>
      <c r="X223" s="64">
        <v>207.28</v>
      </c>
      <c r="Y223" s="64">
        <v>20.57</v>
      </c>
      <c r="Z223" s="64">
        <f t="shared" si="25"/>
        <v>227.85</v>
      </c>
      <c r="AB223" s="56">
        <v>46</v>
      </c>
      <c r="AC223" s="56" t="s">
        <v>71</v>
      </c>
      <c r="AD223" s="64">
        <v>264.27999999999997</v>
      </c>
      <c r="AE223" s="64">
        <v>26.23</v>
      </c>
      <c r="AF223" s="64">
        <f t="shared" si="26"/>
        <v>290.51</v>
      </c>
      <c r="AH223" s="65">
        <f t="shared" si="27"/>
        <v>0.53246556682306667</v>
      </c>
      <c r="AI223" s="65">
        <f t="shared" si="27"/>
        <v>-8.8448341593595159E-2</v>
      </c>
      <c r="AJ223" s="65">
        <f t="shared" si="27"/>
        <v>0.47640356614230162</v>
      </c>
    </row>
    <row r="224" spans="1:36" x14ac:dyDescent="0.3">
      <c r="A224" s="78" t="s">
        <v>471</v>
      </c>
      <c r="B224" s="58" t="s">
        <v>472</v>
      </c>
      <c r="C224" s="59">
        <v>365</v>
      </c>
      <c r="D224" s="60" t="s">
        <v>87</v>
      </c>
      <c r="E224" s="60">
        <v>56.35</v>
      </c>
      <c r="F224" s="60">
        <v>66.33</v>
      </c>
      <c r="G224" s="60">
        <v>122.68</v>
      </c>
      <c r="H224" s="61">
        <v>20567.75</v>
      </c>
      <c r="I224" s="61">
        <v>24210.45</v>
      </c>
      <c r="J224" s="62">
        <v>44778.200000000004</v>
      </c>
      <c r="M224" s="75"/>
      <c r="N224" s="76"/>
      <c r="V224" s="56">
        <v>315</v>
      </c>
      <c r="W224" s="56" t="s">
        <v>87</v>
      </c>
      <c r="X224" s="64">
        <v>89.23</v>
      </c>
      <c r="Y224" s="64">
        <v>60.6</v>
      </c>
      <c r="Z224" s="64">
        <f t="shared" si="25"/>
        <v>149.83000000000001</v>
      </c>
      <c r="AB224" s="56">
        <v>315</v>
      </c>
      <c r="AC224" s="56" t="s">
        <v>87</v>
      </c>
      <c r="AD224" s="64">
        <v>113.77</v>
      </c>
      <c r="AE224" s="64">
        <v>77.27</v>
      </c>
      <c r="AF224" s="64">
        <f t="shared" si="26"/>
        <v>191.04</v>
      </c>
      <c r="AH224" s="65">
        <f t="shared" si="27"/>
        <v>-0.50470246989540302</v>
      </c>
      <c r="AI224" s="65">
        <f t="shared" si="27"/>
        <v>-0.14158146758120871</v>
      </c>
      <c r="AJ224" s="65">
        <f t="shared" si="27"/>
        <v>-0.3578308207705192</v>
      </c>
    </row>
    <row r="225" spans="1:36" x14ac:dyDescent="0.3">
      <c r="A225" s="78" t="s">
        <v>473</v>
      </c>
      <c r="B225" s="58" t="s">
        <v>474</v>
      </c>
      <c r="C225" s="59">
        <v>45</v>
      </c>
      <c r="D225" s="60" t="s">
        <v>87</v>
      </c>
      <c r="E225" s="60">
        <v>38.130000000000003</v>
      </c>
      <c r="F225" s="60">
        <v>14.63</v>
      </c>
      <c r="G225" s="60">
        <v>52.760000000000005</v>
      </c>
      <c r="H225" s="61">
        <v>1715.8500000000001</v>
      </c>
      <c r="I225" s="61">
        <v>658.35</v>
      </c>
      <c r="J225" s="62">
        <v>2374.2000000000003</v>
      </c>
      <c r="M225" s="75"/>
      <c r="N225" s="76"/>
      <c r="V225" s="56">
        <v>1</v>
      </c>
      <c r="W225" s="56" t="s">
        <v>87</v>
      </c>
      <c r="X225" s="64">
        <v>69.44</v>
      </c>
      <c r="Y225" s="64">
        <v>13.28</v>
      </c>
      <c r="Z225" s="64">
        <f t="shared" si="25"/>
        <v>82.72</v>
      </c>
      <c r="AB225" s="56">
        <v>1</v>
      </c>
      <c r="AC225" s="56" t="s">
        <v>87</v>
      </c>
      <c r="AD225" s="64">
        <v>88.54</v>
      </c>
      <c r="AE225" s="64">
        <v>16.93</v>
      </c>
      <c r="AF225" s="64">
        <f t="shared" si="26"/>
        <v>105.47</v>
      </c>
      <c r="AH225" s="65">
        <f t="shared" si="27"/>
        <v>-0.56934718771176862</v>
      </c>
      <c r="AI225" s="65">
        <f t="shared" si="27"/>
        <v>-0.13585351447135252</v>
      </c>
      <c r="AJ225" s="65">
        <f t="shared" si="27"/>
        <v>-0.49976296577225743</v>
      </c>
    </row>
    <row r="226" spans="1:36" x14ac:dyDescent="0.3">
      <c r="A226" s="78" t="s">
        <v>475</v>
      </c>
      <c r="B226" s="58" t="s">
        <v>476</v>
      </c>
      <c r="C226" s="59">
        <v>198</v>
      </c>
      <c r="D226" s="60" t="s">
        <v>71</v>
      </c>
      <c r="E226" s="60">
        <v>13.11</v>
      </c>
      <c r="F226" s="60">
        <v>5</v>
      </c>
      <c r="G226" s="60">
        <v>18.11</v>
      </c>
      <c r="H226" s="61">
        <v>2595.7799999999997</v>
      </c>
      <c r="I226" s="61">
        <v>990</v>
      </c>
      <c r="J226" s="62">
        <v>3585.7799999999997</v>
      </c>
      <c r="M226" s="75"/>
      <c r="N226" s="76"/>
      <c r="V226" s="56">
        <v>218</v>
      </c>
      <c r="W226" s="56" t="s">
        <v>71</v>
      </c>
      <c r="X226" s="64">
        <v>14.96</v>
      </c>
      <c r="Y226" s="64">
        <v>4.54</v>
      </c>
      <c r="Z226" s="64">
        <f t="shared" si="25"/>
        <v>19.5</v>
      </c>
      <c r="AB226" s="56">
        <v>218</v>
      </c>
      <c r="AC226" s="56" t="s">
        <v>71</v>
      </c>
      <c r="AD226" s="64">
        <v>19.07</v>
      </c>
      <c r="AE226" s="64">
        <v>5.79</v>
      </c>
      <c r="AF226" s="64">
        <f t="shared" si="26"/>
        <v>24.86</v>
      </c>
      <c r="AH226" s="65">
        <f t="shared" si="27"/>
        <v>-0.31253277399056112</v>
      </c>
      <c r="AI226" s="65">
        <f t="shared" si="27"/>
        <v>-0.13644214162348878</v>
      </c>
      <c r="AJ226" s="65">
        <f t="shared" si="27"/>
        <v>-0.27152051488334672</v>
      </c>
    </row>
    <row r="227" spans="1:36" x14ac:dyDescent="0.3">
      <c r="A227" s="78" t="s">
        <v>477</v>
      </c>
      <c r="B227" s="58" t="s">
        <v>478</v>
      </c>
      <c r="C227" s="59">
        <v>10</v>
      </c>
      <c r="D227" s="60" t="s">
        <v>71</v>
      </c>
      <c r="E227" s="60">
        <v>13.11</v>
      </c>
      <c r="F227" s="60">
        <v>24.02</v>
      </c>
      <c r="G227" s="60">
        <v>37.129999999999995</v>
      </c>
      <c r="H227" s="61">
        <v>131.1</v>
      </c>
      <c r="I227" s="61">
        <v>240.2</v>
      </c>
      <c r="J227" s="62">
        <v>371.29999999999995</v>
      </c>
      <c r="M227" s="75"/>
      <c r="N227" s="76"/>
      <c r="V227" s="56">
        <v>1</v>
      </c>
      <c r="W227" s="56" t="s">
        <v>71</v>
      </c>
      <c r="X227" s="64">
        <v>14.96</v>
      </c>
      <c r="Y227" s="64">
        <v>19.55</v>
      </c>
      <c r="Z227" s="64">
        <f t="shared" si="25"/>
        <v>34.510000000000005</v>
      </c>
      <c r="AB227" s="56">
        <v>1</v>
      </c>
      <c r="AC227" s="56" t="s">
        <v>71</v>
      </c>
      <c r="AD227" s="64">
        <v>19.07</v>
      </c>
      <c r="AE227" s="64">
        <v>24.93</v>
      </c>
      <c r="AF227" s="64">
        <f t="shared" si="26"/>
        <v>44</v>
      </c>
      <c r="AH227" s="65">
        <f t="shared" si="27"/>
        <v>-0.31253277399056112</v>
      </c>
      <c r="AI227" s="65">
        <f t="shared" si="27"/>
        <v>-3.6502206177296381E-2</v>
      </c>
      <c r="AJ227" s="65">
        <f t="shared" si="27"/>
        <v>-0.15613636363636374</v>
      </c>
    </row>
    <row r="228" spans="1:36" x14ac:dyDescent="0.3">
      <c r="A228" s="78" t="s">
        <v>479</v>
      </c>
      <c r="B228" s="58" t="s">
        <v>480</v>
      </c>
      <c r="C228" s="59">
        <v>13</v>
      </c>
      <c r="D228" s="60" t="s">
        <v>71</v>
      </c>
      <c r="E228" s="60">
        <v>477.28</v>
      </c>
      <c r="F228" s="60">
        <v>95.62</v>
      </c>
      <c r="G228" s="60">
        <v>572.9</v>
      </c>
      <c r="H228" s="61">
        <v>6204.6399999999994</v>
      </c>
      <c r="I228" s="61">
        <v>1243.06</v>
      </c>
      <c r="J228" s="62">
        <v>7447.7</v>
      </c>
      <c r="M228" s="75"/>
      <c r="N228" s="76"/>
      <c r="V228" s="56">
        <v>11</v>
      </c>
      <c r="W228" s="56" t="s">
        <v>71</v>
      </c>
      <c r="X228" s="64">
        <v>342.67</v>
      </c>
      <c r="Y228" s="64">
        <v>82.26</v>
      </c>
      <c r="Z228" s="64">
        <f t="shared" si="25"/>
        <v>424.93</v>
      </c>
      <c r="AB228" s="56">
        <v>11</v>
      </c>
      <c r="AC228" s="56" t="s">
        <v>71</v>
      </c>
      <c r="AD228" s="64">
        <v>436.9</v>
      </c>
      <c r="AE228" s="64">
        <v>104.88</v>
      </c>
      <c r="AF228" s="64">
        <f t="shared" si="26"/>
        <v>541.78</v>
      </c>
      <c r="AH228" s="65">
        <f t="shared" si="27"/>
        <v>9.242389562829012E-2</v>
      </c>
      <c r="AI228" s="65">
        <f t="shared" si="27"/>
        <v>-8.8291380625476701E-2</v>
      </c>
      <c r="AJ228" s="65">
        <f t="shared" si="27"/>
        <v>5.7440289416368362E-2</v>
      </c>
    </row>
    <row r="229" spans="1:36" x14ac:dyDescent="0.3">
      <c r="A229" s="78" t="s">
        <v>481</v>
      </c>
      <c r="B229" s="58" t="s">
        <v>482</v>
      </c>
      <c r="C229" s="59">
        <v>3</v>
      </c>
      <c r="D229" s="60" t="s">
        <v>483</v>
      </c>
      <c r="E229" s="60">
        <v>193.31</v>
      </c>
      <c r="F229" s="60">
        <v>50.3</v>
      </c>
      <c r="G229" s="60">
        <v>243.61</v>
      </c>
      <c r="H229" s="61">
        <v>579.93000000000006</v>
      </c>
      <c r="I229" s="61">
        <v>150.89999999999998</v>
      </c>
      <c r="J229" s="62">
        <v>730.83</v>
      </c>
      <c r="M229" s="75"/>
      <c r="N229" s="76"/>
      <c r="V229" s="56">
        <v>9</v>
      </c>
      <c r="W229" s="56" t="s">
        <v>483</v>
      </c>
      <c r="X229" s="64">
        <v>100.42</v>
      </c>
      <c r="Y229" s="64">
        <v>45.47</v>
      </c>
      <c r="Z229" s="64">
        <f t="shared" si="25"/>
        <v>145.88999999999999</v>
      </c>
      <c r="AB229" s="56">
        <v>9</v>
      </c>
      <c r="AC229" s="56" t="s">
        <v>483</v>
      </c>
      <c r="AD229" s="64">
        <v>128.04</v>
      </c>
      <c r="AE229" s="64">
        <v>57.97</v>
      </c>
      <c r="AF229" s="64">
        <f t="shared" si="26"/>
        <v>186.01</v>
      </c>
      <c r="AH229" s="65">
        <f t="shared" si="27"/>
        <v>0.50976257419556403</v>
      </c>
      <c r="AI229" s="65">
        <f t="shared" si="27"/>
        <v>-0.13230981542176989</v>
      </c>
      <c r="AJ229" s="65">
        <f t="shared" si="27"/>
        <v>0.3096607709262944</v>
      </c>
    </row>
    <row r="230" spans="1:36" x14ac:dyDescent="0.3">
      <c r="A230" s="78" t="s">
        <v>484</v>
      </c>
      <c r="B230" s="58" t="s">
        <v>485</v>
      </c>
      <c r="C230" s="59">
        <v>23</v>
      </c>
      <c r="D230" s="60" t="s">
        <v>71</v>
      </c>
      <c r="E230" s="60">
        <v>157.69999999999999</v>
      </c>
      <c r="F230" s="60">
        <v>9.58</v>
      </c>
      <c r="G230" s="60">
        <v>167.28</v>
      </c>
      <c r="H230" s="61">
        <v>3627.1</v>
      </c>
      <c r="I230" s="61">
        <v>220.34</v>
      </c>
      <c r="J230" s="62">
        <v>3847.44</v>
      </c>
      <c r="M230" s="75"/>
      <c r="N230" s="76"/>
      <c r="V230" s="56">
        <v>15</v>
      </c>
      <c r="W230" s="56" t="s">
        <v>71</v>
      </c>
      <c r="X230" s="64">
        <v>180</v>
      </c>
      <c r="Y230" s="64">
        <v>8.02</v>
      </c>
      <c r="Z230" s="64">
        <f t="shared" si="25"/>
        <v>188.02</v>
      </c>
      <c r="AB230" s="56">
        <v>15</v>
      </c>
      <c r="AC230" s="56" t="s">
        <v>71</v>
      </c>
      <c r="AD230" s="64">
        <v>229.5</v>
      </c>
      <c r="AE230" s="64">
        <v>10.23</v>
      </c>
      <c r="AF230" s="64">
        <f t="shared" si="26"/>
        <v>239.73</v>
      </c>
      <c r="AH230" s="65">
        <f t="shared" si="27"/>
        <v>-0.3128540305010894</v>
      </c>
      <c r="AI230" s="65">
        <f t="shared" si="27"/>
        <v>-6.3538611925708754E-2</v>
      </c>
      <c r="AJ230" s="65">
        <f t="shared" si="27"/>
        <v>-0.30221499186584899</v>
      </c>
    </row>
    <row r="231" spans="1:36" x14ac:dyDescent="0.3">
      <c r="A231" s="78" t="s">
        <v>486</v>
      </c>
      <c r="B231" s="58" t="s">
        <v>487</v>
      </c>
      <c r="C231" s="59">
        <v>1</v>
      </c>
      <c r="D231" s="60" t="s">
        <v>71</v>
      </c>
      <c r="E231" s="60">
        <v>249.69</v>
      </c>
      <c r="F231" s="60">
        <v>9.58</v>
      </c>
      <c r="G231" s="60">
        <v>259.27</v>
      </c>
      <c r="H231" s="61">
        <v>249.69</v>
      </c>
      <c r="I231" s="61">
        <v>9.58</v>
      </c>
      <c r="J231" s="62">
        <v>259.27</v>
      </c>
      <c r="M231" s="75"/>
      <c r="N231" s="76"/>
      <c r="V231" s="56">
        <v>1</v>
      </c>
      <c r="W231" s="56" t="s">
        <v>71</v>
      </c>
      <c r="X231" s="64">
        <v>285</v>
      </c>
      <c r="Y231" s="64">
        <v>8.02</v>
      </c>
      <c r="Z231" s="64">
        <f t="shared" si="25"/>
        <v>293.02</v>
      </c>
      <c r="AB231" s="56">
        <v>1</v>
      </c>
      <c r="AC231" s="56" t="s">
        <v>71</v>
      </c>
      <c r="AD231" s="64">
        <v>363.38</v>
      </c>
      <c r="AE231" s="64">
        <v>10.23</v>
      </c>
      <c r="AF231" s="64">
        <f t="shared" si="26"/>
        <v>373.61</v>
      </c>
      <c r="AH231" s="65">
        <f t="shared" si="27"/>
        <v>-0.3128680719907535</v>
      </c>
      <c r="AI231" s="65">
        <f t="shared" si="27"/>
        <v>-6.3538611925708754E-2</v>
      </c>
      <c r="AJ231" s="65">
        <f t="shared" si="27"/>
        <v>-0.30604105885816768</v>
      </c>
    </row>
    <row r="232" spans="1:36" x14ac:dyDescent="0.3">
      <c r="A232" s="78" t="s">
        <v>488</v>
      </c>
      <c r="B232" s="58" t="s">
        <v>489</v>
      </c>
      <c r="C232" s="59">
        <v>1</v>
      </c>
      <c r="D232" s="60" t="s">
        <v>483</v>
      </c>
      <c r="E232" s="60">
        <v>23.65</v>
      </c>
      <c r="F232" s="60">
        <v>9.58</v>
      </c>
      <c r="G232" s="60">
        <v>33.229999999999997</v>
      </c>
      <c r="H232" s="61">
        <v>23.65</v>
      </c>
      <c r="I232" s="61">
        <v>9.58</v>
      </c>
      <c r="J232" s="62">
        <v>33.229999999999997</v>
      </c>
      <c r="M232" s="75"/>
      <c r="N232" s="76"/>
      <c r="V232" s="56">
        <v>1</v>
      </c>
      <c r="W232" s="56" t="s">
        <v>483</v>
      </c>
      <c r="X232" s="64">
        <v>27</v>
      </c>
      <c r="Y232" s="64">
        <v>8.02</v>
      </c>
      <c r="Z232" s="64">
        <f t="shared" si="25"/>
        <v>35.019999999999996</v>
      </c>
      <c r="AB232" s="56">
        <v>1</v>
      </c>
      <c r="AC232" s="56" t="s">
        <v>483</v>
      </c>
      <c r="AD232" s="64">
        <v>34.43</v>
      </c>
      <c r="AE232" s="64">
        <v>10.23</v>
      </c>
      <c r="AF232" s="64">
        <f t="shared" si="26"/>
        <v>44.66</v>
      </c>
      <c r="AH232" s="65">
        <f t="shared" si="27"/>
        <v>-0.3130990415335464</v>
      </c>
      <c r="AI232" s="65">
        <f t="shared" si="27"/>
        <v>-6.3538611925708754E-2</v>
      </c>
      <c r="AJ232" s="65">
        <f t="shared" si="27"/>
        <v>-0.25593372145096283</v>
      </c>
    </row>
    <row r="233" spans="1:36" x14ac:dyDescent="0.3">
      <c r="A233" s="78" t="s">
        <v>490</v>
      </c>
      <c r="B233" s="58" t="s">
        <v>491</v>
      </c>
      <c r="C233" s="59">
        <v>1</v>
      </c>
      <c r="D233" s="60" t="s">
        <v>483</v>
      </c>
      <c r="E233" s="60">
        <v>0.86</v>
      </c>
      <c r="F233" s="60">
        <v>4.78</v>
      </c>
      <c r="G233" s="60">
        <v>5.6400000000000006</v>
      </c>
      <c r="H233" s="61">
        <v>0.86</v>
      </c>
      <c r="I233" s="61">
        <v>4.78</v>
      </c>
      <c r="J233" s="62">
        <v>5.6400000000000006</v>
      </c>
      <c r="M233" s="75"/>
      <c r="N233" s="76"/>
      <c r="V233" s="56">
        <v>1</v>
      </c>
      <c r="W233" s="56" t="s">
        <v>483</v>
      </c>
      <c r="X233" s="64">
        <v>1.72</v>
      </c>
      <c r="Y233" s="64">
        <v>4.1100000000000003</v>
      </c>
      <c r="Z233" s="64">
        <f t="shared" si="25"/>
        <v>5.83</v>
      </c>
      <c r="AB233" s="56">
        <v>1</v>
      </c>
      <c r="AC233" s="56" t="s">
        <v>483</v>
      </c>
      <c r="AD233" s="64">
        <v>2.19</v>
      </c>
      <c r="AE233" s="64">
        <v>5.24</v>
      </c>
      <c r="AF233" s="64">
        <f t="shared" si="26"/>
        <v>7.43</v>
      </c>
      <c r="AH233" s="65">
        <f t="shared" si="27"/>
        <v>-0.60730593607305938</v>
      </c>
      <c r="AI233" s="65">
        <f t="shared" si="27"/>
        <v>-8.7786259541984712E-2</v>
      </c>
      <c r="AJ233" s="65">
        <f t="shared" si="27"/>
        <v>-0.24091520861372806</v>
      </c>
    </row>
    <row r="234" spans="1:36" x14ac:dyDescent="0.3">
      <c r="A234" s="69">
        <v>17</v>
      </c>
      <c r="B234" s="70" t="s">
        <v>492</v>
      </c>
      <c r="C234" s="71"/>
      <c r="D234" s="72"/>
      <c r="E234" s="72"/>
      <c r="F234" s="72"/>
      <c r="G234" s="72"/>
      <c r="H234" s="52">
        <v>867363.78999999992</v>
      </c>
      <c r="I234" s="52">
        <v>779417.74000000011</v>
      </c>
      <c r="J234" s="52">
        <v>1646781.53</v>
      </c>
      <c r="M234" s="75"/>
      <c r="N234" s="76"/>
      <c r="V234" s="54"/>
      <c r="W234" s="54"/>
      <c r="X234" s="55"/>
      <c r="Y234" s="55"/>
      <c r="Z234" s="55"/>
      <c r="AB234" s="54"/>
      <c r="AC234" s="54"/>
      <c r="AD234" s="55"/>
      <c r="AE234" s="55"/>
      <c r="AF234" s="55"/>
      <c r="AH234" s="65">
        <f t="shared" si="27"/>
        <v>0</v>
      </c>
      <c r="AI234" s="65">
        <f t="shared" si="27"/>
        <v>0</v>
      </c>
      <c r="AJ234" s="65">
        <f t="shared" si="27"/>
        <v>0</v>
      </c>
    </row>
    <row r="235" spans="1:36" x14ac:dyDescent="0.3">
      <c r="A235" s="78" t="s">
        <v>493</v>
      </c>
      <c r="B235" s="58" t="s">
        <v>494</v>
      </c>
      <c r="C235" s="59">
        <v>4709</v>
      </c>
      <c r="D235" s="60" t="s">
        <v>71</v>
      </c>
      <c r="E235" s="60">
        <v>8.16</v>
      </c>
      <c r="F235" s="60">
        <v>26.51</v>
      </c>
      <c r="G235" s="60">
        <v>34.67</v>
      </c>
      <c r="H235" s="61">
        <v>38425.440000000002</v>
      </c>
      <c r="I235" s="61">
        <v>124835.59000000001</v>
      </c>
      <c r="J235" s="62">
        <v>163261.03</v>
      </c>
      <c r="M235" s="75"/>
      <c r="N235" s="76"/>
      <c r="V235" s="56">
        <v>2129</v>
      </c>
      <c r="W235" s="56" t="s">
        <v>71</v>
      </c>
      <c r="X235" s="64">
        <v>10.63</v>
      </c>
      <c r="Y235" s="64">
        <v>23.89</v>
      </c>
      <c r="Z235" s="64">
        <f t="shared" ref="Z235:Z245" si="28">SUM(X235:Y235)</f>
        <v>34.520000000000003</v>
      </c>
      <c r="AB235" s="56">
        <v>2129</v>
      </c>
      <c r="AC235" s="56" t="s">
        <v>71</v>
      </c>
      <c r="AD235" s="64">
        <v>13.55</v>
      </c>
      <c r="AE235" s="64">
        <v>30.46</v>
      </c>
      <c r="AF235" s="64">
        <f t="shared" ref="AF235:AF245" si="29">SUM(AD235:AE235)</f>
        <v>44.010000000000005</v>
      </c>
      <c r="AH235" s="65">
        <f t="shared" si="27"/>
        <v>-0.39778597785977865</v>
      </c>
      <c r="AI235" s="65">
        <f t="shared" si="27"/>
        <v>-0.12967826657912018</v>
      </c>
      <c r="AJ235" s="65">
        <f t="shared" si="27"/>
        <v>-0.21222449443308344</v>
      </c>
    </row>
    <row r="236" spans="1:36" x14ac:dyDescent="0.3">
      <c r="A236" s="78" t="s">
        <v>495</v>
      </c>
      <c r="B236" s="58" t="s">
        <v>496</v>
      </c>
      <c r="C236" s="59">
        <v>3206</v>
      </c>
      <c r="D236" s="60" t="s">
        <v>71</v>
      </c>
      <c r="E236" s="60">
        <v>3.49</v>
      </c>
      <c r="F236" s="60">
        <v>13.5</v>
      </c>
      <c r="G236" s="60">
        <v>16.990000000000002</v>
      </c>
      <c r="H236" s="61">
        <v>11188.94</v>
      </c>
      <c r="I236" s="61">
        <v>43281</v>
      </c>
      <c r="J236" s="62">
        <v>54469.94000000001</v>
      </c>
      <c r="M236" s="75"/>
      <c r="N236" s="76"/>
      <c r="V236" s="56">
        <v>366</v>
      </c>
      <c r="W236" s="56" t="s">
        <v>71</v>
      </c>
      <c r="X236" s="64">
        <v>4.05</v>
      </c>
      <c r="Y236" s="64">
        <v>12.38</v>
      </c>
      <c r="Z236" s="64">
        <f t="shared" si="28"/>
        <v>16.43</v>
      </c>
      <c r="AB236" s="56">
        <v>366</v>
      </c>
      <c r="AC236" s="56" t="s">
        <v>71</v>
      </c>
      <c r="AD236" s="64">
        <v>5.16</v>
      </c>
      <c r="AE236" s="64">
        <v>15.78</v>
      </c>
      <c r="AF236" s="64">
        <f t="shared" si="29"/>
        <v>20.939999999999998</v>
      </c>
      <c r="AH236" s="65">
        <f t="shared" si="27"/>
        <v>-0.3236434108527132</v>
      </c>
      <c r="AI236" s="65">
        <f t="shared" si="27"/>
        <v>-0.14448669201520914</v>
      </c>
      <c r="AJ236" s="65">
        <f t="shared" si="27"/>
        <v>-0.18863419293218697</v>
      </c>
    </row>
    <row r="237" spans="1:36" x14ac:dyDescent="0.3">
      <c r="A237" s="78" t="s">
        <v>497</v>
      </c>
      <c r="B237" s="58" t="s">
        <v>498</v>
      </c>
      <c r="C237" s="59">
        <v>143</v>
      </c>
      <c r="D237" s="60" t="s">
        <v>71</v>
      </c>
      <c r="E237" s="60">
        <v>14.29</v>
      </c>
      <c r="F237" s="60">
        <v>7.11</v>
      </c>
      <c r="G237" s="60">
        <v>21.4</v>
      </c>
      <c r="H237" s="61">
        <v>2043.4699999999998</v>
      </c>
      <c r="I237" s="61">
        <v>1016.73</v>
      </c>
      <c r="J237" s="62">
        <v>3060.2</v>
      </c>
      <c r="M237" s="75"/>
      <c r="N237" s="76"/>
      <c r="V237" s="56">
        <v>47</v>
      </c>
      <c r="W237" s="56" t="s">
        <v>71</v>
      </c>
      <c r="X237" s="64">
        <v>15.47</v>
      </c>
      <c r="Y237" s="64">
        <v>6.66</v>
      </c>
      <c r="Z237" s="64">
        <f t="shared" si="28"/>
        <v>22.130000000000003</v>
      </c>
      <c r="AB237" s="56">
        <v>47</v>
      </c>
      <c r="AC237" s="56" t="s">
        <v>71</v>
      </c>
      <c r="AD237" s="64">
        <v>19.72</v>
      </c>
      <c r="AE237" s="64">
        <v>8.49</v>
      </c>
      <c r="AF237" s="64">
        <f t="shared" si="29"/>
        <v>28.21</v>
      </c>
      <c r="AH237" s="65">
        <f t="shared" si="27"/>
        <v>-0.27535496957403649</v>
      </c>
      <c r="AI237" s="65">
        <f t="shared" si="27"/>
        <v>-0.16254416961130735</v>
      </c>
      <c r="AJ237" s="65">
        <f t="shared" si="27"/>
        <v>-0.24140375753278986</v>
      </c>
    </row>
    <row r="238" spans="1:36" ht="28.8" x14ac:dyDescent="0.3">
      <c r="A238" s="78" t="s">
        <v>499</v>
      </c>
      <c r="B238" s="58" t="s">
        <v>500</v>
      </c>
      <c r="C238" s="59">
        <v>11107</v>
      </c>
      <c r="D238" s="60" t="s">
        <v>71</v>
      </c>
      <c r="E238" s="60">
        <v>6.68</v>
      </c>
      <c r="F238" s="60">
        <v>7.44</v>
      </c>
      <c r="G238" s="60">
        <v>14.120000000000001</v>
      </c>
      <c r="H238" s="61">
        <v>74194.759999999995</v>
      </c>
      <c r="I238" s="61">
        <v>82636.08</v>
      </c>
      <c r="J238" s="62">
        <v>156830.84</v>
      </c>
      <c r="M238" s="75"/>
      <c r="N238" s="76"/>
      <c r="V238" s="56">
        <v>3406</v>
      </c>
      <c r="W238" s="56" t="s">
        <v>71</v>
      </c>
      <c r="X238" s="64">
        <v>8</v>
      </c>
      <c r="Y238" s="64">
        <v>6.97</v>
      </c>
      <c r="Z238" s="64">
        <f t="shared" si="28"/>
        <v>14.969999999999999</v>
      </c>
      <c r="AB238" s="56">
        <v>3406</v>
      </c>
      <c r="AC238" s="56" t="s">
        <v>71</v>
      </c>
      <c r="AD238" s="64">
        <v>10.199999999999999</v>
      </c>
      <c r="AE238" s="64">
        <v>8.89</v>
      </c>
      <c r="AF238" s="64">
        <f t="shared" si="29"/>
        <v>19.09</v>
      </c>
      <c r="AH238" s="65">
        <f t="shared" si="27"/>
        <v>-0.34509803921568627</v>
      </c>
      <c r="AI238" s="65">
        <f t="shared" si="27"/>
        <v>-0.16310461192350956</v>
      </c>
      <c r="AJ238" s="65">
        <f t="shared" si="27"/>
        <v>-0.26034573074908318</v>
      </c>
    </row>
    <row r="239" spans="1:36" x14ac:dyDescent="0.3">
      <c r="A239" s="78" t="s">
        <v>501</v>
      </c>
      <c r="B239" s="58" t="s">
        <v>502</v>
      </c>
      <c r="C239" s="59">
        <v>1705</v>
      </c>
      <c r="D239" s="60" t="s">
        <v>71</v>
      </c>
      <c r="E239" s="60">
        <v>5.12</v>
      </c>
      <c r="F239" s="60">
        <v>13.5</v>
      </c>
      <c r="G239" s="60">
        <v>18.62</v>
      </c>
      <c r="H239" s="61">
        <v>8729.6</v>
      </c>
      <c r="I239" s="61">
        <v>23017.5</v>
      </c>
      <c r="J239" s="62">
        <v>31747.100000000002</v>
      </c>
      <c r="M239" s="75"/>
      <c r="N239" s="76"/>
      <c r="V239" s="56">
        <v>386</v>
      </c>
      <c r="W239" s="56" t="s">
        <v>71</v>
      </c>
      <c r="X239" s="64">
        <v>6.23</v>
      </c>
      <c r="Y239" s="64">
        <v>12.38</v>
      </c>
      <c r="Z239" s="64">
        <f t="shared" si="28"/>
        <v>18.61</v>
      </c>
      <c r="AB239" s="56">
        <v>386</v>
      </c>
      <c r="AC239" s="56" t="s">
        <v>71</v>
      </c>
      <c r="AD239" s="64">
        <v>7.94</v>
      </c>
      <c r="AE239" s="64">
        <v>15.78</v>
      </c>
      <c r="AF239" s="64">
        <f t="shared" si="29"/>
        <v>23.72</v>
      </c>
      <c r="AH239" s="65">
        <f t="shared" si="27"/>
        <v>-0.35516372795969775</v>
      </c>
      <c r="AI239" s="65">
        <f t="shared" si="27"/>
        <v>-0.14448669201520914</v>
      </c>
      <c r="AJ239" s="65">
        <f t="shared" si="27"/>
        <v>-0.21500843170320394</v>
      </c>
    </row>
    <row r="240" spans="1:36" ht="28.8" x14ac:dyDescent="0.3">
      <c r="A240" s="78" t="s">
        <v>503</v>
      </c>
      <c r="B240" s="58" t="s">
        <v>504</v>
      </c>
      <c r="C240" s="59">
        <v>50876</v>
      </c>
      <c r="D240" s="60" t="s">
        <v>71</v>
      </c>
      <c r="E240" s="60">
        <v>13.58</v>
      </c>
      <c r="F240" s="60">
        <v>8.5399999999999991</v>
      </c>
      <c r="G240" s="60">
        <v>22.119999999999997</v>
      </c>
      <c r="H240" s="61">
        <v>690896.08</v>
      </c>
      <c r="I240" s="61">
        <v>434481.04</v>
      </c>
      <c r="J240" s="62">
        <v>1125377.1199999999</v>
      </c>
      <c r="M240" s="75"/>
      <c r="N240" s="76"/>
      <c r="V240" s="56">
        <v>31290</v>
      </c>
      <c r="W240" s="56" t="s">
        <v>71</v>
      </c>
      <c r="X240" s="64">
        <v>16.350000000000001</v>
      </c>
      <c r="Y240" s="64">
        <v>8</v>
      </c>
      <c r="Z240" s="64">
        <f t="shared" si="28"/>
        <v>24.35</v>
      </c>
      <c r="AB240" s="56">
        <v>31290</v>
      </c>
      <c r="AC240" s="56" t="s">
        <v>71</v>
      </c>
      <c r="AD240" s="64">
        <v>20.85</v>
      </c>
      <c r="AE240" s="64">
        <v>10.199999999999999</v>
      </c>
      <c r="AF240" s="64">
        <f t="shared" si="29"/>
        <v>31.05</v>
      </c>
      <c r="AH240" s="65">
        <f t="shared" si="27"/>
        <v>-0.34868105515587533</v>
      </c>
      <c r="AI240" s="65">
        <f t="shared" si="27"/>
        <v>-0.16274509803921566</v>
      </c>
      <c r="AJ240" s="65">
        <f t="shared" si="27"/>
        <v>-0.2876006441223834</v>
      </c>
    </row>
    <row r="241" spans="1:36" x14ac:dyDescent="0.3">
      <c r="A241" s="78" t="s">
        <v>505</v>
      </c>
      <c r="B241" s="58" t="s">
        <v>506</v>
      </c>
      <c r="C241" s="59">
        <v>1553</v>
      </c>
      <c r="D241" s="60" t="s">
        <v>71</v>
      </c>
      <c r="E241" s="60">
        <v>15.73</v>
      </c>
      <c r="F241" s="60">
        <v>20.010000000000002</v>
      </c>
      <c r="G241" s="60">
        <v>35.74</v>
      </c>
      <c r="H241" s="61">
        <v>24428.690000000002</v>
      </c>
      <c r="I241" s="61">
        <v>31075.530000000002</v>
      </c>
      <c r="J241" s="62">
        <v>55504.22</v>
      </c>
      <c r="M241" s="75"/>
      <c r="N241" s="76"/>
      <c r="V241" s="56">
        <v>419</v>
      </c>
      <c r="W241" s="56" t="s">
        <v>71</v>
      </c>
      <c r="X241" s="64">
        <v>18.84</v>
      </c>
      <c r="Y241" s="64">
        <v>18.13</v>
      </c>
      <c r="Z241" s="64">
        <f t="shared" si="28"/>
        <v>36.97</v>
      </c>
      <c r="AB241" s="56">
        <v>419</v>
      </c>
      <c r="AC241" s="56" t="s">
        <v>71</v>
      </c>
      <c r="AD241" s="64">
        <v>24.02</v>
      </c>
      <c r="AE241" s="64">
        <v>23.12</v>
      </c>
      <c r="AF241" s="64">
        <f t="shared" si="29"/>
        <v>47.14</v>
      </c>
      <c r="AH241" s="65">
        <f t="shared" si="27"/>
        <v>-0.3451290591174021</v>
      </c>
      <c r="AI241" s="65">
        <f t="shared" si="27"/>
        <v>-0.13451557093425603</v>
      </c>
      <c r="AJ241" s="65">
        <f t="shared" si="27"/>
        <v>-0.24183283835383962</v>
      </c>
    </row>
    <row r="242" spans="1:36" ht="14.4" customHeight="1" x14ac:dyDescent="0.3">
      <c r="A242" s="78" t="s">
        <v>507</v>
      </c>
      <c r="B242" s="58" t="s">
        <v>508</v>
      </c>
      <c r="C242" s="59">
        <v>1270</v>
      </c>
      <c r="D242" s="60" t="s">
        <v>71</v>
      </c>
      <c r="E242" s="60">
        <v>6.26</v>
      </c>
      <c r="F242" s="60">
        <v>22.42</v>
      </c>
      <c r="G242" s="60">
        <v>28.68</v>
      </c>
      <c r="H242" s="61">
        <v>7950.2</v>
      </c>
      <c r="I242" s="61">
        <v>28473.4</v>
      </c>
      <c r="J242" s="62">
        <v>36423.599999999999</v>
      </c>
      <c r="M242" s="75"/>
      <c r="N242" s="76"/>
      <c r="V242" s="56">
        <v>314</v>
      </c>
      <c r="W242" s="56" t="s">
        <v>71</v>
      </c>
      <c r="X242" s="64">
        <v>7.56</v>
      </c>
      <c r="Y242" s="64">
        <v>20.57</v>
      </c>
      <c r="Z242" s="64">
        <f t="shared" si="28"/>
        <v>28.13</v>
      </c>
      <c r="AB242" s="56">
        <v>314</v>
      </c>
      <c r="AC242" s="56" t="s">
        <v>71</v>
      </c>
      <c r="AD242" s="64">
        <v>9.64</v>
      </c>
      <c r="AE242" s="64">
        <v>26.23</v>
      </c>
      <c r="AF242" s="64">
        <f t="shared" si="29"/>
        <v>35.870000000000005</v>
      </c>
      <c r="AH242" s="65">
        <f t="shared" si="27"/>
        <v>-0.35062240663900424</v>
      </c>
      <c r="AI242" s="65">
        <f t="shared" si="27"/>
        <v>-0.14525352649637813</v>
      </c>
      <c r="AJ242" s="65">
        <f t="shared" si="27"/>
        <v>-0.20044605519933101</v>
      </c>
    </row>
    <row r="243" spans="1:36" x14ac:dyDescent="0.3">
      <c r="A243" s="78" t="s">
        <v>509</v>
      </c>
      <c r="B243" s="58" t="s">
        <v>510</v>
      </c>
      <c r="C243" s="59">
        <v>499</v>
      </c>
      <c r="D243" s="60" t="s">
        <v>71</v>
      </c>
      <c r="E243" s="60">
        <v>19.010000000000002</v>
      </c>
      <c r="F243" s="60">
        <v>21.21</v>
      </c>
      <c r="G243" s="60">
        <v>40.22</v>
      </c>
      <c r="H243" s="61">
        <v>9485.9900000000016</v>
      </c>
      <c r="I243" s="61">
        <v>10583.79</v>
      </c>
      <c r="J243" s="62">
        <v>20069.78</v>
      </c>
      <c r="M243" s="75"/>
      <c r="N243" s="76"/>
      <c r="V243" s="56">
        <v>515</v>
      </c>
      <c r="W243" s="56" t="s">
        <v>71</v>
      </c>
      <c r="X243" s="64">
        <v>22.78</v>
      </c>
      <c r="Y243" s="64">
        <v>19.11</v>
      </c>
      <c r="Z243" s="64">
        <f t="shared" si="28"/>
        <v>41.89</v>
      </c>
      <c r="AB243" s="56">
        <v>515</v>
      </c>
      <c r="AC243" s="56" t="s">
        <v>71</v>
      </c>
      <c r="AD243" s="64">
        <v>29.04</v>
      </c>
      <c r="AE243" s="64">
        <v>24.37</v>
      </c>
      <c r="AF243" s="64">
        <f t="shared" si="29"/>
        <v>53.41</v>
      </c>
      <c r="AH243" s="65">
        <f t="shared" si="27"/>
        <v>-0.34538567493112937</v>
      </c>
      <c r="AI243" s="65">
        <f t="shared" si="27"/>
        <v>-0.12966762412802624</v>
      </c>
      <c r="AJ243" s="65">
        <f t="shared" si="27"/>
        <v>-0.24695749859576854</v>
      </c>
    </row>
    <row r="244" spans="1:36" ht="28.8" x14ac:dyDescent="0.3">
      <c r="A244" s="78" t="s">
        <v>511</v>
      </c>
      <c r="B244" s="58" t="s">
        <v>512</v>
      </c>
      <c r="C244" s="59">
        <v>1</v>
      </c>
      <c r="D244" s="60" t="s">
        <v>71</v>
      </c>
      <c r="E244" s="60">
        <v>4.18</v>
      </c>
      <c r="F244" s="60">
        <v>8.5399999999999991</v>
      </c>
      <c r="G244" s="60">
        <v>12.719999999999999</v>
      </c>
      <c r="H244" s="61">
        <v>4.18</v>
      </c>
      <c r="I244" s="61">
        <v>8.5399999999999991</v>
      </c>
      <c r="J244" s="62">
        <v>12.719999999999999</v>
      </c>
      <c r="M244" s="75"/>
      <c r="N244" s="76"/>
      <c r="V244" s="56">
        <v>1</v>
      </c>
      <c r="W244" s="56" t="s">
        <v>71</v>
      </c>
      <c r="X244" s="64">
        <v>5.01</v>
      </c>
      <c r="Y244" s="64">
        <v>8</v>
      </c>
      <c r="Z244" s="64">
        <f t="shared" si="28"/>
        <v>13.01</v>
      </c>
      <c r="AB244" s="56">
        <v>1</v>
      </c>
      <c r="AC244" s="56" t="s">
        <v>71</v>
      </c>
      <c r="AD244" s="64">
        <v>6.39</v>
      </c>
      <c r="AE244" s="64">
        <v>10.199999999999999</v>
      </c>
      <c r="AF244" s="64">
        <f t="shared" si="29"/>
        <v>16.59</v>
      </c>
      <c r="AH244" s="65">
        <f t="shared" si="27"/>
        <v>-0.34585289514866979</v>
      </c>
      <c r="AI244" s="65">
        <f t="shared" si="27"/>
        <v>-0.16274509803921566</v>
      </c>
      <c r="AJ244" s="65">
        <f t="shared" si="27"/>
        <v>-0.2332730560578663</v>
      </c>
    </row>
    <row r="245" spans="1:36" ht="28.8" x14ac:dyDescent="0.3">
      <c r="A245" s="78" t="s">
        <v>513</v>
      </c>
      <c r="B245" s="58" t="s">
        <v>514</v>
      </c>
      <c r="C245" s="59">
        <v>1</v>
      </c>
      <c r="D245" s="60" t="s">
        <v>71</v>
      </c>
      <c r="E245" s="60">
        <v>16.440000000000001</v>
      </c>
      <c r="F245" s="60">
        <v>8.5399999999999991</v>
      </c>
      <c r="G245" s="60">
        <v>24.98</v>
      </c>
      <c r="H245" s="61">
        <v>16.440000000000001</v>
      </c>
      <c r="I245" s="61">
        <v>8.5399999999999991</v>
      </c>
      <c r="J245" s="62">
        <v>24.98</v>
      </c>
      <c r="M245" s="75"/>
      <c r="N245" s="79"/>
      <c r="V245" s="56">
        <v>1</v>
      </c>
      <c r="W245" s="56" t="s">
        <v>71</v>
      </c>
      <c r="X245" s="64">
        <v>19.8</v>
      </c>
      <c r="Y245" s="64">
        <v>8</v>
      </c>
      <c r="Z245" s="64">
        <f t="shared" si="28"/>
        <v>27.8</v>
      </c>
      <c r="AB245" s="56">
        <v>1</v>
      </c>
      <c r="AC245" s="56" t="s">
        <v>71</v>
      </c>
      <c r="AD245" s="64">
        <v>25.25</v>
      </c>
      <c r="AE245" s="64">
        <v>10.199999999999999</v>
      </c>
      <c r="AF245" s="64">
        <f t="shared" si="29"/>
        <v>35.450000000000003</v>
      </c>
      <c r="AH245" s="65">
        <f t="shared" si="27"/>
        <v>-0.34891089108910889</v>
      </c>
      <c r="AI245" s="65">
        <f t="shared" si="27"/>
        <v>-0.16274509803921566</v>
      </c>
      <c r="AJ245" s="65">
        <f t="shared" si="27"/>
        <v>-0.29534555712270805</v>
      </c>
    </row>
    <row r="246" spans="1:36" x14ac:dyDescent="0.3">
      <c r="A246" s="69">
        <v>18</v>
      </c>
      <c r="B246" s="70" t="s">
        <v>515</v>
      </c>
      <c r="C246" s="71"/>
      <c r="D246" s="72"/>
      <c r="E246" s="72"/>
      <c r="F246" s="72"/>
      <c r="G246" s="72"/>
      <c r="H246" s="77">
        <v>0</v>
      </c>
      <c r="I246" s="77">
        <v>0</v>
      </c>
      <c r="J246" s="52">
        <v>0</v>
      </c>
      <c r="M246" s="75"/>
      <c r="N246" s="76"/>
      <c r="V246" s="54"/>
      <c r="W246" s="54"/>
      <c r="X246" s="55"/>
      <c r="Y246" s="55"/>
      <c r="Z246" s="55"/>
      <c r="AB246" s="54"/>
      <c r="AC246" s="54"/>
      <c r="AD246" s="55"/>
      <c r="AE246" s="55"/>
      <c r="AF246" s="55"/>
      <c r="AH246" s="65">
        <f t="shared" si="27"/>
        <v>0</v>
      </c>
      <c r="AI246" s="65">
        <f t="shared" si="27"/>
        <v>0</v>
      </c>
      <c r="AJ246" s="65">
        <f t="shared" si="27"/>
        <v>0</v>
      </c>
    </row>
    <row r="247" spans="1:36" x14ac:dyDescent="0.3">
      <c r="A247" s="69">
        <v>19</v>
      </c>
      <c r="B247" s="70" t="s">
        <v>516</v>
      </c>
      <c r="C247" s="71"/>
      <c r="D247" s="72"/>
      <c r="E247" s="72"/>
      <c r="F247" s="72"/>
      <c r="G247" s="72"/>
      <c r="H247" s="52">
        <v>1792557.9800000002</v>
      </c>
      <c r="I247" s="52">
        <v>685371.42000000039</v>
      </c>
      <c r="J247" s="52">
        <v>2477929.4000000013</v>
      </c>
      <c r="M247" s="75"/>
      <c r="N247" s="76"/>
      <c r="V247" s="54"/>
      <c r="W247" s="54"/>
      <c r="X247" s="55"/>
      <c r="Y247" s="55"/>
      <c r="Z247" s="55"/>
      <c r="AB247" s="54"/>
      <c r="AC247" s="54"/>
      <c r="AD247" s="55"/>
      <c r="AE247" s="55"/>
      <c r="AF247" s="55"/>
      <c r="AH247" s="65">
        <f t="shared" si="27"/>
        <v>0</v>
      </c>
      <c r="AI247" s="65">
        <f t="shared" si="27"/>
        <v>0</v>
      </c>
      <c r="AJ247" s="65">
        <f t="shared" si="27"/>
        <v>0</v>
      </c>
    </row>
    <row r="248" spans="1:36" x14ac:dyDescent="0.3">
      <c r="A248" s="78" t="s">
        <v>517</v>
      </c>
      <c r="B248" s="81" t="s">
        <v>518</v>
      </c>
      <c r="C248" s="59">
        <v>124</v>
      </c>
      <c r="D248" s="60" t="s">
        <v>57</v>
      </c>
      <c r="E248" s="60">
        <v>33</v>
      </c>
      <c r="F248" s="60">
        <v>25.73</v>
      </c>
      <c r="G248" s="60">
        <v>58.730000000000004</v>
      </c>
      <c r="H248" s="61">
        <v>4092</v>
      </c>
      <c r="I248" s="61">
        <v>3190.52</v>
      </c>
      <c r="J248" s="62">
        <v>7282.52</v>
      </c>
      <c r="M248" s="75"/>
      <c r="N248" s="76"/>
      <c r="V248" s="56">
        <v>43</v>
      </c>
      <c r="W248" s="56" t="s">
        <v>57</v>
      </c>
      <c r="X248" s="64">
        <v>37.54</v>
      </c>
      <c r="Y248" s="64">
        <v>20.61</v>
      </c>
      <c r="Z248" s="64">
        <f t="shared" ref="Z248:Z311" si="30">SUM(X248:Y248)</f>
        <v>58.15</v>
      </c>
      <c r="AB248" s="56">
        <v>43</v>
      </c>
      <c r="AC248" s="56" t="s">
        <v>57</v>
      </c>
      <c r="AD248" s="64">
        <v>47.86</v>
      </c>
      <c r="AE248" s="64">
        <v>26.28</v>
      </c>
      <c r="AF248" s="64">
        <f t="shared" ref="AF248:AF311" si="31">SUM(AD248:AE248)</f>
        <v>74.14</v>
      </c>
      <c r="AH248" s="65">
        <f t="shared" si="27"/>
        <v>-0.31048892603426659</v>
      </c>
      <c r="AI248" s="65">
        <f t="shared" si="27"/>
        <v>-2.0928462709284612E-2</v>
      </c>
      <c r="AJ248" s="65">
        <f t="shared" si="27"/>
        <v>-0.20785001348799559</v>
      </c>
    </row>
    <row r="249" spans="1:36" x14ac:dyDescent="0.3">
      <c r="A249" s="78" t="s">
        <v>519</v>
      </c>
      <c r="B249" s="81" t="s">
        <v>520</v>
      </c>
      <c r="C249" s="59">
        <v>1634</v>
      </c>
      <c r="D249" s="60" t="s">
        <v>87</v>
      </c>
      <c r="E249" s="60">
        <v>16.670000000000002</v>
      </c>
      <c r="F249" s="60">
        <v>6.13</v>
      </c>
      <c r="G249" s="60">
        <v>22.8</v>
      </c>
      <c r="H249" s="61">
        <v>27238.780000000002</v>
      </c>
      <c r="I249" s="61">
        <v>10016.42</v>
      </c>
      <c r="J249" s="62">
        <v>37255.200000000004</v>
      </c>
      <c r="M249" s="75"/>
      <c r="N249" s="76"/>
      <c r="V249" s="56">
        <v>252</v>
      </c>
      <c r="W249" s="56" t="s">
        <v>87</v>
      </c>
      <c r="X249" s="64">
        <v>19.760000000000002</v>
      </c>
      <c r="Y249" s="64">
        <v>4.91</v>
      </c>
      <c r="Z249" s="64">
        <f t="shared" si="30"/>
        <v>24.67</v>
      </c>
      <c r="AB249" s="56">
        <v>252</v>
      </c>
      <c r="AC249" s="56" t="s">
        <v>87</v>
      </c>
      <c r="AD249" s="64">
        <v>25.19</v>
      </c>
      <c r="AE249" s="64">
        <v>6.26</v>
      </c>
      <c r="AF249" s="64">
        <f t="shared" si="31"/>
        <v>31.450000000000003</v>
      </c>
      <c r="AH249" s="65">
        <f t="shared" si="27"/>
        <v>-0.33822945613338617</v>
      </c>
      <c r="AI249" s="65">
        <f t="shared" si="27"/>
        <v>-2.0766773162939289E-2</v>
      </c>
      <c r="AJ249" s="65">
        <f t="shared" si="27"/>
        <v>-0.27503974562798095</v>
      </c>
    </row>
    <row r="250" spans="1:36" x14ac:dyDescent="0.3">
      <c r="A250" s="78" t="s">
        <v>521</v>
      </c>
      <c r="B250" s="81" t="s">
        <v>522</v>
      </c>
      <c r="C250" s="59">
        <v>373</v>
      </c>
      <c r="D250" s="60" t="s">
        <v>57</v>
      </c>
      <c r="E250" s="60">
        <v>11.87</v>
      </c>
      <c r="F250" s="60">
        <v>12.86</v>
      </c>
      <c r="G250" s="60">
        <v>24.729999999999997</v>
      </c>
      <c r="H250" s="61">
        <v>4427.5099999999993</v>
      </c>
      <c r="I250" s="61">
        <v>4796.78</v>
      </c>
      <c r="J250" s="62">
        <v>9224.2899999999991</v>
      </c>
      <c r="M250" s="75"/>
      <c r="N250" s="76"/>
      <c r="V250" s="56">
        <v>551</v>
      </c>
      <c r="W250" s="56" t="s">
        <v>57</v>
      </c>
      <c r="X250" s="64">
        <v>13.67</v>
      </c>
      <c r="Y250" s="64">
        <v>10.31</v>
      </c>
      <c r="Z250" s="64">
        <f t="shared" si="30"/>
        <v>23.98</v>
      </c>
      <c r="AB250" s="56">
        <v>551</v>
      </c>
      <c r="AC250" s="56" t="s">
        <v>57</v>
      </c>
      <c r="AD250" s="64">
        <v>17.43</v>
      </c>
      <c r="AE250" s="64">
        <v>13.15</v>
      </c>
      <c r="AF250" s="64">
        <f t="shared" si="31"/>
        <v>30.58</v>
      </c>
      <c r="AH250" s="65">
        <f t="shared" si="27"/>
        <v>-0.31899024670109011</v>
      </c>
      <c r="AI250" s="65">
        <f t="shared" si="27"/>
        <v>-2.2053231939163531E-2</v>
      </c>
      <c r="AJ250" s="65">
        <f t="shared" si="27"/>
        <v>-0.19130150425114456</v>
      </c>
    </row>
    <row r="251" spans="1:36" x14ac:dyDescent="0.3">
      <c r="A251" s="78" t="s">
        <v>523</v>
      </c>
      <c r="B251" s="81" t="s">
        <v>524</v>
      </c>
      <c r="C251" s="59">
        <v>4755</v>
      </c>
      <c r="D251" s="60" t="s">
        <v>87</v>
      </c>
      <c r="E251" s="60">
        <v>38.96</v>
      </c>
      <c r="F251" s="60">
        <v>6.13</v>
      </c>
      <c r="G251" s="60">
        <v>45.09</v>
      </c>
      <c r="H251" s="61">
        <v>185254.80000000002</v>
      </c>
      <c r="I251" s="61">
        <v>29148.149999999998</v>
      </c>
      <c r="J251" s="62">
        <v>214402.95</v>
      </c>
      <c r="M251" s="75"/>
      <c r="N251" s="76"/>
      <c r="V251" s="56">
        <v>6310</v>
      </c>
      <c r="W251" s="56" t="s">
        <v>87</v>
      </c>
      <c r="X251" s="64">
        <v>47.32</v>
      </c>
      <c r="Y251" s="64">
        <v>4.91</v>
      </c>
      <c r="Z251" s="64">
        <f t="shared" si="30"/>
        <v>52.230000000000004</v>
      </c>
      <c r="AB251" s="56">
        <v>6310</v>
      </c>
      <c r="AC251" s="56" t="s">
        <v>87</v>
      </c>
      <c r="AD251" s="64">
        <v>60.33</v>
      </c>
      <c r="AE251" s="64">
        <v>6.26</v>
      </c>
      <c r="AF251" s="64">
        <f t="shared" si="31"/>
        <v>66.59</v>
      </c>
      <c r="AH251" s="65">
        <f t="shared" si="27"/>
        <v>-0.35421846510856947</v>
      </c>
      <c r="AI251" s="65">
        <f t="shared" si="27"/>
        <v>-2.0766773162939289E-2</v>
      </c>
      <c r="AJ251" s="65">
        <f t="shared" si="27"/>
        <v>-0.32287130199729686</v>
      </c>
    </row>
    <row r="252" spans="1:36" x14ac:dyDescent="0.3">
      <c r="A252" s="78" t="s">
        <v>525</v>
      </c>
      <c r="B252" s="81" t="s">
        <v>526</v>
      </c>
      <c r="C252" s="59">
        <v>2980</v>
      </c>
      <c r="D252" s="60" t="s">
        <v>87</v>
      </c>
      <c r="E252" s="60">
        <v>41.57</v>
      </c>
      <c r="F252" s="60">
        <v>6.13</v>
      </c>
      <c r="G252" s="60">
        <v>47.7</v>
      </c>
      <c r="H252" s="61">
        <v>123878.6</v>
      </c>
      <c r="I252" s="61">
        <v>18267.400000000001</v>
      </c>
      <c r="J252" s="62">
        <v>142146</v>
      </c>
      <c r="M252" s="75"/>
      <c r="N252" s="76"/>
      <c r="V252" s="56">
        <v>1405</v>
      </c>
      <c r="W252" s="56" t="s">
        <v>87</v>
      </c>
      <c r="X252" s="64">
        <v>48</v>
      </c>
      <c r="Y252" s="64">
        <v>4.91</v>
      </c>
      <c r="Z252" s="64">
        <f t="shared" si="30"/>
        <v>52.91</v>
      </c>
      <c r="AB252" s="56">
        <v>1405</v>
      </c>
      <c r="AC252" s="56" t="s">
        <v>87</v>
      </c>
      <c r="AD252" s="64">
        <v>61.2</v>
      </c>
      <c r="AE252" s="64">
        <v>6.26</v>
      </c>
      <c r="AF252" s="64">
        <f t="shared" si="31"/>
        <v>67.460000000000008</v>
      </c>
      <c r="AH252" s="65">
        <f t="shared" si="27"/>
        <v>-0.32075163398692819</v>
      </c>
      <c r="AI252" s="65">
        <f t="shared" si="27"/>
        <v>-2.0766773162939289E-2</v>
      </c>
      <c r="AJ252" s="65">
        <f t="shared" si="27"/>
        <v>-0.29291431959679815</v>
      </c>
    </row>
    <row r="253" spans="1:36" x14ac:dyDescent="0.3">
      <c r="A253" s="78" t="s">
        <v>527</v>
      </c>
      <c r="B253" s="81" t="s">
        <v>528</v>
      </c>
      <c r="C253" s="59">
        <v>288</v>
      </c>
      <c r="D253" s="60" t="s">
        <v>57</v>
      </c>
      <c r="E253" s="60">
        <v>17.899999999999999</v>
      </c>
      <c r="F253" s="60">
        <v>7.55</v>
      </c>
      <c r="G253" s="60">
        <v>25.45</v>
      </c>
      <c r="H253" s="61">
        <v>5155.2</v>
      </c>
      <c r="I253" s="61">
        <v>2174.4</v>
      </c>
      <c r="J253" s="62">
        <v>7329.5999999999995</v>
      </c>
      <c r="M253" s="75"/>
      <c r="N253" s="76"/>
      <c r="V253" s="56">
        <v>126</v>
      </c>
      <c r="W253" s="56" t="s">
        <v>57</v>
      </c>
      <c r="X253" s="64">
        <v>20.420000000000002</v>
      </c>
      <c r="Y253" s="64">
        <v>5.85</v>
      </c>
      <c r="Z253" s="64">
        <f t="shared" si="30"/>
        <v>26.270000000000003</v>
      </c>
      <c r="AB253" s="56">
        <v>126</v>
      </c>
      <c r="AC253" s="56" t="s">
        <v>57</v>
      </c>
      <c r="AD253" s="64">
        <v>26.04</v>
      </c>
      <c r="AE253" s="64">
        <v>7.46</v>
      </c>
      <c r="AF253" s="64">
        <f t="shared" si="31"/>
        <v>33.5</v>
      </c>
      <c r="AH253" s="65">
        <f t="shared" si="27"/>
        <v>-0.31259600614439331</v>
      </c>
      <c r="AI253" s="65">
        <f t="shared" si="27"/>
        <v>1.2064343163538771E-2</v>
      </c>
      <c r="AJ253" s="65">
        <f t="shared" si="27"/>
        <v>-0.24029850746268655</v>
      </c>
    </row>
    <row r="254" spans="1:36" x14ac:dyDescent="0.3">
      <c r="A254" s="78" t="s">
        <v>529</v>
      </c>
      <c r="B254" s="81" t="s">
        <v>530</v>
      </c>
      <c r="C254" s="59">
        <v>29</v>
      </c>
      <c r="D254" s="60" t="s">
        <v>57</v>
      </c>
      <c r="E254" s="60">
        <v>16.55</v>
      </c>
      <c r="F254" s="60">
        <v>1.75</v>
      </c>
      <c r="G254" s="60">
        <v>18.3</v>
      </c>
      <c r="H254" s="61">
        <v>479.95000000000005</v>
      </c>
      <c r="I254" s="61">
        <v>50.75</v>
      </c>
      <c r="J254" s="62">
        <v>530.70000000000005</v>
      </c>
      <c r="M254" s="75"/>
      <c r="N254" s="76"/>
      <c r="V254" s="56">
        <v>1</v>
      </c>
      <c r="W254" s="56" t="s">
        <v>57</v>
      </c>
      <c r="X254" s="64">
        <v>18.89</v>
      </c>
      <c r="Y254" s="64">
        <v>1.36</v>
      </c>
      <c r="Z254" s="64">
        <f t="shared" si="30"/>
        <v>20.25</v>
      </c>
      <c r="AB254" s="56">
        <v>1</v>
      </c>
      <c r="AC254" s="56" t="s">
        <v>57</v>
      </c>
      <c r="AD254" s="64">
        <v>24.08</v>
      </c>
      <c r="AE254" s="64">
        <v>1.73</v>
      </c>
      <c r="AF254" s="64">
        <f t="shared" si="31"/>
        <v>25.81</v>
      </c>
      <c r="AH254" s="65">
        <f t="shared" si="27"/>
        <v>-0.31270764119601324</v>
      </c>
      <c r="AI254" s="65">
        <f t="shared" si="27"/>
        <v>1.1560693641618602E-2</v>
      </c>
      <c r="AJ254" s="65">
        <f t="shared" si="27"/>
        <v>-0.29097249128244862</v>
      </c>
    </row>
    <row r="255" spans="1:36" x14ac:dyDescent="0.3">
      <c r="A255" s="78" t="s">
        <v>531</v>
      </c>
      <c r="B255" s="81" t="s">
        <v>532</v>
      </c>
      <c r="C255" s="59">
        <v>84</v>
      </c>
      <c r="D255" s="60" t="s">
        <v>57</v>
      </c>
      <c r="E255" s="60">
        <v>94.99</v>
      </c>
      <c r="F255" s="60">
        <v>25.73</v>
      </c>
      <c r="G255" s="60">
        <v>120.72</v>
      </c>
      <c r="H255" s="61">
        <v>7979.16</v>
      </c>
      <c r="I255" s="61">
        <v>2161.3200000000002</v>
      </c>
      <c r="J255" s="62">
        <v>10140.48</v>
      </c>
      <c r="M255" s="75"/>
      <c r="N255" s="79"/>
      <c r="V255" s="56">
        <v>74</v>
      </c>
      <c r="W255" s="56" t="s">
        <v>57</v>
      </c>
      <c r="X255" s="64">
        <v>104.35</v>
      </c>
      <c r="Y255" s="64">
        <v>20.61</v>
      </c>
      <c r="Z255" s="64">
        <f t="shared" si="30"/>
        <v>124.96</v>
      </c>
      <c r="AB255" s="56">
        <v>74</v>
      </c>
      <c r="AC255" s="56" t="s">
        <v>57</v>
      </c>
      <c r="AD255" s="64">
        <v>133.05000000000001</v>
      </c>
      <c r="AE255" s="64">
        <v>26.28</v>
      </c>
      <c r="AF255" s="64">
        <f t="shared" si="31"/>
        <v>159.33000000000001</v>
      </c>
      <c r="AH255" s="65">
        <f t="shared" si="27"/>
        <v>-0.28605787298008278</v>
      </c>
      <c r="AI255" s="65">
        <f t="shared" si="27"/>
        <v>-2.0928462709284612E-2</v>
      </c>
      <c r="AJ255" s="65">
        <f t="shared" si="27"/>
        <v>-0.24232724533986072</v>
      </c>
    </row>
    <row r="256" spans="1:36" x14ac:dyDescent="0.3">
      <c r="A256" s="78" t="s">
        <v>533</v>
      </c>
      <c r="B256" s="81" t="s">
        <v>534</v>
      </c>
      <c r="C256" s="59">
        <v>1771</v>
      </c>
      <c r="D256" s="60" t="s">
        <v>57</v>
      </c>
      <c r="E256" s="60">
        <v>0</v>
      </c>
      <c r="F256" s="60">
        <v>63.55</v>
      </c>
      <c r="G256" s="60">
        <v>63.55</v>
      </c>
      <c r="H256" s="61">
        <v>0</v>
      </c>
      <c r="I256" s="61">
        <v>112547.04999999999</v>
      </c>
      <c r="J256" s="62">
        <v>112547.04999999999</v>
      </c>
      <c r="M256" s="75"/>
      <c r="N256" s="79"/>
      <c r="V256" s="56">
        <v>2754</v>
      </c>
      <c r="W256" s="56" t="s">
        <v>57</v>
      </c>
      <c r="X256" s="64">
        <v>0</v>
      </c>
      <c r="Y256" s="64">
        <v>50.18</v>
      </c>
      <c r="Z256" s="64">
        <f t="shared" si="30"/>
        <v>50.18</v>
      </c>
      <c r="AB256" s="56">
        <v>2754</v>
      </c>
      <c r="AC256" s="56" t="s">
        <v>57</v>
      </c>
      <c r="AD256" s="64">
        <v>0</v>
      </c>
      <c r="AE256" s="64">
        <v>63.98</v>
      </c>
      <c r="AF256" s="64">
        <f t="shared" si="31"/>
        <v>63.98</v>
      </c>
      <c r="AH256" s="65">
        <f t="shared" si="27"/>
        <v>0</v>
      </c>
      <c r="AI256" s="65">
        <f t="shared" si="27"/>
        <v>-6.7208502657080116E-3</v>
      </c>
      <c r="AJ256" s="65">
        <f t="shared" si="27"/>
        <v>-6.7208502657080116E-3</v>
      </c>
    </row>
    <row r="257" spans="1:36" x14ac:dyDescent="0.3">
      <c r="A257" s="78" t="s">
        <v>535</v>
      </c>
      <c r="B257" s="81" t="s">
        <v>536</v>
      </c>
      <c r="C257" s="59">
        <v>295</v>
      </c>
      <c r="D257" s="60" t="s">
        <v>57</v>
      </c>
      <c r="E257" s="60">
        <v>51.66</v>
      </c>
      <c r="F257" s="60">
        <v>12.86</v>
      </c>
      <c r="G257" s="60">
        <v>64.52</v>
      </c>
      <c r="H257" s="61">
        <v>15239.699999999999</v>
      </c>
      <c r="I257" s="61">
        <v>3793.7</v>
      </c>
      <c r="J257" s="62">
        <v>19033.399999999998</v>
      </c>
      <c r="M257" s="75"/>
      <c r="N257" s="76"/>
      <c r="V257" s="56">
        <v>352</v>
      </c>
      <c r="W257" s="56" t="s">
        <v>57</v>
      </c>
      <c r="X257" s="64">
        <v>55.19</v>
      </c>
      <c r="Y257" s="64">
        <v>10.31</v>
      </c>
      <c r="Z257" s="64">
        <f t="shared" si="30"/>
        <v>65.5</v>
      </c>
      <c r="AB257" s="56">
        <v>352</v>
      </c>
      <c r="AC257" s="56" t="s">
        <v>57</v>
      </c>
      <c r="AD257" s="64">
        <v>70.37</v>
      </c>
      <c r="AE257" s="64">
        <v>13.15</v>
      </c>
      <c r="AF257" s="64">
        <f t="shared" si="31"/>
        <v>83.52000000000001</v>
      </c>
      <c r="AH257" s="65">
        <f t="shared" si="27"/>
        <v>-0.26588034673866712</v>
      </c>
      <c r="AI257" s="65">
        <f t="shared" si="27"/>
        <v>-2.2053231939163531E-2</v>
      </c>
      <c r="AJ257" s="65">
        <f t="shared" si="27"/>
        <v>-0.22749042145593878</v>
      </c>
    </row>
    <row r="258" spans="1:36" x14ac:dyDescent="0.3">
      <c r="A258" s="78" t="s">
        <v>537</v>
      </c>
      <c r="B258" s="81" t="s">
        <v>538</v>
      </c>
      <c r="C258" s="59">
        <v>1</v>
      </c>
      <c r="D258" s="60" t="s">
        <v>57</v>
      </c>
      <c r="E258" s="60">
        <v>1018.73</v>
      </c>
      <c r="F258" s="60">
        <v>40.700000000000003</v>
      </c>
      <c r="G258" s="60">
        <v>1059.43</v>
      </c>
      <c r="H258" s="61">
        <v>1018.73</v>
      </c>
      <c r="I258" s="61">
        <v>40.700000000000003</v>
      </c>
      <c r="J258" s="62">
        <v>1059.43</v>
      </c>
      <c r="M258" s="75"/>
      <c r="N258" s="76"/>
      <c r="V258" s="56">
        <v>1</v>
      </c>
      <c r="W258" s="56" t="s">
        <v>57</v>
      </c>
      <c r="X258" s="64">
        <v>1162.79</v>
      </c>
      <c r="Y258" s="64">
        <v>32.75</v>
      </c>
      <c r="Z258" s="64">
        <f t="shared" si="30"/>
        <v>1195.54</v>
      </c>
      <c r="AB258" s="56">
        <v>1</v>
      </c>
      <c r="AC258" s="56" t="s">
        <v>57</v>
      </c>
      <c r="AD258" s="64">
        <v>1482.56</v>
      </c>
      <c r="AE258" s="64">
        <v>41.76</v>
      </c>
      <c r="AF258" s="64">
        <f t="shared" si="31"/>
        <v>1524.32</v>
      </c>
      <c r="AH258" s="65">
        <f t="shared" si="27"/>
        <v>-0.31285748974746386</v>
      </c>
      <c r="AI258" s="65">
        <f t="shared" si="27"/>
        <v>-2.5383141762452044E-2</v>
      </c>
      <c r="AJ258" s="65">
        <f t="shared" si="27"/>
        <v>-0.30498189356565542</v>
      </c>
    </row>
    <row r="259" spans="1:36" x14ac:dyDescent="0.3">
      <c r="A259" s="78" t="s">
        <v>539</v>
      </c>
      <c r="B259" s="81" t="s">
        <v>540</v>
      </c>
      <c r="C259" s="59">
        <v>1</v>
      </c>
      <c r="D259" s="60" t="s">
        <v>57</v>
      </c>
      <c r="E259" s="60">
        <v>273</v>
      </c>
      <c r="F259" s="60">
        <v>252.58</v>
      </c>
      <c r="G259" s="60">
        <v>525.58000000000004</v>
      </c>
      <c r="H259" s="61">
        <v>273</v>
      </c>
      <c r="I259" s="61">
        <v>252.58</v>
      </c>
      <c r="J259" s="62">
        <v>525.58000000000004</v>
      </c>
      <c r="M259" s="75"/>
      <c r="N259" s="76"/>
      <c r="V259" s="56">
        <v>1</v>
      </c>
      <c r="W259" s="56" t="s">
        <v>57</v>
      </c>
      <c r="X259" s="64">
        <v>311.61</v>
      </c>
      <c r="Y259" s="64">
        <v>205.82</v>
      </c>
      <c r="Z259" s="64">
        <f t="shared" si="30"/>
        <v>517.43000000000006</v>
      </c>
      <c r="AB259" s="56">
        <v>1</v>
      </c>
      <c r="AC259" s="56" t="s">
        <v>57</v>
      </c>
      <c r="AD259" s="64">
        <v>397.3</v>
      </c>
      <c r="AE259" s="64">
        <v>262.42</v>
      </c>
      <c r="AF259" s="64">
        <f t="shared" si="31"/>
        <v>659.72</v>
      </c>
      <c r="AH259" s="65">
        <f t="shared" si="27"/>
        <v>-0.31286181726654927</v>
      </c>
      <c r="AI259" s="65">
        <f t="shared" si="27"/>
        <v>-3.7497141986129079E-2</v>
      </c>
      <c r="AJ259" s="65">
        <f t="shared" si="27"/>
        <v>-0.20332868489662281</v>
      </c>
    </row>
    <row r="260" spans="1:36" x14ac:dyDescent="0.3">
      <c r="A260" s="78" t="s">
        <v>541</v>
      </c>
      <c r="B260" s="81" t="s">
        <v>542</v>
      </c>
      <c r="C260" s="59">
        <v>285</v>
      </c>
      <c r="D260" s="60" t="s">
        <v>57</v>
      </c>
      <c r="E260" s="60">
        <v>1682.12</v>
      </c>
      <c r="F260" s="60">
        <v>30.63</v>
      </c>
      <c r="G260" s="60">
        <v>1712.75</v>
      </c>
      <c r="H260" s="61">
        <v>479404.19999999995</v>
      </c>
      <c r="I260" s="61">
        <v>8729.5499999999993</v>
      </c>
      <c r="J260" s="62">
        <v>488133.75</v>
      </c>
      <c r="M260" s="75"/>
      <c r="N260" s="76"/>
      <c r="V260" s="56">
        <v>43</v>
      </c>
      <c r="W260" s="56" t="s">
        <v>57</v>
      </c>
      <c r="X260" s="64">
        <v>1920</v>
      </c>
      <c r="Y260" s="64">
        <v>24.54</v>
      </c>
      <c r="Z260" s="64">
        <f t="shared" si="30"/>
        <v>1944.54</v>
      </c>
      <c r="AB260" s="56">
        <v>43</v>
      </c>
      <c r="AC260" s="56" t="s">
        <v>57</v>
      </c>
      <c r="AD260" s="64">
        <v>2448</v>
      </c>
      <c r="AE260" s="64">
        <v>31.29</v>
      </c>
      <c r="AF260" s="64">
        <f t="shared" si="31"/>
        <v>2479.29</v>
      </c>
      <c r="AH260" s="65">
        <f t="shared" si="27"/>
        <v>-0.31285947712418305</v>
      </c>
      <c r="AI260" s="65">
        <f t="shared" si="27"/>
        <v>-2.1093000958772756E-2</v>
      </c>
      <c r="AJ260" s="65">
        <f t="shared" si="27"/>
        <v>-0.30917722412464854</v>
      </c>
    </row>
    <row r="261" spans="1:36" x14ac:dyDescent="0.3">
      <c r="A261" s="78" t="s">
        <v>543</v>
      </c>
      <c r="B261" s="81" t="s">
        <v>544</v>
      </c>
      <c r="C261" s="59">
        <v>5</v>
      </c>
      <c r="D261" s="60" t="s">
        <v>57</v>
      </c>
      <c r="E261" s="60">
        <v>0</v>
      </c>
      <c r="F261" s="60">
        <v>45.95</v>
      </c>
      <c r="G261" s="60">
        <v>45.95</v>
      </c>
      <c r="H261" s="61">
        <v>0</v>
      </c>
      <c r="I261" s="61">
        <v>229.75</v>
      </c>
      <c r="J261" s="62">
        <v>229.75</v>
      </c>
      <c r="M261" s="75"/>
      <c r="N261" s="76"/>
      <c r="V261" s="56">
        <v>1</v>
      </c>
      <c r="W261" s="56" t="s">
        <v>57</v>
      </c>
      <c r="X261" s="64">
        <v>0</v>
      </c>
      <c r="Y261" s="64">
        <v>36.81</v>
      </c>
      <c r="Z261" s="64">
        <f t="shared" si="30"/>
        <v>36.81</v>
      </c>
      <c r="AB261" s="56">
        <v>1</v>
      </c>
      <c r="AC261" s="56" t="s">
        <v>57</v>
      </c>
      <c r="AD261" s="64">
        <v>0</v>
      </c>
      <c r="AE261" s="64">
        <v>46.93</v>
      </c>
      <c r="AF261" s="64">
        <f t="shared" si="31"/>
        <v>46.93</v>
      </c>
      <c r="AH261" s="65">
        <f t="shared" si="27"/>
        <v>0</v>
      </c>
      <c r="AI261" s="65">
        <f t="shared" si="27"/>
        <v>-2.0882164926486202E-2</v>
      </c>
      <c r="AJ261" s="65">
        <f t="shared" si="27"/>
        <v>-2.0882164926486202E-2</v>
      </c>
    </row>
    <row r="262" spans="1:36" x14ac:dyDescent="0.3">
      <c r="A262" s="78" t="s">
        <v>545</v>
      </c>
      <c r="B262" s="81" t="s">
        <v>546</v>
      </c>
      <c r="C262" s="59">
        <v>68</v>
      </c>
      <c r="D262" s="60" t="s">
        <v>57</v>
      </c>
      <c r="E262" s="60">
        <v>82.32</v>
      </c>
      <c r="F262" s="60">
        <v>20.22</v>
      </c>
      <c r="G262" s="60">
        <v>102.53999999999999</v>
      </c>
      <c r="H262" s="61">
        <v>5597.7599999999993</v>
      </c>
      <c r="I262" s="61">
        <v>1374.96</v>
      </c>
      <c r="J262" s="62">
        <v>6972.7199999999993</v>
      </c>
      <c r="M262" s="75"/>
      <c r="N262" s="76"/>
      <c r="V262" s="56">
        <v>128</v>
      </c>
      <c r="W262" s="56" t="s">
        <v>57</v>
      </c>
      <c r="X262" s="64">
        <v>94.07</v>
      </c>
      <c r="Y262" s="64">
        <v>16.2</v>
      </c>
      <c r="Z262" s="64">
        <f t="shared" si="30"/>
        <v>110.27</v>
      </c>
      <c r="AB262" s="56">
        <v>128</v>
      </c>
      <c r="AC262" s="56" t="s">
        <v>57</v>
      </c>
      <c r="AD262" s="64">
        <v>119.94</v>
      </c>
      <c r="AE262" s="64">
        <v>20.66</v>
      </c>
      <c r="AF262" s="64">
        <f t="shared" si="31"/>
        <v>140.6</v>
      </c>
      <c r="AH262" s="65">
        <f t="shared" si="27"/>
        <v>-0.31365682841420717</v>
      </c>
      <c r="AI262" s="65">
        <f t="shared" si="27"/>
        <v>-2.1297192642788065E-2</v>
      </c>
      <c r="AJ262" s="65">
        <f t="shared" si="27"/>
        <v>-0.27069701280227598</v>
      </c>
    </row>
    <row r="263" spans="1:36" x14ac:dyDescent="0.3">
      <c r="A263" s="78" t="s">
        <v>547</v>
      </c>
      <c r="B263" s="81" t="s">
        <v>548</v>
      </c>
      <c r="C263" s="59">
        <v>2276</v>
      </c>
      <c r="D263" s="60" t="s">
        <v>57</v>
      </c>
      <c r="E263" s="60">
        <v>0</v>
      </c>
      <c r="F263" s="60">
        <v>30.63</v>
      </c>
      <c r="G263" s="60">
        <v>30.63</v>
      </c>
      <c r="H263" s="61">
        <v>0</v>
      </c>
      <c r="I263" s="61">
        <v>69713.88</v>
      </c>
      <c r="J263" s="62">
        <v>69713.88</v>
      </c>
      <c r="M263" s="75"/>
      <c r="N263" s="76"/>
      <c r="V263" s="56">
        <v>1898</v>
      </c>
      <c r="W263" s="56" t="s">
        <v>57</v>
      </c>
      <c r="X263" s="64">
        <v>0</v>
      </c>
      <c r="Y263" s="64">
        <v>24.54</v>
      </c>
      <c r="Z263" s="64">
        <f t="shared" si="30"/>
        <v>24.54</v>
      </c>
      <c r="AB263" s="56">
        <v>1898</v>
      </c>
      <c r="AC263" s="56" t="s">
        <v>57</v>
      </c>
      <c r="AD263" s="64">
        <v>0</v>
      </c>
      <c r="AE263" s="64">
        <v>31.29</v>
      </c>
      <c r="AF263" s="64">
        <f t="shared" si="31"/>
        <v>31.29</v>
      </c>
      <c r="AH263" s="65">
        <f t="shared" si="27"/>
        <v>0</v>
      </c>
      <c r="AI263" s="65">
        <f t="shared" si="27"/>
        <v>-2.1093000958772756E-2</v>
      </c>
      <c r="AJ263" s="65">
        <f t="shared" si="27"/>
        <v>-2.1093000958772756E-2</v>
      </c>
    </row>
    <row r="264" spans="1:36" x14ac:dyDescent="0.3">
      <c r="A264" s="78" t="s">
        <v>549</v>
      </c>
      <c r="B264" s="81" t="s">
        <v>550</v>
      </c>
      <c r="C264" s="59">
        <v>1</v>
      </c>
      <c r="D264" s="60" t="s">
        <v>57</v>
      </c>
      <c r="E264" s="60">
        <v>371.68</v>
      </c>
      <c r="F264" s="60">
        <v>30.63</v>
      </c>
      <c r="G264" s="60">
        <v>402.31</v>
      </c>
      <c r="H264" s="61">
        <v>371.68</v>
      </c>
      <c r="I264" s="61">
        <v>30.63</v>
      </c>
      <c r="J264" s="62">
        <v>402.31</v>
      </c>
      <c r="M264" s="75"/>
      <c r="N264" s="76"/>
      <c r="V264" s="56">
        <v>1</v>
      </c>
      <c r="W264" s="56" t="s">
        <v>57</v>
      </c>
      <c r="X264" s="64">
        <v>424.15</v>
      </c>
      <c r="Y264" s="64">
        <v>24.54</v>
      </c>
      <c r="Z264" s="64">
        <f t="shared" si="30"/>
        <v>448.69</v>
      </c>
      <c r="AB264" s="56">
        <v>1</v>
      </c>
      <c r="AC264" s="56" t="s">
        <v>57</v>
      </c>
      <c r="AD264" s="64">
        <v>540.79</v>
      </c>
      <c r="AE264" s="64">
        <v>31.29</v>
      </c>
      <c r="AF264" s="64">
        <f t="shared" si="31"/>
        <v>572.07999999999993</v>
      </c>
      <c r="AH264" s="65">
        <f t="shared" si="27"/>
        <v>-0.31270918471125575</v>
      </c>
      <c r="AI264" s="65">
        <f t="shared" si="27"/>
        <v>-2.1093000958772756E-2</v>
      </c>
      <c r="AJ264" s="65">
        <f t="shared" si="27"/>
        <v>-0.29675919451824906</v>
      </c>
    </row>
    <row r="265" spans="1:36" x14ac:dyDescent="0.3">
      <c r="A265" s="78" t="s">
        <v>551</v>
      </c>
      <c r="B265" s="81" t="s">
        <v>552</v>
      </c>
      <c r="C265" s="59">
        <v>1</v>
      </c>
      <c r="D265" s="60" t="s">
        <v>57</v>
      </c>
      <c r="E265" s="60">
        <v>33.28</v>
      </c>
      <c r="F265" s="60">
        <v>11.38</v>
      </c>
      <c r="G265" s="60">
        <v>44.660000000000004</v>
      </c>
      <c r="H265" s="61">
        <v>33.28</v>
      </c>
      <c r="I265" s="61">
        <v>11.38</v>
      </c>
      <c r="J265" s="62">
        <v>44.660000000000004</v>
      </c>
      <c r="M265" s="75"/>
      <c r="N265" s="76"/>
      <c r="V265" s="56">
        <v>1</v>
      </c>
      <c r="W265" s="56" t="s">
        <v>57</v>
      </c>
      <c r="X265" s="64">
        <v>37.99</v>
      </c>
      <c r="Y265" s="64">
        <v>8.99</v>
      </c>
      <c r="Z265" s="64">
        <f t="shared" si="30"/>
        <v>46.980000000000004</v>
      </c>
      <c r="AB265" s="56">
        <v>1</v>
      </c>
      <c r="AC265" s="56" t="s">
        <v>57</v>
      </c>
      <c r="AD265" s="64">
        <v>48.44</v>
      </c>
      <c r="AE265" s="64">
        <v>11.46</v>
      </c>
      <c r="AF265" s="64">
        <f t="shared" si="31"/>
        <v>59.9</v>
      </c>
      <c r="AH265" s="65">
        <f t="shared" si="27"/>
        <v>-0.31296449215524358</v>
      </c>
      <c r="AI265" s="65">
        <f t="shared" si="27"/>
        <v>-6.9808027923211613E-3</v>
      </c>
      <c r="AJ265" s="65">
        <f t="shared" si="27"/>
        <v>-0.25442404006677788</v>
      </c>
    </row>
    <row r="266" spans="1:36" x14ac:dyDescent="0.3">
      <c r="A266" s="78" t="s">
        <v>553</v>
      </c>
      <c r="B266" s="81" t="s">
        <v>554</v>
      </c>
      <c r="C266" s="59">
        <v>1249</v>
      </c>
      <c r="D266" s="60" t="s">
        <v>57</v>
      </c>
      <c r="E266" s="60">
        <v>50.45</v>
      </c>
      <c r="F266" s="60">
        <v>17.48</v>
      </c>
      <c r="G266" s="60">
        <v>67.930000000000007</v>
      </c>
      <c r="H266" s="61">
        <v>63012.05</v>
      </c>
      <c r="I266" s="61">
        <v>21832.52</v>
      </c>
      <c r="J266" s="62">
        <v>84844.57</v>
      </c>
      <c r="M266" s="75"/>
      <c r="N266" s="76"/>
      <c r="V266" s="56">
        <v>1925</v>
      </c>
      <c r="W266" s="56" t="s">
        <v>57</v>
      </c>
      <c r="X266" s="64">
        <v>57.59</v>
      </c>
      <c r="Y266" s="64">
        <v>13.55</v>
      </c>
      <c r="Z266" s="64">
        <f t="shared" si="30"/>
        <v>71.14</v>
      </c>
      <c r="AB266" s="56">
        <v>1925</v>
      </c>
      <c r="AC266" s="56" t="s">
        <v>57</v>
      </c>
      <c r="AD266" s="64">
        <v>73.430000000000007</v>
      </c>
      <c r="AE266" s="64">
        <v>17.28</v>
      </c>
      <c r="AF266" s="64">
        <f t="shared" si="31"/>
        <v>90.710000000000008</v>
      </c>
      <c r="AH266" s="65">
        <f t="shared" si="27"/>
        <v>-0.31295110990058561</v>
      </c>
      <c r="AI266" s="65">
        <f t="shared" si="27"/>
        <v>1.1574074074073959E-2</v>
      </c>
      <c r="AJ266" s="65">
        <f t="shared" si="27"/>
        <v>-0.2511299746444714</v>
      </c>
    </row>
    <row r="267" spans="1:36" x14ac:dyDescent="0.3">
      <c r="A267" s="78" t="s">
        <v>555</v>
      </c>
      <c r="B267" s="81" t="s">
        <v>556</v>
      </c>
      <c r="C267" s="59">
        <v>1</v>
      </c>
      <c r="D267" s="60" t="s">
        <v>57</v>
      </c>
      <c r="E267" s="60">
        <v>279.02999999999997</v>
      </c>
      <c r="F267" s="60">
        <v>61.27</v>
      </c>
      <c r="G267" s="60">
        <v>340.29999999999995</v>
      </c>
      <c r="H267" s="61">
        <v>279.02999999999997</v>
      </c>
      <c r="I267" s="61">
        <v>61.27</v>
      </c>
      <c r="J267" s="62">
        <v>340.29999999999995</v>
      </c>
      <c r="M267" s="75"/>
      <c r="N267" s="76"/>
      <c r="V267" s="56">
        <v>1</v>
      </c>
      <c r="W267" s="56" t="s">
        <v>57</v>
      </c>
      <c r="X267" s="64">
        <v>318.49</v>
      </c>
      <c r="Y267" s="64">
        <v>49.08</v>
      </c>
      <c r="Z267" s="64">
        <f t="shared" si="30"/>
        <v>367.57</v>
      </c>
      <c r="AB267" s="56">
        <v>1</v>
      </c>
      <c r="AC267" s="56" t="s">
        <v>57</v>
      </c>
      <c r="AD267" s="64">
        <v>406.07</v>
      </c>
      <c r="AE267" s="64">
        <v>62.58</v>
      </c>
      <c r="AF267" s="64">
        <f t="shared" si="31"/>
        <v>468.65</v>
      </c>
      <c r="AH267" s="65">
        <f t="shared" si="27"/>
        <v>-0.3128524638609107</v>
      </c>
      <c r="AI267" s="65">
        <f t="shared" si="27"/>
        <v>-2.0933205496963758E-2</v>
      </c>
      <c r="AJ267" s="65">
        <f t="shared" si="27"/>
        <v>-0.2738717593086526</v>
      </c>
    </row>
    <row r="268" spans="1:36" x14ac:dyDescent="0.3">
      <c r="A268" s="78" t="s">
        <v>557</v>
      </c>
      <c r="B268" s="81" t="s">
        <v>558</v>
      </c>
      <c r="C268" s="59">
        <v>125</v>
      </c>
      <c r="D268" s="60" t="s">
        <v>57</v>
      </c>
      <c r="E268" s="60">
        <v>192.74</v>
      </c>
      <c r="F268" s="60">
        <v>61.27</v>
      </c>
      <c r="G268" s="60">
        <v>254.01000000000002</v>
      </c>
      <c r="H268" s="61">
        <v>24092.5</v>
      </c>
      <c r="I268" s="61">
        <v>7658.75</v>
      </c>
      <c r="J268" s="62">
        <v>31751.250000000004</v>
      </c>
      <c r="M268" s="75"/>
      <c r="N268" s="76"/>
      <c r="V268" s="56">
        <v>14</v>
      </c>
      <c r="W268" s="56" t="s">
        <v>57</v>
      </c>
      <c r="X268" s="64">
        <v>220</v>
      </c>
      <c r="Y268" s="64">
        <v>49.08</v>
      </c>
      <c r="Z268" s="64">
        <f t="shared" si="30"/>
        <v>269.08</v>
      </c>
      <c r="AB268" s="56">
        <v>14</v>
      </c>
      <c r="AC268" s="56" t="s">
        <v>57</v>
      </c>
      <c r="AD268" s="64">
        <v>280.5</v>
      </c>
      <c r="AE268" s="64">
        <v>62.58</v>
      </c>
      <c r="AF268" s="64">
        <f t="shared" si="31"/>
        <v>343.08</v>
      </c>
      <c r="AH268" s="65">
        <f t="shared" si="27"/>
        <v>-0.3128698752228164</v>
      </c>
      <c r="AI268" s="65">
        <f t="shared" si="27"/>
        <v>-2.0933205496963758E-2</v>
      </c>
      <c r="AJ268" s="65">
        <f t="shared" si="27"/>
        <v>-0.25961874781392091</v>
      </c>
    </row>
    <row r="269" spans="1:36" x14ac:dyDescent="0.3">
      <c r="A269" s="78" t="s">
        <v>559</v>
      </c>
      <c r="B269" s="81" t="s">
        <v>560</v>
      </c>
      <c r="C269" s="59">
        <v>1</v>
      </c>
      <c r="D269" s="60" t="s">
        <v>57</v>
      </c>
      <c r="E269" s="60">
        <v>37.729999999999997</v>
      </c>
      <c r="F269" s="60">
        <v>122.53</v>
      </c>
      <c r="G269" s="60">
        <v>160.26</v>
      </c>
      <c r="H269" s="61">
        <v>37.729999999999997</v>
      </c>
      <c r="I269" s="61">
        <v>122.53</v>
      </c>
      <c r="J269" s="62">
        <v>160.26</v>
      </c>
      <c r="M269" s="75"/>
      <c r="N269" s="76"/>
      <c r="V269" s="56">
        <v>1</v>
      </c>
      <c r="W269" s="56" t="s">
        <v>57</v>
      </c>
      <c r="X269" s="64">
        <v>42.82</v>
      </c>
      <c r="Y269" s="64">
        <v>98.16</v>
      </c>
      <c r="Z269" s="64">
        <f t="shared" si="30"/>
        <v>140.97999999999999</v>
      </c>
      <c r="AB269" s="56">
        <v>1</v>
      </c>
      <c r="AC269" s="56" t="s">
        <v>57</v>
      </c>
      <c r="AD269" s="64">
        <v>54.6</v>
      </c>
      <c r="AE269" s="64">
        <v>125.15</v>
      </c>
      <c r="AF269" s="64">
        <f t="shared" si="31"/>
        <v>179.75</v>
      </c>
      <c r="AH269" s="65">
        <f t="shared" si="27"/>
        <v>-0.3089743589743591</v>
      </c>
      <c r="AI269" s="65">
        <f t="shared" si="27"/>
        <v>-2.0934878146224523E-2</v>
      </c>
      <c r="AJ269" s="65">
        <f t="shared" si="27"/>
        <v>-0.10842837273991657</v>
      </c>
    </row>
    <row r="270" spans="1:36" x14ac:dyDescent="0.3">
      <c r="A270" s="78" t="s">
        <v>561</v>
      </c>
      <c r="B270" s="81" t="s">
        <v>562</v>
      </c>
      <c r="C270" s="59">
        <v>1</v>
      </c>
      <c r="D270" s="60" t="s">
        <v>57</v>
      </c>
      <c r="E270" s="60">
        <v>33.549999999999997</v>
      </c>
      <c r="F270" s="60">
        <v>36.76</v>
      </c>
      <c r="G270" s="60">
        <v>70.31</v>
      </c>
      <c r="H270" s="61">
        <v>33.549999999999997</v>
      </c>
      <c r="I270" s="61">
        <v>36.76</v>
      </c>
      <c r="J270" s="62">
        <v>70.31</v>
      </c>
      <c r="M270" s="75"/>
      <c r="N270" s="76"/>
      <c r="V270" s="56">
        <v>1</v>
      </c>
      <c r="W270" s="56" t="s">
        <v>57</v>
      </c>
      <c r="X270" s="64">
        <v>38.29</v>
      </c>
      <c r="Y270" s="64">
        <v>29.45</v>
      </c>
      <c r="Z270" s="64">
        <f t="shared" si="30"/>
        <v>67.739999999999995</v>
      </c>
      <c r="AB270" s="56">
        <v>1</v>
      </c>
      <c r="AC270" s="56" t="s">
        <v>57</v>
      </c>
      <c r="AD270" s="64">
        <v>48.82</v>
      </c>
      <c r="AE270" s="64">
        <v>37.549999999999997</v>
      </c>
      <c r="AF270" s="64">
        <f t="shared" si="31"/>
        <v>86.37</v>
      </c>
      <c r="AH270" s="65">
        <f t="shared" si="27"/>
        <v>-0.3127816468660386</v>
      </c>
      <c r="AI270" s="65">
        <f t="shared" si="27"/>
        <v>-2.1038615179760245E-2</v>
      </c>
      <c r="AJ270" s="65">
        <f t="shared" si="27"/>
        <v>-0.18594419358573577</v>
      </c>
    </row>
    <row r="271" spans="1:36" x14ac:dyDescent="0.3">
      <c r="A271" s="78" t="s">
        <v>563</v>
      </c>
      <c r="B271" s="81" t="s">
        <v>564</v>
      </c>
      <c r="C271" s="59">
        <v>6</v>
      </c>
      <c r="D271" s="60" t="s">
        <v>57</v>
      </c>
      <c r="E271" s="60">
        <v>69.91</v>
      </c>
      <c r="F271" s="60">
        <v>36.76</v>
      </c>
      <c r="G271" s="60">
        <v>106.66999999999999</v>
      </c>
      <c r="H271" s="61">
        <v>419.46</v>
      </c>
      <c r="I271" s="61">
        <v>220.56</v>
      </c>
      <c r="J271" s="62">
        <v>640.02</v>
      </c>
      <c r="M271" s="75"/>
      <c r="N271" s="76"/>
      <c r="V271" s="56">
        <v>1</v>
      </c>
      <c r="W271" s="56" t="s">
        <v>57</v>
      </c>
      <c r="X271" s="64">
        <v>79.8</v>
      </c>
      <c r="Y271" s="64">
        <v>29.45</v>
      </c>
      <c r="Z271" s="64">
        <f t="shared" si="30"/>
        <v>109.25</v>
      </c>
      <c r="AB271" s="56">
        <v>1</v>
      </c>
      <c r="AC271" s="56" t="s">
        <v>57</v>
      </c>
      <c r="AD271" s="64">
        <v>101.75</v>
      </c>
      <c r="AE271" s="64">
        <v>37.549999999999997</v>
      </c>
      <c r="AF271" s="64">
        <f t="shared" si="31"/>
        <v>139.30000000000001</v>
      </c>
      <c r="AH271" s="65">
        <f t="shared" si="27"/>
        <v>-0.31292383292383297</v>
      </c>
      <c r="AI271" s="65">
        <f t="shared" si="27"/>
        <v>-2.1038615179760245E-2</v>
      </c>
      <c r="AJ271" s="65">
        <f t="shared" si="27"/>
        <v>-0.23424264178033039</v>
      </c>
    </row>
    <row r="272" spans="1:36" x14ac:dyDescent="0.3">
      <c r="A272" s="78" t="s">
        <v>565</v>
      </c>
      <c r="B272" s="81" t="s">
        <v>566</v>
      </c>
      <c r="C272" s="59">
        <v>1028</v>
      </c>
      <c r="D272" s="60" t="s">
        <v>57</v>
      </c>
      <c r="E272" s="60">
        <v>18.28</v>
      </c>
      <c r="F272" s="60">
        <v>11.38</v>
      </c>
      <c r="G272" s="60">
        <v>29.660000000000004</v>
      </c>
      <c r="H272" s="61">
        <v>18791.84</v>
      </c>
      <c r="I272" s="61">
        <v>11698.640000000001</v>
      </c>
      <c r="J272" s="62">
        <v>30490.480000000003</v>
      </c>
      <c r="M272" s="75"/>
      <c r="N272" s="76"/>
      <c r="V272" s="56">
        <v>1950</v>
      </c>
      <c r="W272" s="56" t="s">
        <v>57</v>
      </c>
      <c r="X272" s="64">
        <v>20.86</v>
      </c>
      <c r="Y272" s="64">
        <v>8.99</v>
      </c>
      <c r="Z272" s="64">
        <f t="shared" si="30"/>
        <v>29.85</v>
      </c>
      <c r="AB272" s="56">
        <v>1950</v>
      </c>
      <c r="AC272" s="56" t="s">
        <v>57</v>
      </c>
      <c r="AD272" s="64">
        <v>26.6</v>
      </c>
      <c r="AE272" s="64">
        <v>11.46</v>
      </c>
      <c r="AF272" s="64">
        <f t="shared" si="31"/>
        <v>38.06</v>
      </c>
      <c r="AH272" s="65">
        <f t="shared" si="27"/>
        <v>-0.31278195488721805</v>
      </c>
      <c r="AI272" s="65">
        <f t="shared" si="27"/>
        <v>-6.9808027923211613E-3</v>
      </c>
      <c r="AJ272" s="65">
        <f t="shared" si="27"/>
        <v>-0.22070415133998944</v>
      </c>
    </row>
    <row r="273" spans="1:36" x14ac:dyDescent="0.3">
      <c r="A273" s="78" t="s">
        <v>567</v>
      </c>
      <c r="B273" s="81" t="s">
        <v>568</v>
      </c>
      <c r="C273" s="59">
        <v>1075</v>
      </c>
      <c r="D273" s="60" t="s">
        <v>57</v>
      </c>
      <c r="E273" s="60">
        <v>8</v>
      </c>
      <c r="F273" s="60">
        <v>7.6</v>
      </c>
      <c r="G273" s="60">
        <v>15.6</v>
      </c>
      <c r="H273" s="61">
        <v>8600</v>
      </c>
      <c r="I273" s="61">
        <v>8170</v>
      </c>
      <c r="J273" s="62">
        <v>16770</v>
      </c>
      <c r="M273" s="75"/>
      <c r="N273" s="76"/>
      <c r="V273" s="56">
        <v>1294</v>
      </c>
      <c r="W273" s="56" t="s">
        <v>57</v>
      </c>
      <c r="X273" s="64">
        <v>9.1300000000000008</v>
      </c>
      <c r="Y273" s="64">
        <v>6</v>
      </c>
      <c r="Z273" s="64">
        <f t="shared" si="30"/>
        <v>15.13</v>
      </c>
      <c r="AB273" s="56">
        <v>1294</v>
      </c>
      <c r="AC273" s="56" t="s">
        <v>57</v>
      </c>
      <c r="AD273" s="64">
        <v>11.64</v>
      </c>
      <c r="AE273" s="64">
        <v>7.65</v>
      </c>
      <c r="AF273" s="64">
        <f t="shared" si="31"/>
        <v>19.29</v>
      </c>
      <c r="AH273" s="65">
        <f t="shared" si="27"/>
        <v>-0.3127147766323024</v>
      </c>
      <c r="AI273" s="65">
        <f t="shared" si="27"/>
        <v>-6.5359477124183885E-3</v>
      </c>
      <c r="AJ273" s="65">
        <f t="shared" si="27"/>
        <v>-0.19129082426127531</v>
      </c>
    </row>
    <row r="274" spans="1:36" x14ac:dyDescent="0.3">
      <c r="A274" s="78" t="s">
        <v>569</v>
      </c>
      <c r="B274" s="81" t="s">
        <v>570</v>
      </c>
      <c r="C274" s="59">
        <v>1232</v>
      </c>
      <c r="D274" s="60" t="s">
        <v>57</v>
      </c>
      <c r="E274" s="60">
        <v>14.14</v>
      </c>
      <c r="F274" s="60">
        <v>11.38</v>
      </c>
      <c r="G274" s="60">
        <v>25.520000000000003</v>
      </c>
      <c r="H274" s="61">
        <v>17420.48</v>
      </c>
      <c r="I274" s="61">
        <v>14020.160000000002</v>
      </c>
      <c r="J274" s="62">
        <v>31440.640000000003</v>
      </c>
      <c r="M274" s="75"/>
      <c r="N274" s="76"/>
      <c r="V274" s="56">
        <v>2545</v>
      </c>
      <c r="W274" s="56" t="s">
        <v>57</v>
      </c>
      <c r="X274" s="64">
        <v>16.14</v>
      </c>
      <c r="Y274" s="64">
        <v>8.99</v>
      </c>
      <c r="Z274" s="64">
        <f t="shared" si="30"/>
        <v>25.130000000000003</v>
      </c>
      <c r="AB274" s="56">
        <v>2545</v>
      </c>
      <c r="AC274" s="56" t="s">
        <v>57</v>
      </c>
      <c r="AD274" s="64">
        <v>20.58</v>
      </c>
      <c r="AE274" s="64">
        <v>11.46</v>
      </c>
      <c r="AF274" s="64">
        <f t="shared" si="31"/>
        <v>32.04</v>
      </c>
      <c r="AH274" s="65">
        <f t="shared" si="27"/>
        <v>-0.31292517006802711</v>
      </c>
      <c r="AI274" s="65">
        <f t="shared" si="27"/>
        <v>-6.9808027923211613E-3</v>
      </c>
      <c r="AJ274" s="65">
        <f t="shared" si="27"/>
        <v>-0.20349563046192243</v>
      </c>
    </row>
    <row r="275" spans="1:36" x14ac:dyDescent="0.3">
      <c r="A275" s="78" t="s">
        <v>571</v>
      </c>
      <c r="B275" s="81" t="s">
        <v>572</v>
      </c>
      <c r="C275" s="59">
        <v>2907</v>
      </c>
      <c r="D275" s="60" t="s">
        <v>57</v>
      </c>
      <c r="E275" s="60">
        <v>16.440000000000001</v>
      </c>
      <c r="F275" s="60">
        <v>11.38</v>
      </c>
      <c r="G275" s="60">
        <v>27.82</v>
      </c>
      <c r="H275" s="61">
        <v>47791.08</v>
      </c>
      <c r="I275" s="61">
        <v>33081.660000000003</v>
      </c>
      <c r="J275" s="62">
        <v>80872.740000000005</v>
      </c>
      <c r="M275" s="75"/>
      <c r="N275" s="76"/>
      <c r="V275" s="56">
        <v>2251</v>
      </c>
      <c r="W275" s="56" t="s">
        <v>57</v>
      </c>
      <c r="X275" s="64">
        <v>18.760000000000002</v>
      </c>
      <c r="Y275" s="64">
        <v>8.99</v>
      </c>
      <c r="Z275" s="64">
        <f t="shared" si="30"/>
        <v>27.75</v>
      </c>
      <c r="AB275" s="56">
        <v>2251</v>
      </c>
      <c r="AC275" s="56" t="s">
        <v>57</v>
      </c>
      <c r="AD275" s="64">
        <v>23.92</v>
      </c>
      <c r="AE275" s="64">
        <v>11.46</v>
      </c>
      <c r="AF275" s="64">
        <f t="shared" si="31"/>
        <v>35.380000000000003</v>
      </c>
      <c r="AH275" s="65">
        <f t="shared" si="27"/>
        <v>-0.31270903010033446</v>
      </c>
      <c r="AI275" s="65">
        <f t="shared" si="27"/>
        <v>-6.9808027923211613E-3</v>
      </c>
      <c r="AJ275" s="65">
        <f t="shared" si="27"/>
        <v>-0.21368004522329009</v>
      </c>
    </row>
    <row r="276" spans="1:36" x14ac:dyDescent="0.3">
      <c r="A276" s="78" t="s">
        <v>573</v>
      </c>
      <c r="B276" s="81" t="s">
        <v>574</v>
      </c>
      <c r="C276" s="59">
        <v>2859</v>
      </c>
      <c r="D276" s="60" t="s">
        <v>57</v>
      </c>
      <c r="E276" s="60">
        <v>15.45</v>
      </c>
      <c r="F276" s="60">
        <v>11.38</v>
      </c>
      <c r="G276" s="60">
        <v>26.83</v>
      </c>
      <c r="H276" s="61">
        <v>44171.549999999996</v>
      </c>
      <c r="I276" s="61">
        <v>32535.420000000002</v>
      </c>
      <c r="J276" s="62">
        <v>76706.97</v>
      </c>
      <c r="M276" s="75"/>
      <c r="N276" s="76"/>
      <c r="V276" s="56">
        <v>1085</v>
      </c>
      <c r="W276" s="56" t="s">
        <v>57</v>
      </c>
      <c r="X276" s="64">
        <v>17.63</v>
      </c>
      <c r="Y276" s="64">
        <v>8.99</v>
      </c>
      <c r="Z276" s="64">
        <f t="shared" si="30"/>
        <v>26.619999999999997</v>
      </c>
      <c r="AB276" s="56">
        <v>1085</v>
      </c>
      <c r="AC276" s="56" t="s">
        <v>57</v>
      </c>
      <c r="AD276" s="64">
        <v>22.48</v>
      </c>
      <c r="AE276" s="64">
        <v>11.46</v>
      </c>
      <c r="AF276" s="64">
        <f t="shared" si="31"/>
        <v>33.94</v>
      </c>
      <c r="AH276" s="65">
        <f t="shared" si="27"/>
        <v>-0.31272241992882566</v>
      </c>
      <c r="AI276" s="65">
        <f t="shared" si="27"/>
        <v>-6.9808027923211613E-3</v>
      </c>
      <c r="AJ276" s="65">
        <f t="shared" si="27"/>
        <v>-0.20948733058338243</v>
      </c>
    </row>
    <row r="277" spans="1:36" x14ac:dyDescent="0.3">
      <c r="A277" s="78" t="s">
        <v>575</v>
      </c>
      <c r="B277" s="81" t="s">
        <v>576</v>
      </c>
      <c r="C277" s="59">
        <v>1</v>
      </c>
      <c r="D277" s="60" t="s">
        <v>57</v>
      </c>
      <c r="E277" s="60">
        <v>23.39</v>
      </c>
      <c r="F277" s="60">
        <v>7.6</v>
      </c>
      <c r="G277" s="60">
        <v>30.990000000000002</v>
      </c>
      <c r="H277" s="61">
        <v>23.39</v>
      </c>
      <c r="I277" s="61">
        <v>7.6</v>
      </c>
      <c r="J277" s="62">
        <v>30.990000000000002</v>
      </c>
      <c r="M277" s="75"/>
      <c r="N277" s="76"/>
      <c r="V277" s="56">
        <v>1</v>
      </c>
      <c r="W277" s="56" t="s">
        <v>57</v>
      </c>
      <c r="X277" s="64">
        <v>26.7</v>
      </c>
      <c r="Y277" s="64">
        <v>6</v>
      </c>
      <c r="Z277" s="64">
        <f t="shared" si="30"/>
        <v>32.700000000000003</v>
      </c>
      <c r="AB277" s="56">
        <v>1</v>
      </c>
      <c r="AC277" s="56" t="s">
        <v>57</v>
      </c>
      <c r="AD277" s="64">
        <v>34.04</v>
      </c>
      <c r="AE277" s="64">
        <v>7.65</v>
      </c>
      <c r="AF277" s="64">
        <f t="shared" si="31"/>
        <v>41.69</v>
      </c>
      <c r="AH277" s="65">
        <f t="shared" si="27"/>
        <v>-0.31286721504112802</v>
      </c>
      <c r="AI277" s="65">
        <f t="shared" si="27"/>
        <v>-6.5359477124183885E-3</v>
      </c>
      <c r="AJ277" s="65">
        <f t="shared" si="27"/>
        <v>-0.25665627248740697</v>
      </c>
    </row>
    <row r="278" spans="1:36" x14ac:dyDescent="0.3">
      <c r="A278" s="78" t="s">
        <v>577</v>
      </c>
      <c r="B278" s="81" t="s">
        <v>578</v>
      </c>
      <c r="C278" s="59">
        <v>1</v>
      </c>
      <c r="D278" s="60" t="s">
        <v>57</v>
      </c>
      <c r="E278" s="60">
        <v>28.36</v>
      </c>
      <c r="F278" s="60">
        <v>7.6</v>
      </c>
      <c r="G278" s="60">
        <v>35.96</v>
      </c>
      <c r="H278" s="61">
        <v>28.36</v>
      </c>
      <c r="I278" s="61">
        <v>7.6</v>
      </c>
      <c r="J278" s="62">
        <v>35.96</v>
      </c>
      <c r="M278" s="75"/>
      <c r="N278" s="76"/>
      <c r="V278" s="56">
        <v>1</v>
      </c>
      <c r="W278" s="56" t="s">
        <v>57</v>
      </c>
      <c r="X278" s="64">
        <v>32.369999999999997</v>
      </c>
      <c r="Y278" s="64">
        <v>6</v>
      </c>
      <c r="Z278" s="64">
        <f t="shared" si="30"/>
        <v>38.369999999999997</v>
      </c>
      <c r="AB278" s="56">
        <v>1</v>
      </c>
      <c r="AC278" s="56" t="s">
        <v>57</v>
      </c>
      <c r="AD278" s="64">
        <v>41.27</v>
      </c>
      <c r="AE278" s="64">
        <v>7.65</v>
      </c>
      <c r="AF278" s="64">
        <f t="shared" si="31"/>
        <v>48.92</v>
      </c>
      <c r="AH278" s="65">
        <f t="shared" si="27"/>
        <v>-0.31281802762297073</v>
      </c>
      <c r="AI278" s="65">
        <f t="shared" si="27"/>
        <v>-6.5359477124183885E-3</v>
      </c>
      <c r="AJ278" s="65">
        <f t="shared" si="27"/>
        <v>-0.26492232215862632</v>
      </c>
    </row>
    <row r="279" spans="1:36" x14ac:dyDescent="0.3">
      <c r="A279" s="78" t="s">
        <v>579</v>
      </c>
      <c r="B279" s="81" t="s">
        <v>580</v>
      </c>
      <c r="C279" s="59">
        <v>428</v>
      </c>
      <c r="D279" s="60" t="s">
        <v>57</v>
      </c>
      <c r="E279" s="60">
        <v>10.95</v>
      </c>
      <c r="F279" s="60">
        <v>7.6</v>
      </c>
      <c r="G279" s="60">
        <v>18.549999999999997</v>
      </c>
      <c r="H279" s="61">
        <v>4686.5999999999995</v>
      </c>
      <c r="I279" s="61">
        <v>3252.7999999999997</v>
      </c>
      <c r="J279" s="62">
        <v>7939.3999999999987</v>
      </c>
      <c r="M279" s="75"/>
      <c r="N279" s="76"/>
      <c r="V279" s="56">
        <v>91</v>
      </c>
      <c r="W279" s="56" t="s">
        <v>57</v>
      </c>
      <c r="X279" s="64">
        <v>12.5</v>
      </c>
      <c r="Y279" s="64">
        <v>6</v>
      </c>
      <c r="Z279" s="64">
        <f t="shared" si="30"/>
        <v>18.5</v>
      </c>
      <c r="AB279" s="56">
        <v>91</v>
      </c>
      <c r="AC279" s="56" t="s">
        <v>57</v>
      </c>
      <c r="AD279" s="64">
        <v>15.94</v>
      </c>
      <c r="AE279" s="64">
        <v>7.65</v>
      </c>
      <c r="AF279" s="64">
        <f t="shared" si="31"/>
        <v>23.59</v>
      </c>
      <c r="AH279" s="65">
        <f t="shared" si="27"/>
        <v>-0.31304893350062735</v>
      </c>
      <c r="AI279" s="65">
        <f t="shared" si="27"/>
        <v>-6.5359477124183885E-3</v>
      </c>
      <c r="AJ279" s="65">
        <f t="shared" si="27"/>
        <v>-0.21364985163204764</v>
      </c>
    </row>
    <row r="280" spans="1:36" x14ac:dyDescent="0.3">
      <c r="A280" s="78" t="s">
        <v>581</v>
      </c>
      <c r="B280" s="81" t="s">
        <v>582</v>
      </c>
      <c r="C280" s="59">
        <v>36</v>
      </c>
      <c r="D280" s="60" t="s">
        <v>57</v>
      </c>
      <c r="E280" s="60">
        <v>96.33</v>
      </c>
      <c r="F280" s="60">
        <v>7.6</v>
      </c>
      <c r="G280" s="60">
        <v>103.92999999999999</v>
      </c>
      <c r="H280" s="61">
        <v>3467.88</v>
      </c>
      <c r="I280" s="61">
        <v>273.59999999999997</v>
      </c>
      <c r="J280" s="62">
        <v>3741.4799999999996</v>
      </c>
      <c r="M280" s="75"/>
      <c r="N280" s="76"/>
      <c r="V280" s="56">
        <v>1</v>
      </c>
      <c r="W280" s="56" t="s">
        <v>57</v>
      </c>
      <c r="X280" s="64">
        <v>109.95</v>
      </c>
      <c r="Y280" s="64">
        <v>6</v>
      </c>
      <c r="Z280" s="64">
        <f t="shared" si="30"/>
        <v>115.95</v>
      </c>
      <c r="AB280" s="56">
        <v>1</v>
      </c>
      <c r="AC280" s="56" t="s">
        <v>57</v>
      </c>
      <c r="AD280" s="64">
        <v>140.19</v>
      </c>
      <c r="AE280" s="64">
        <v>7.65</v>
      </c>
      <c r="AF280" s="64">
        <f t="shared" si="31"/>
        <v>147.84</v>
      </c>
      <c r="AH280" s="65">
        <f t="shared" si="27"/>
        <v>-0.31286111705542474</v>
      </c>
      <c r="AI280" s="65">
        <f t="shared" si="27"/>
        <v>-6.5359477124183885E-3</v>
      </c>
      <c r="AJ280" s="65">
        <f t="shared" si="27"/>
        <v>-0.2970102813852814</v>
      </c>
    </row>
    <row r="281" spans="1:36" x14ac:dyDescent="0.3">
      <c r="A281" s="78" t="s">
        <v>583</v>
      </c>
      <c r="B281" s="81" t="s">
        <v>584</v>
      </c>
      <c r="C281" s="59">
        <v>1183</v>
      </c>
      <c r="D281" s="60" t="s">
        <v>57</v>
      </c>
      <c r="E281" s="60">
        <v>4.08</v>
      </c>
      <c r="F281" s="60">
        <v>7.6</v>
      </c>
      <c r="G281" s="60">
        <v>11.68</v>
      </c>
      <c r="H281" s="61">
        <v>4826.6400000000003</v>
      </c>
      <c r="I281" s="61">
        <v>8990.7999999999993</v>
      </c>
      <c r="J281" s="62">
        <v>13817.44</v>
      </c>
      <c r="M281" s="75"/>
      <c r="N281" s="76"/>
      <c r="V281" s="56">
        <v>77</v>
      </c>
      <c r="W281" s="56" t="s">
        <v>57</v>
      </c>
      <c r="X281" s="64">
        <v>5.25</v>
      </c>
      <c r="Y281" s="64">
        <v>6</v>
      </c>
      <c r="Z281" s="64">
        <f t="shared" si="30"/>
        <v>11.25</v>
      </c>
      <c r="AB281" s="56">
        <v>77</v>
      </c>
      <c r="AC281" s="56" t="s">
        <v>57</v>
      </c>
      <c r="AD281" s="64">
        <v>6.69</v>
      </c>
      <c r="AE281" s="64">
        <v>7.65</v>
      </c>
      <c r="AF281" s="64">
        <f t="shared" si="31"/>
        <v>14.34</v>
      </c>
      <c r="AH281" s="65">
        <f t="shared" si="27"/>
        <v>-0.39013452914798208</v>
      </c>
      <c r="AI281" s="65">
        <f t="shared" si="27"/>
        <v>-6.5359477124183885E-3</v>
      </c>
      <c r="AJ281" s="65">
        <f t="shared" si="27"/>
        <v>-0.18549511854951184</v>
      </c>
    </row>
    <row r="282" spans="1:36" x14ac:dyDescent="0.3">
      <c r="A282" s="78" t="s">
        <v>585</v>
      </c>
      <c r="B282" s="81" t="s">
        <v>586</v>
      </c>
      <c r="C282" s="59">
        <v>40</v>
      </c>
      <c r="D282" s="60" t="s">
        <v>57</v>
      </c>
      <c r="E282" s="60">
        <v>35.01</v>
      </c>
      <c r="F282" s="60">
        <v>11.38</v>
      </c>
      <c r="G282" s="60">
        <v>46.39</v>
      </c>
      <c r="H282" s="61">
        <v>1400.3999999999999</v>
      </c>
      <c r="I282" s="61">
        <v>455.20000000000005</v>
      </c>
      <c r="J282" s="62">
        <v>1855.6</v>
      </c>
      <c r="M282" s="75"/>
      <c r="N282" s="76"/>
      <c r="V282" s="56">
        <v>6</v>
      </c>
      <c r="W282" s="56" t="s">
        <v>57</v>
      </c>
      <c r="X282" s="64">
        <v>39.96</v>
      </c>
      <c r="Y282" s="64">
        <v>8.99</v>
      </c>
      <c r="Z282" s="64">
        <f t="shared" si="30"/>
        <v>48.95</v>
      </c>
      <c r="AB282" s="56">
        <v>6</v>
      </c>
      <c r="AC282" s="56" t="s">
        <v>57</v>
      </c>
      <c r="AD282" s="64">
        <v>50.95</v>
      </c>
      <c r="AE282" s="64">
        <v>11.46</v>
      </c>
      <c r="AF282" s="64">
        <f t="shared" si="31"/>
        <v>62.410000000000004</v>
      </c>
      <c r="AH282" s="65">
        <f t="shared" si="27"/>
        <v>-0.31285574092247304</v>
      </c>
      <c r="AI282" s="65">
        <f t="shared" si="27"/>
        <v>-6.9808027923211613E-3</v>
      </c>
      <c r="AJ282" s="65">
        <f t="shared" si="27"/>
        <v>-0.25668963307162318</v>
      </c>
    </row>
    <row r="283" spans="1:36" x14ac:dyDescent="0.3">
      <c r="A283" s="78" t="s">
        <v>587</v>
      </c>
      <c r="B283" s="81" t="s">
        <v>588</v>
      </c>
      <c r="C283" s="59">
        <v>4276</v>
      </c>
      <c r="D283" s="60" t="s">
        <v>57</v>
      </c>
      <c r="E283" s="60">
        <v>5.46</v>
      </c>
      <c r="F283" s="60">
        <v>11.38</v>
      </c>
      <c r="G283" s="60">
        <v>16.84</v>
      </c>
      <c r="H283" s="61">
        <v>23346.959999999999</v>
      </c>
      <c r="I283" s="61">
        <v>48660.880000000005</v>
      </c>
      <c r="J283" s="62">
        <v>72007.839999999997</v>
      </c>
      <c r="M283" s="75"/>
      <c r="N283" s="76"/>
      <c r="V283" s="56">
        <v>7</v>
      </c>
      <c r="W283" s="56" t="s">
        <v>57</v>
      </c>
      <c r="X283" s="64">
        <v>7.02</v>
      </c>
      <c r="Y283" s="64">
        <v>8.99</v>
      </c>
      <c r="Z283" s="64">
        <f t="shared" si="30"/>
        <v>16.009999999999998</v>
      </c>
      <c r="AB283" s="56">
        <v>7</v>
      </c>
      <c r="AC283" s="56" t="s">
        <v>57</v>
      </c>
      <c r="AD283" s="64">
        <v>8.9499999999999993</v>
      </c>
      <c r="AE283" s="64">
        <v>11.46</v>
      </c>
      <c r="AF283" s="64">
        <f t="shared" si="31"/>
        <v>20.41</v>
      </c>
      <c r="AH283" s="65">
        <f t="shared" ref="AH283:AJ346" si="32">IF(E283=0,0,(E283/AD283)-1)</f>
        <v>-0.38994413407821227</v>
      </c>
      <c r="AI283" s="65">
        <f t="shared" si="32"/>
        <v>-6.9808027923211613E-3</v>
      </c>
      <c r="AJ283" s="65">
        <f t="shared" si="32"/>
        <v>-0.17491425771680547</v>
      </c>
    </row>
    <row r="284" spans="1:36" x14ac:dyDescent="0.3">
      <c r="A284" s="78" t="s">
        <v>589</v>
      </c>
      <c r="B284" s="81" t="s">
        <v>590</v>
      </c>
      <c r="C284" s="59">
        <v>65</v>
      </c>
      <c r="D284" s="60" t="s">
        <v>57</v>
      </c>
      <c r="E284" s="60">
        <v>7.82</v>
      </c>
      <c r="F284" s="60">
        <v>11.38</v>
      </c>
      <c r="G284" s="60">
        <v>19.200000000000003</v>
      </c>
      <c r="H284" s="61">
        <v>508.3</v>
      </c>
      <c r="I284" s="61">
        <v>739.7</v>
      </c>
      <c r="J284" s="62">
        <v>1248.0000000000002</v>
      </c>
      <c r="M284" s="75"/>
      <c r="N284" s="76"/>
      <c r="V284" s="56">
        <v>72</v>
      </c>
      <c r="W284" s="56" t="s">
        <v>57</v>
      </c>
      <c r="X284" s="64">
        <v>10.06</v>
      </c>
      <c r="Y284" s="64">
        <v>8.99</v>
      </c>
      <c r="Z284" s="64">
        <f t="shared" si="30"/>
        <v>19.05</v>
      </c>
      <c r="AB284" s="56">
        <v>72</v>
      </c>
      <c r="AC284" s="56" t="s">
        <v>57</v>
      </c>
      <c r="AD284" s="64">
        <v>12.83</v>
      </c>
      <c r="AE284" s="64">
        <v>11.46</v>
      </c>
      <c r="AF284" s="64">
        <f t="shared" si="31"/>
        <v>24.29</v>
      </c>
      <c r="AH284" s="65">
        <f t="shared" si="32"/>
        <v>-0.39049103663289164</v>
      </c>
      <c r="AI284" s="65">
        <f t="shared" si="32"/>
        <v>-6.9808027923211613E-3</v>
      </c>
      <c r="AJ284" s="65">
        <f t="shared" si="32"/>
        <v>-0.2095512556607656</v>
      </c>
    </row>
    <row r="285" spans="1:36" x14ac:dyDescent="0.3">
      <c r="A285" s="78" t="s">
        <v>591</v>
      </c>
      <c r="B285" s="81" t="s">
        <v>592</v>
      </c>
      <c r="C285" s="59">
        <v>1</v>
      </c>
      <c r="D285" s="60" t="s">
        <v>57</v>
      </c>
      <c r="E285" s="60">
        <v>34.26</v>
      </c>
      <c r="F285" s="60">
        <v>11.38</v>
      </c>
      <c r="G285" s="60">
        <v>45.64</v>
      </c>
      <c r="H285" s="61">
        <v>34.26</v>
      </c>
      <c r="I285" s="61">
        <v>11.38</v>
      </c>
      <c r="J285" s="62">
        <v>45.64</v>
      </c>
      <c r="M285" s="75"/>
      <c r="N285" s="76"/>
      <c r="V285" s="56">
        <v>1</v>
      </c>
      <c r="W285" s="56" t="s">
        <v>57</v>
      </c>
      <c r="X285" s="64">
        <v>39.1</v>
      </c>
      <c r="Y285" s="64">
        <v>8.99</v>
      </c>
      <c r="Z285" s="64">
        <f t="shared" si="30"/>
        <v>48.09</v>
      </c>
      <c r="AB285" s="56">
        <v>1</v>
      </c>
      <c r="AC285" s="56" t="s">
        <v>57</v>
      </c>
      <c r="AD285" s="64">
        <v>49.85</v>
      </c>
      <c r="AE285" s="64">
        <v>11.46</v>
      </c>
      <c r="AF285" s="64">
        <f t="shared" si="31"/>
        <v>61.31</v>
      </c>
      <c r="AH285" s="65">
        <f t="shared" si="32"/>
        <v>-0.31273821464393181</v>
      </c>
      <c r="AI285" s="65">
        <f t="shared" si="32"/>
        <v>-6.9808027923211613E-3</v>
      </c>
      <c r="AJ285" s="65">
        <f t="shared" si="32"/>
        <v>-0.2555863643777524</v>
      </c>
    </row>
    <row r="286" spans="1:36" x14ac:dyDescent="0.3">
      <c r="A286" s="78" t="s">
        <v>593</v>
      </c>
      <c r="B286" s="81" t="s">
        <v>594</v>
      </c>
      <c r="C286" s="59">
        <v>4</v>
      </c>
      <c r="D286" s="60" t="s">
        <v>57</v>
      </c>
      <c r="E286" s="60">
        <v>22.46</v>
      </c>
      <c r="F286" s="60">
        <v>18.38</v>
      </c>
      <c r="G286" s="60">
        <v>40.840000000000003</v>
      </c>
      <c r="H286" s="61">
        <v>89.84</v>
      </c>
      <c r="I286" s="61">
        <v>73.52</v>
      </c>
      <c r="J286" s="62">
        <v>163.36000000000001</v>
      </c>
      <c r="M286" s="75"/>
      <c r="N286" s="76"/>
      <c r="V286" s="56">
        <v>1</v>
      </c>
      <c r="W286" s="56" t="s">
        <v>57</v>
      </c>
      <c r="X286" s="64">
        <v>25.64</v>
      </c>
      <c r="Y286" s="64">
        <v>14.72</v>
      </c>
      <c r="Z286" s="64">
        <f t="shared" si="30"/>
        <v>40.36</v>
      </c>
      <c r="AB286" s="56">
        <v>1</v>
      </c>
      <c r="AC286" s="56" t="s">
        <v>57</v>
      </c>
      <c r="AD286" s="64">
        <v>32.69</v>
      </c>
      <c r="AE286" s="64">
        <v>18.77</v>
      </c>
      <c r="AF286" s="64">
        <f t="shared" si="31"/>
        <v>51.459999999999994</v>
      </c>
      <c r="AH286" s="65">
        <f t="shared" si="32"/>
        <v>-0.31293973692260624</v>
      </c>
      <c r="AI286" s="65">
        <f t="shared" si="32"/>
        <v>-2.077783697389457E-2</v>
      </c>
      <c r="AJ286" s="65">
        <f t="shared" si="32"/>
        <v>-0.20637388262728318</v>
      </c>
    </row>
    <row r="287" spans="1:36" x14ac:dyDescent="0.3">
      <c r="A287" s="78" t="s">
        <v>595</v>
      </c>
      <c r="B287" s="81" t="s">
        <v>596</v>
      </c>
      <c r="C287" s="59">
        <v>10</v>
      </c>
      <c r="D287" s="60" t="s">
        <v>57</v>
      </c>
      <c r="E287" s="60">
        <v>67.88</v>
      </c>
      <c r="F287" s="60">
        <v>18.38</v>
      </c>
      <c r="G287" s="60">
        <v>86.259999999999991</v>
      </c>
      <c r="H287" s="61">
        <v>678.8</v>
      </c>
      <c r="I287" s="61">
        <v>183.79999999999998</v>
      </c>
      <c r="J287" s="62">
        <v>862.59999999999991</v>
      </c>
      <c r="M287" s="75"/>
      <c r="N287" s="76"/>
      <c r="V287" s="56">
        <v>11</v>
      </c>
      <c r="W287" s="56" t="s">
        <v>57</v>
      </c>
      <c r="X287" s="64">
        <v>77.48</v>
      </c>
      <c r="Y287" s="64">
        <v>14.72</v>
      </c>
      <c r="Z287" s="64">
        <f t="shared" si="30"/>
        <v>92.2</v>
      </c>
      <c r="AB287" s="56">
        <v>11</v>
      </c>
      <c r="AC287" s="56" t="s">
        <v>57</v>
      </c>
      <c r="AD287" s="64">
        <v>98.79</v>
      </c>
      <c r="AE287" s="64">
        <v>18.77</v>
      </c>
      <c r="AF287" s="64">
        <f t="shared" si="31"/>
        <v>117.56</v>
      </c>
      <c r="AH287" s="65">
        <f t="shared" si="32"/>
        <v>-0.31288591962749279</v>
      </c>
      <c r="AI287" s="65">
        <f t="shared" si="32"/>
        <v>-2.077783697389457E-2</v>
      </c>
      <c r="AJ287" s="65">
        <f t="shared" si="32"/>
        <v>-0.26624702279686974</v>
      </c>
    </row>
    <row r="288" spans="1:36" x14ac:dyDescent="0.3">
      <c r="A288" s="78" t="s">
        <v>597</v>
      </c>
      <c r="B288" s="81" t="s">
        <v>598</v>
      </c>
      <c r="C288" s="59">
        <v>35</v>
      </c>
      <c r="D288" s="60" t="s">
        <v>57</v>
      </c>
      <c r="E288" s="60">
        <v>64.83</v>
      </c>
      <c r="F288" s="60">
        <v>18.38</v>
      </c>
      <c r="G288" s="60">
        <v>83.21</v>
      </c>
      <c r="H288" s="61">
        <v>2269.0499999999997</v>
      </c>
      <c r="I288" s="61">
        <v>643.29999999999995</v>
      </c>
      <c r="J288" s="62">
        <v>2912.35</v>
      </c>
      <c r="M288" s="75"/>
      <c r="N288" s="76"/>
      <c r="V288" s="56">
        <v>1</v>
      </c>
      <c r="W288" s="56" t="s">
        <v>57</v>
      </c>
      <c r="X288" s="64">
        <v>74</v>
      </c>
      <c r="Y288" s="64">
        <v>14.72</v>
      </c>
      <c r="Z288" s="64">
        <f t="shared" si="30"/>
        <v>88.72</v>
      </c>
      <c r="AB288" s="56">
        <v>1</v>
      </c>
      <c r="AC288" s="56" t="s">
        <v>57</v>
      </c>
      <c r="AD288" s="64">
        <v>94.35</v>
      </c>
      <c r="AE288" s="64">
        <v>18.77</v>
      </c>
      <c r="AF288" s="64">
        <f t="shared" si="31"/>
        <v>113.11999999999999</v>
      </c>
      <c r="AH288" s="65">
        <f t="shared" si="32"/>
        <v>-0.31287758346581873</v>
      </c>
      <c r="AI288" s="65">
        <f t="shared" si="32"/>
        <v>-2.077783697389457E-2</v>
      </c>
      <c r="AJ288" s="65">
        <f t="shared" si="32"/>
        <v>-0.26440947666195191</v>
      </c>
    </row>
    <row r="289" spans="1:36" x14ac:dyDescent="0.3">
      <c r="A289" s="78" t="s">
        <v>599</v>
      </c>
      <c r="B289" s="81" t="s">
        <v>600</v>
      </c>
      <c r="C289" s="59">
        <v>21</v>
      </c>
      <c r="D289" s="60" t="s">
        <v>57</v>
      </c>
      <c r="E289" s="60">
        <v>382.02</v>
      </c>
      <c r="F289" s="60">
        <v>46.17</v>
      </c>
      <c r="G289" s="60">
        <v>428.19</v>
      </c>
      <c r="H289" s="61">
        <v>8022.42</v>
      </c>
      <c r="I289" s="61">
        <v>969.57</v>
      </c>
      <c r="J289" s="62">
        <v>8991.99</v>
      </c>
      <c r="M289" s="75"/>
      <c r="N289" s="76"/>
      <c r="V289" s="56">
        <v>1</v>
      </c>
      <c r="W289" s="56" t="s">
        <v>57</v>
      </c>
      <c r="X289" s="64">
        <v>435.95</v>
      </c>
      <c r="Y289" s="64">
        <v>36.619999999999997</v>
      </c>
      <c r="Z289" s="64">
        <f t="shared" si="30"/>
        <v>472.57</v>
      </c>
      <c r="AB289" s="56">
        <v>1</v>
      </c>
      <c r="AC289" s="56" t="s">
        <v>57</v>
      </c>
      <c r="AD289" s="64">
        <v>555.84</v>
      </c>
      <c r="AE289" s="64">
        <v>46.69</v>
      </c>
      <c r="AF289" s="64">
        <f t="shared" si="31"/>
        <v>602.53</v>
      </c>
      <c r="AH289" s="65">
        <f t="shared" si="32"/>
        <v>-0.31271588946459417</v>
      </c>
      <c r="AI289" s="65">
        <f t="shared" si="32"/>
        <v>-1.1137288498607734E-2</v>
      </c>
      <c r="AJ289" s="65">
        <f t="shared" si="32"/>
        <v>-0.28934658855160733</v>
      </c>
    </row>
    <row r="290" spans="1:36" x14ac:dyDescent="0.3">
      <c r="A290" s="78" t="s">
        <v>601</v>
      </c>
      <c r="B290" s="81" t="s">
        <v>602</v>
      </c>
      <c r="C290" s="59">
        <v>313</v>
      </c>
      <c r="D290" s="60" t="s">
        <v>57</v>
      </c>
      <c r="E290" s="60">
        <v>10.25</v>
      </c>
      <c r="F290" s="60">
        <v>8.24</v>
      </c>
      <c r="G290" s="60">
        <v>18.490000000000002</v>
      </c>
      <c r="H290" s="61">
        <v>3208.25</v>
      </c>
      <c r="I290" s="61">
        <v>2579.12</v>
      </c>
      <c r="J290" s="62">
        <v>5787.3700000000008</v>
      </c>
      <c r="M290" s="75"/>
      <c r="N290" s="76"/>
      <c r="V290" s="56">
        <v>471</v>
      </c>
      <c r="W290" s="56" t="s">
        <v>57</v>
      </c>
      <c r="X290" s="64">
        <v>13.19</v>
      </c>
      <c r="Y290" s="64">
        <v>6.51</v>
      </c>
      <c r="Z290" s="64">
        <f t="shared" si="30"/>
        <v>19.7</v>
      </c>
      <c r="AB290" s="56">
        <v>471</v>
      </c>
      <c r="AC290" s="56" t="s">
        <v>57</v>
      </c>
      <c r="AD290" s="64">
        <v>16.82</v>
      </c>
      <c r="AE290" s="64">
        <v>8.3000000000000007</v>
      </c>
      <c r="AF290" s="64">
        <f t="shared" si="31"/>
        <v>25.12</v>
      </c>
      <c r="AH290" s="65">
        <f t="shared" si="32"/>
        <v>-0.39060642092746733</v>
      </c>
      <c r="AI290" s="65">
        <f t="shared" si="32"/>
        <v>-7.2289156626507145E-3</v>
      </c>
      <c r="AJ290" s="65">
        <f t="shared" si="32"/>
        <v>-0.26393312101910826</v>
      </c>
    </row>
    <row r="291" spans="1:36" x14ac:dyDescent="0.3">
      <c r="A291" s="78" t="s">
        <v>603</v>
      </c>
      <c r="B291" s="81" t="s">
        <v>604</v>
      </c>
      <c r="C291" s="59">
        <v>17</v>
      </c>
      <c r="D291" s="60" t="s">
        <v>57</v>
      </c>
      <c r="E291" s="60">
        <v>114.41</v>
      </c>
      <c r="F291" s="60">
        <v>46.17</v>
      </c>
      <c r="G291" s="60">
        <v>160.57999999999998</v>
      </c>
      <c r="H291" s="61">
        <v>1944.97</v>
      </c>
      <c r="I291" s="61">
        <v>784.89</v>
      </c>
      <c r="J291" s="62">
        <v>2729.8599999999997</v>
      </c>
      <c r="M291" s="75"/>
      <c r="N291" s="76"/>
      <c r="V291" s="56">
        <v>12</v>
      </c>
      <c r="W291" s="56" t="s">
        <v>57</v>
      </c>
      <c r="X291" s="64">
        <v>130.5</v>
      </c>
      <c r="Y291" s="64">
        <v>36.619999999999997</v>
      </c>
      <c r="Z291" s="64">
        <f t="shared" si="30"/>
        <v>167.12</v>
      </c>
      <c r="AB291" s="56">
        <v>12</v>
      </c>
      <c r="AC291" s="56" t="s">
        <v>57</v>
      </c>
      <c r="AD291" s="64">
        <v>166.39</v>
      </c>
      <c r="AE291" s="64">
        <v>46.69</v>
      </c>
      <c r="AF291" s="64">
        <f t="shared" si="31"/>
        <v>213.07999999999998</v>
      </c>
      <c r="AH291" s="65">
        <f t="shared" si="32"/>
        <v>-0.31239858164553158</v>
      </c>
      <c r="AI291" s="65">
        <f t="shared" si="32"/>
        <v>-1.1137288498607734E-2</v>
      </c>
      <c r="AJ291" s="65">
        <f t="shared" si="32"/>
        <v>-0.24638633377135355</v>
      </c>
    </row>
    <row r="292" spans="1:36" x14ac:dyDescent="0.3">
      <c r="A292" s="78" t="s">
        <v>605</v>
      </c>
      <c r="B292" s="81" t="s">
        <v>606</v>
      </c>
      <c r="C292" s="59">
        <v>5</v>
      </c>
      <c r="D292" s="60" t="s">
        <v>57</v>
      </c>
      <c r="E292" s="60">
        <v>166.37</v>
      </c>
      <c r="F292" s="60">
        <v>46.17</v>
      </c>
      <c r="G292" s="60">
        <v>212.54000000000002</v>
      </c>
      <c r="H292" s="61">
        <v>831.85</v>
      </c>
      <c r="I292" s="61">
        <v>230.85000000000002</v>
      </c>
      <c r="J292" s="62">
        <v>1062.7</v>
      </c>
      <c r="M292" s="75"/>
      <c r="N292" s="76"/>
      <c r="V292" s="56">
        <v>1</v>
      </c>
      <c r="W292" s="56" t="s">
        <v>57</v>
      </c>
      <c r="X292" s="64">
        <v>189.81</v>
      </c>
      <c r="Y292" s="64">
        <v>36.619999999999997</v>
      </c>
      <c r="Z292" s="64">
        <f t="shared" si="30"/>
        <v>226.43</v>
      </c>
      <c r="AB292" s="56">
        <v>1</v>
      </c>
      <c r="AC292" s="56" t="s">
        <v>57</v>
      </c>
      <c r="AD292" s="64">
        <v>242.01</v>
      </c>
      <c r="AE292" s="64">
        <v>46.69</v>
      </c>
      <c r="AF292" s="64">
        <f t="shared" si="31"/>
        <v>288.7</v>
      </c>
      <c r="AH292" s="65">
        <f t="shared" si="32"/>
        <v>-0.31254906822032147</v>
      </c>
      <c r="AI292" s="65">
        <f t="shared" si="32"/>
        <v>-1.1137288498607734E-2</v>
      </c>
      <c r="AJ292" s="65">
        <f t="shared" si="32"/>
        <v>-0.26380325597506049</v>
      </c>
    </row>
    <row r="293" spans="1:36" x14ac:dyDescent="0.3">
      <c r="A293" s="78" t="s">
        <v>607</v>
      </c>
      <c r="B293" s="81" t="s">
        <v>608</v>
      </c>
      <c r="C293" s="59">
        <v>25</v>
      </c>
      <c r="D293" s="60" t="s">
        <v>57</v>
      </c>
      <c r="E293" s="60">
        <v>33.520000000000003</v>
      </c>
      <c r="F293" s="60">
        <v>46.17</v>
      </c>
      <c r="G293" s="60">
        <v>79.69</v>
      </c>
      <c r="H293" s="61">
        <v>838.00000000000011</v>
      </c>
      <c r="I293" s="61">
        <v>1154.25</v>
      </c>
      <c r="J293" s="62">
        <v>1992.25</v>
      </c>
      <c r="M293" s="75"/>
      <c r="N293" s="76"/>
      <c r="V293" s="56">
        <v>9</v>
      </c>
      <c r="W293" s="56" t="s">
        <v>57</v>
      </c>
      <c r="X293" s="64">
        <v>38.17</v>
      </c>
      <c r="Y293" s="64">
        <v>36.619999999999997</v>
      </c>
      <c r="Z293" s="64">
        <f t="shared" si="30"/>
        <v>74.789999999999992</v>
      </c>
      <c r="AB293" s="56">
        <v>9</v>
      </c>
      <c r="AC293" s="56" t="s">
        <v>57</v>
      </c>
      <c r="AD293" s="64">
        <v>48.67</v>
      </c>
      <c r="AE293" s="64">
        <v>46.69</v>
      </c>
      <c r="AF293" s="64">
        <f t="shared" si="31"/>
        <v>95.36</v>
      </c>
      <c r="AH293" s="65">
        <f t="shared" si="32"/>
        <v>-0.31128004931169095</v>
      </c>
      <c r="AI293" s="65">
        <f t="shared" si="32"/>
        <v>-1.1137288498607734E-2</v>
      </c>
      <c r="AJ293" s="65">
        <f t="shared" si="32"/>
        <v>-0.1643246644295302</v>
      </c>
    </row>
    <row r="294" spans="1:36" ht="28.8" x14ac:dyDescent="0.3">
      <c r="A294" s="78" t="s">
        <v>609</v>
      </c>
      <c r="B294" s="81" t="s">
        <v>610</v>
      </c>
      <c r="C294" s="59">
        <v>15</v>
      </c>
      <c r="D294" s="60" t="s">
        <v>57</v>
      </c>
      <c r="E294" s="60">
        <v>123.55</v>
      </c>
      <c r="F294" s="60">
        <v>46.17</v>
      </c>
      <c r="G294" s="60">
        <v>169.72</v>
      </c>
      <c r="H294" s="61">
        <v>1853.25</v>
      </c>
      <c r="I294" s="61">
        <v>692.55000000000007</v>
      </c>
      <c r="J294" s="62">
        <v>2545.8000000000002</v>
      </c>
      <c r="M294" s="75"/>
      <c r="N294" s="76"/>
      <c r="V294" s="56">
        <v>14</v>
      </c>
      <c r="W294" s="56" t="s">
        <v>57</v>
      </c>
      <c r="X294" s="64">
        <v>140.93</v>
      </c>
      <c r="Y294" s="64">
        <v>36.619999999999997</v>
      </c>
      <c r="Z294" s="64">
        <f t="shared" si="30"/>
        <v>177.55</v>
      </c>
      <c r="AB294" s="56">
        <v>14</v>
      </c>
      <c r="AC294" s="56" t="s">
        <v>57</v>
      </c>
      <c r="AD294" s="64">
        <v>179.69</v>
      </c>
      <c r="AE294" s="64">
        <v>46.69</v>
      </c>
      <c r="AF294" s="64">
        <f t="shared" si="31"/>
        <v>226.38</v>
      </c>
      <c r="AH294" s="65">
        <f t="shared" si="32"/>
        <v>-0.31242695753798211</v>
      </c>
      <c r="AI294" s="65">
        <f t="shared" si="32"/>
        <v>-1.1137288498607734E-2</v>
      </c>
      <c r="AJ294" s="65">
        <f t="shared" si="32"/>
        <v>-0.25028712783814822</v>
      </c>
    </row>
    <row r="295" spans="1:36" x14ac:dyDescent="0.3">
      <c r="A295" s="78" t="s">
        <v>611</v>
      </c>
      <c r="B295" s="81" t="s">
        <v>612</v>
      </c>
      <c r="C295" s="59">
        <v>50</v>
      </c>
      <c r="D295" s="60" t="s">
        <v>57</v>
      </c>
      <c r="E295" s="60">
        <v>44.36</v>
      </c>
      <c r="F295" s="60">
        <v>46.17</v>
      </c>
      <c r="G295" s="60">
        <v>90.53</v>
      </c>
      <c r="H295" s="61">
        <v>2218</v>
      </c>
      <c r="I295" s="61">
        <v>2308.5</v>
      </c>
      <c r="J295" s="62">
        <v>4526.5</v>
      </c>
      <c r="M295" s="75"/>
      <c r="N295" s="76"/>
      <c r="V295" s="56">
        <v>1</v>
      </c>
      <c r="W295" s="56" t="s">
        <v>57</v>
      </c>
      <c r="X295" s="64">
        <v>54.08</v>
      </c>
      <c r="Y295" s="64">
        <v>36.619999999999997</v>
      </c>
      <c r="Z295" s="64">
        <f t="shared" si="30"/>
        <v>90.699999999999989</v>
      </c>
      <c r="AB295" s="56">
        <v>1</v>
      </c>
      <c r="AC295" s="56" t="s">
        <v>57</v>
      </c>
      <c r="AD295" s="64">
        <v>68.95</v>
      </c>
      <c r="AE295" s="64">
        <v>46.69</v>
      </c>
      <c r="AF295" s="64">
        <f t="shared" si="31"/>
        <v>115.64</v>
      </c>
      <c r="AH295" s="65">
        <f t="shared" si="32"/>
        <v>-0.3566352429296592</v>
      </c>
      <c r="AI295" s="65">
        <f t="shared" si="32"/>
        <v>-1.1137288498607734E-2</v>
      </c>
      <c r="AJ295" s="65">
        <f t="shared" si="32"/>
        <v>-0.21713939813213423</v>
      </c>
    </row>
    <row r="296" spans="1:36" x14ac:dyDescent="0.3">
      <c r="A296" s="78" t="s">
        <v>613</v>
      </c>
      <c r="B296" s="81" t="s">
        <v>614</v>
      </c>
      <c r="C296" s="59">
        <v>8</v>
      </c>
      <c r="D296" s="60" t="s">
        <v>57</v>
      </c>
      <c r="E296" s="60">
        <v>18.32</v>
      </c>
      <c r="F296" s="60">
        <v>20.22</v>
      </c>
      <c r="G296" s="60">
        <v>38.54</v>
      </c>
      <c r="H296" s="61">
        <v>146.56</v>
      </c>
      <c r="I296" s="61">
        <v>161.76</v>
      </c>
      <c r="J296" s="62">
        <v>308.32</v>
      </c>
      <c r="M296" s="75"/>
      <c r="N296" s="76"/>
      <c r="V296" s="56">
        <v>1</v>
      </c>
      <c r="W296" s="56" t="s">
        <v>57</v>
      </c>
      <c r="X296" s="64">
        <v>17.82</v>
      </c>
      <c r="Y296" s="64">
        <v>16.2</v>
      </c>
      <c r="Z296" s="64">
        <f t="shared" si="30"/>
        <v>34.019999999999996</v>
      </c>
      <c r="AB296" s="56">
        <v>1</v>
      </c>
      <c r="AC296" s="56" t="s">
        <v>57</v>
      </c>
      <c r="AD296" s="64">
        <v>22.72</v>
      </c>
      <c r="AE296" s="64">
        <v>20.66</v>
      </c>
      <c r="AF296" s="64">
        <f t="shared" si="31"/>
        <v>43.379999999999995</v>
      </c>
      <c r="AH296" s="65">
        <f t="shared" si="32"/>
        <v>-0.19366197183098588</v>
      </c>
      <c r="AI296" s="65">
        <f t="shared" si="32"/>
        <v>-2.1297192642788065E-2</v>
      </c>
      <c r="AJ296" s="65">
        <f t="shared" si="32"/>
        <v>-0.11157215306592894</v>
      </c>
    </row>
    <row r="297" spans="1:36" x14ac:dyDescent="0.3">
      <c r="A297" s="78" t="s">
        <v>615</v>
      </c>
      <c r="B297" s="81" t="s">
        <v>616</v>
      </c>
      <c r="C297" s="59">
        <v>35</v>
      </c>
      <c r="D297" s="60" t="s">
        <v>57</v>
      </c>
      <c r="E297" s="60">
        <v>79.16</v>
      </c>
      <c r="F297" s="60">
        <v>23.07</v>
      </c>
      <c r="G297" s="60">
        <v>102.22999999999999</v>
      </c>
      <c r="H297" s="61">
        <v>2770.6</v>
      </c>
      <c r="I297" s="61">
        <v>807.45</v>
      </c>
      <c r="J297" s="62">
        <v>3578.0499999999997</v>
      </c>
      <c r="M297" s="75"/>
      <c r="N297" s="76"/>
      <c r="V297" s="56">
        <v>36</v>
      </c>
      <c r="W297" s="56" t="s">
        <v>57</v>
      </c>
      <c r="X297" s="64">
        <v>87.26</v>
      </c>
      <c r="Y297" s="64">
        <v>18.78</v>
      </c>
      <c r="Z297" s="64">
        <f t="shared" si="30"/>
        <v>106.04</v>
      </c>
      <c r="AB297" s="56">
        <v>36</v>
      </c>
      <c r="AC297" s="56" t="s">
        <v>57</v>
      </c>
      <c r="AD297" s="64">
        <v>111.26</v>
      </c>
      <c r="AE297" s="64">
        <v>23.94</v>
      </c>
      <c r="AF297" s="64">
        <f t="shared" si="31"/>
        <v>135.20000000000002</v>
      </c>
      <c r="AH297" s="65">
        <f t="shared" si="32"/>
        <v>-0.28851339205464688</v>
      </c>
      <c r="AI297" s="65">
        <f t="shared" si="32"/>
        <v>-3.6340852130325896E-2</v>
      </c>
      <c r="AJ297" s="65">
        <f t="shared" si="32"/>
        <v>-0.24386094674556225</v>
      </c>
    </row>
    <row r="298" spans="1:36" x14ac:dyDescent="0.3">
      <c r="A298" s="78" t="s">
        <v>617</v>
      </c>
      <c r="B298" s="81" t="s">
        <v>618</v>
      </c>
      <c r="C298" s="59">
        <v>42</v>
      </c>
      <c r="D298" s="60" t="s">
        <v>57</v>
      </c>
      <c r="E298" s="60">
        <v>34.17</v>
      </c>
      <c r="F298" s="60">
        <v>122.53</v>
      </c>
      <c r="G298" s="60">
        <v>156.69999999999999</v>
      </c>
      <c r="H298" s="61">
        <v>1435.14</v>
      </c>
      <c r="I298" s="61">
        <v>5146.26</v>
      </c>
      <c r="J298" s="62">
        <v>6581.4</v>
      </c>
      <c r="M298" s="75"/>
      <c r="N298" s="76"/>
      <c r="V298" s="56">
        <v>70</v>
      </c>
      <c r="W298" s="56" t="s">
        <v>57</v>
      </c>
      <c r="X298" s="64">
        <v>50.7</v>
      </c>
      <c r="Y298" s="64">
        <v>98.16</v>
      </c>
      <c r="Z298" s="64">
        <f t="shared" si="30"/>
        <v>148.86000000000001</v>
      </c>
      <c r="AB298" s="56">
        <v>70</v>
      </c>
      <c r="AC298" s="56" t="s">
        <v>57</v>
      </c>
      <c r="AD298" s="64">
        <v>64.64</v>
      </c>
      <c r="AE298" s="64">
        <v>125.15</v>
      </c>
      <c r="AF298" s="64">
        <f t="shared" si="31"/>
        <v>189.79000000000002</v>
      </c>
      <c r="AH298" s="65">
        <f t="shared" si="32"/>
        <v>-0.47137995049504944</v>
      </c>
      <c r="AI298" s="65">
        <f t="shared" si="32"/>
        <v>-2.0934878146224523E-2</v>
      </c>
      <c r="AJ298" s="65">
        <f t="shared" si="32"/>
        <v>-0.17435059802940112</v>
      </c>
    </row>
    <row r="299" spans="1:36" x14ac:dyDescent="0.3">
      <c r="A299" s="78" t="s">
        <v>619</v>
      </c>
      <c r="B299" s="81" t="s">
        <v>620</v>
      </c>
      <c r="C299" s="59">
        <v>49</v>
      </c>
      <c r="D299" s="60" t="s">
        <v>57</v>
      </c>
      <c r="E299" s="60">
        <v>45</v>
      </c>
      <c r="F299" s="60">
        <v>11.15</v>
      </c>
      <c r="G299" s="60">
        <v>56.15</v>
      </c>
      <c r="H299" s="61">
        <v>2205</v>
      </c>
      <c r="I299" s="61">
        <v>546.35</v>
      </c>
      <c r="J299" s="62">
        <v>2751.35</v>
      </c>
      <c r="M299" s="75"/>
      <c r="N299" s="76"/>
      <c r="V299" s="56">
        <v>16</v>
      </c>
      <c r="W299" s="56" t="s">
        <v>57</v>
      </c>
      <c r="X299" s="64">
        <v>85.09</v>
      </c>
      <c r="Y299" s="64">
        <v>8.93</v>
      </c>
      <c r="Z299" s="64">
        <f t="shared" si="30"/>
        <v>94.02000000000001</v>
      </c>
      <c r="AB299" s="56">
        <v>16</v>
      </c>
      <c r="AC299" s="56" t="s">
        <v>57</v>
      </c>
      <c r="AD299" s="64">
        <v>108.49</v>
      </c>
      <c r="AE299" s="64">
        <v>11.39</v>
      </c>
      <c r="AF299" s="64">
        <f t="shared" si="31"/>
        <v>119.88</v>
      </c>
      <c r="AH299" s="65">
        <f t="shared" si="32"/>
        <v>-0.58521522720988106</v>
      </c>
      <c r="AI299" s="65">
        <f t="shared" si="32"/>
        <v>-2.1071115013169495E-2</v>
      </c>
      <c r="AJ299" s="65">
        <f t="shared" si="32"/>
        <v>-0.53161494828161493</v>
      </c>
    </row>
    <row r="300" spans="1:36" x14ac:dyDescent="0.3">
      <c r="A300" s="78" t="s">
        <v>621</v>
      </c>
      <c r="B300" s="81" t="s">
        <v>622</v>
      </c>
      <c r="C300" s="59">
        <v>412</v>
      </c>
      <c r="D300" s="60" t="s">
        <v>57</v>
      </c>
      <c r="E300" s="60">
        <v>34.840000000000003</v>
      </c>
      <c r="F300" s="60">
        <v>61.27</v>
      </c>
      <c r="G300" s="60">
        <v>96.110000000000014</v>
      </c>
      <c r="H300" s="61">
        <v>14354.080000000002</v>
      </c>
      <c r="I300" s="61">
        <v>25243.24</v>
      </c>
      <c r="J300" s="62">
        <v>39597.320000000007</v>
      </c>
      <c r="M300" s="75"/>
      <c r="N300" s="76"/>
      <c r="V300" s="56">
        <v>111</v>
      </c>
      <c r="W300" s="56" t="s">
        <v>57</v>
      </c>
      <c r="X300" s="64">
        <v>50.99</v>
      </c>
      <c r="Y300" s="64">
        <v>49.08</v>
      </c>
      <c r="Z300" s="64">
        <f t="shared" si="30"/>
        <v>100.07</v>
      </c>
      <c r="AB300" s="56">
        <v>111</v>
      </c>
      <c r="AC300" s="56" t="s">
        <v>57</v>
      </c>
      <c r="AD300" s="64">
        <v>65.010000000000005</v>
      </c>
      <c r="AE300" s="64">
        <v>62.58</v>
      </c>
      <c r="AF300" s="64">
        <f t="shared" si="31"/>
        <v>127.59</v>
      </c>
      <c r="AH300" s="65">
        <f t="shared" si="32"/>
        <v>-0.4640824488540225</v>
      </c>
      <c r="AI300" s="65">
        <f t="shared" si="32"/>
        <v>-2.0933205496963758E-2</v>
      </c>
      <c r="AJ300" s="65">
        <f t="shared" si="32"/>
        <v>-0.2467277999843247</v>
      </c>
    </row>
    <row r="301" spans="1:36" x14ac:dyDescent="0.3">
      <c r="A301" s="78" t="s">
        <v>623</v>
      </c>
      <c r="B301" s="81" t="s">
        <v>624</v>
      </c>
      <c r="C301" s="59">
        <v>6</v>
      </c>
      <c r="D301" s="60" t="s">
        <v>57</v>
      </c>
      <c r="E301" s="60">
        <v>1034.45</v>
      </c>
      <c r="F301" s="60">
        <v>24.51</v>
      </c>
      <c r="G301" s="60">
        <v>1058.96</v>
      </c>
      <c r="H301" s="61">
        <v>6206.7000000000007</v>
      </c>
      <c r="I301" s="61">
        <v>147.06</v>
      </c>
      <c r="J301" s="62">
        <v>6353.76</v>
      </c>
      <c r="M301" s="75"/>
      <c r="N301" s="76"/>
      <c r="V301" s="56">
        <v>6</v>
      </c>
      <c r="W301" s="56" t="s">
        <v>57</v>
      </c>
      <c r="X301" s="64">
        <v>1976.92</v>
      </c>
      <c r="Y301" s="64">
        <v>19.63</v>
      </c>
      <c r="Z301" s="64">
        <f t="shared" si="30"/>
        <v>1996.5500000000002</v>
      </c>
      <c r="AB301" s="56">
        <v>6</v>
      </c>
      <c r="AC301" s="56" t="s">
        <v>57</v>
      </c>
      <c r="AD301" s="64">
        <v>2520.5700000000002</v>
      </c>
      <c r="AE301" s="64">
        <v>25.03</v>
      </c>
      <c r="AF301" s="64">
        <f t="shared" si="31"/>
        <v>2545.6000000000004</v>
      </c>
      <c r="AH301" s="65">
        <f t="shared" si="32"/>
        <v>-0.58959679754976058</v>
      </c>
      <c r="AI301" s="65">
        <f t="shared" si="32"/>
        <v>-2.0775069916100675E-2</v>
      </c>
      <c r="AJ301" s="65">
        <f t="shared" si="32"/>
        <v>-0.58400377121307356</v>
      </c>
    </row>
    <row r="302" spans="1:36" x14ac:dyDescent="0.3">
      <c r="A302" s="78" t="s">
        <v>625</v>
      </c>
      <c r="B302" s="81" t="s">
        <v>626</v>
      </c>
      <c r="C302" s="59">
        <v>9</v>
      </c>
      <c r="D302" s="60" t="s">
        <v>57</v>
      </c>
      <c r="E302" s="60">
        <v>449.7</v>
      </c>
      <c r="F302" s="60">
        <v>24.51</v>
      </c>
      <c r="G302" s="60">
        <v>474.21</v>
      </c>
      <c r="H302" s="61">
        <v>4047.2999999999997</v>
      </c>
      <c r="I302" s="61">
        <v>220.59</v>
      </c>
      <c r="J302" s="62">
        <v>4267.8899999999994</v>
      </c>
      <c r="M302" s="75"/>
      <c r="N302" s="76"/>
      <c r="V302" s="56">
        <v>9</v>
      </c>
      <c r="W302" s="56" t="s">
        <v>57</v>
      </c>
      <c r="X302" s="64">
        <v>859.41</v>
      </c>
      <c r="Y302" s="64">
        <v>19.63</v>
      </c>
      <c r="Z302" s="64">
        <f t="shared" si="30"/>
        <v>879.04</v>
      </c>
      <c r="AB302" s="56">
        <v>9</v>
      </c>
      <c r="AC302" s="56" t="s">
        <v>57</v>
      </c>
      <c r="AD302" s="64">
        <v>1095.75</v>
      </c>
      <c r="AE302" s="64">
        <v>25.03</v>
      </c>
      <c r="AF302" s="64">
        <f t="shared" si="31"/>
        <v>1120.78</v>
      </c>
      <c r="AH302" s="65">
        <f t="shared" si="32"/>
        <v>-0.58959616700889805</v>
      </c>
      <c r="AI302" s="65">
        <f t="shared" si="32"/>
        <v>-2.0775069916100675E-2</v>
      </c>
      <c r="AJ302" s="65">
        <f t="shared" si="32"/>
        <v>-0.57689287817412871</v>
      </c>
    </row>
    <row r="303" spans="1:36" x14ac:dyDescent="0.3">
      <c r="A303" s="78" t="s">
        <v>627</v>
      </c>
      <c r="B303" s="81" t="s">
        <v>628</v>
      </c>
      <c r="C303" s="59">
        <v>28</v>
      </c>
      <c r="D303" s="60" t="s">
        <v>57</v>
      </c>
      <c r="E303" s="60">
        <v>90.32</v>
      </c>
      <c r="F303" s="60">
        <v>24.51</v>
      </c>
      <c r="G303" s="60">
        <v>114.83</v>
      </c>
      <c r="H303" s="61">
        <v>2528.96</v>
      </c>
      <c r="I303" s="61">
        <v>686.28000000000009</v>
      </c>
      <c r="J303" s="62">
        <v>3215.24</v>
      </c>
      <c r="M303" s="75"/>
      <c r="N303" s="76"/>
      <c r="V303" s="56">
        <v>1</v>
      </c>
      <c r="W303" s="56" t="s">
        <v>57</v>
      </c>
      <c r="X303" s="64">
        <v>172.6</v>
      </c>
      <c r="Y303" s="64">
        <v>19.63</v>
      </c>
      <c r="Z303" s="64">
        <f t="shared" si="30"/>
        <v>192.23</v>
      </c>
      <c r="AB303" s="56">
        <v>1</v>
      </c>
      <c r="AC303" s="56" t="s">
        <v>57</v>
      </c>
      <c r="AD303" s="64">
        <v>220.07</v>
      </c>
      <c r="AE303" s="64">
        <v>25.03</v>
      </c>
      <c r="AF303" s="64">
        <f t="shared" si="31"/>
        <v>245.1</v>
      </c>
      <c r="AH303" s="65">
        <f t="shared" si="32"/>
        <v>-0.58958513200345353</v>
      </c>
      <c r="AI303" s="65">
        <f t="shared" si="32"/>
        <v>-2.0775069916100675E-2</v>
      </c>
      <c r="AJ303" s="65">
        <f t="shared" si="32"/>
        <v>-0.53149734802121584</v>
      </c>
    </row>
    <row r="304" spans="1:36" x14ac:dyDescent="0.3">
      <c r="A304" s="78" t="s">
        <v>629</v>
      </c>
      <c r="B304" s="81" t="s">
        <v>630</v>
      </c>
      <c r="C304" s="59">
        <v>13</v>
      </c>
      <c r="D304" s="60" t="s">
        <v>57</v>
      </c>
      <c r="E304" s="60">
        <v>57.03</v>
      </c>
      <c r="F304" s="60">
        <v>34.799999999999997</v>
      </c>
      <c r="G304" s="60">
        <v>91.83</v>
      </c>
      <c r="H304" s="61">
        <v>741.39</v>
      </c>
      <c r="I304" s="61">
        <v>452.4</v>
      </c>
      <c r="J304" s="62">
        <v>1193.79</v>
      </c>
      <c r="M304" s="75"/>
      <c r="N304" s="76"/>
      <c r="V304" s="56">
        <v>12</v>
      </c>
      <c r="W304" s="56" t="s">
        <v>57</v>
      </c>
      <c r="X304" s="64">
        <v>107.27</v>
      </c>
      <c r="Y304" s="64">
        <v>27.88</v>
      </c>
      <c r="Z304" s="64">
        <f t="shared" si="30"/>
        <v>135.15</v>
      </c>
      <c r="AB304" s="56">
        <v>12</v>
      </c>
      <c r="AC304" s="56" t="s">
        <v>57</v>
      </c>
      <c r="AD304" s="64">
        <v>136.77000000000001</v>
      </c>
      <c r="AE304" s="64">
        <v>35.549999999999997</v>
      </c>
      <c r="AF304" s="64">
        <f t="shared" si="31"/>
        <v>172.32</v>
      </c>
      <c r="AH304" s="65">
        <f t="shared" si="32"/>
        <v>-0.58302259267383194</v>
      </c>
      <c r="AI304" s="65">
        <f t="shared" si="32"/>
        <v>-2.1097046413502074E-2</v>
      </c>
      <c r="AJ304" s="65">
        <f t="shared" si="32"/>
        <v>-0.46709610027855153</v>
      </c>
    </row>
    <row r="305" spans="1:36" x14ac:dyDescent="0.3">
      <c r="A305" s="78" t="s">
        <v>631</v>
      </c>
      <c r="B305" s="81" t="s">
        <v>632</v>
      </c>
      <c r="C305" s="59">
        <v>37</v>
      </c>
      <c r="D305" s="60" t="s">
        <v>57</v>
      </c>
      <c r="E305" s="60">
        <v>45.12</v>
      </c>
      <c r="F305" s="60">
        <v>23.16</v>
      </c>
      <c r="G305" s="60">
        <v>68.28</v>
      </c>
      <c r="H305" s="61">
        <v>1669.4399999999998</v>
      </c>
      <c r="I305" s="61">
        <v>856.92</v>
      </c>
      <c r="J305" s="62">
        <v>2526.36</v>
      </c>
      <c r="M305" s="75"/>
      <c r="N305" s="76"/>
      <c r="V305" s="56">
        <v>21</v>
      </c>
      <c r="W305" s="56" t="s">
        <v>57</v>
      </c>
      <c r="X305" s="64">
        <v>85.07</v>
      </c>
      <c r="Y305" s="64">
        <v>18.55</v>
      </c>
      <c r="Z305" s="64">
        <f t="shared" si="30"/>
        <v>103.61999999999999</v>
      </c>
      <c r="AB305" s="56">
        <v>21</v>
      </c>
      <c r="AC305" s="56" t="s">
        <v>57</v>
      </c>
      <c r="AD305" s="64">
        <v>108.46</v>
      </c>
      <c r="AE305" s="64">
        <v>23.65</v>
      </c>
      <c r="AF305" s="64">
        <f t="shared" si="31"/>
        <v>132.10999999999999</v>
      </c>
      <c r="AH305" s="65">
        <f t="shared" si="32"/>
        <v>-0.5839940992070809</v>
      </c>
      <c r="AI305" s="65">
        <f t="shared" si="32"/>
        <v>-2.0718816067653245E-2</v>
      </c>
      <c r="AJ305" s="65">
        <f t="shared" si="32"/>
        <v>-0.48315797441525998</v>
      </c>
    </row>
    <row r="306" spans="1:36" x14ac:dyDescent="0.3">
      <c r="A306" s="78" t="s">
        <v>633</v>
      </c>
      <c r="B306" s="81" t="s">
        <v>634</v>
      </c>
      <c r="C306" s="59">
        <v>18</v>
      </c>
      <c r="D306" s="60" t="s">
        <v>57</v>
      </c>
      <c r="E306" s="60">
        <v>12.69</v>
      </c>
      <c r="F306" s="60">
        <v>11.58</v>
      </c>
      <c r="G306" s="60">
        <v>24.27</v>
      </c>
      <c r="H306" s="61">
        <v>228.42</v>
      </c>
      <c r="I306" s="61">
        <v>208.44</v>
      </c>
      <c r="J306" s="62">
        <v>436.86</v>
      </c>
      <c r="M306" s="75"/>
      <c r="N306" s="76"/>
      <c r="V306" s="56">
        <v>1</v>
      </c>
      <c r="W306" s="56" t="s">
        <v>57</v>
      </c>
      <c r="X306" s="64">
        <v>23.66</v>
      </c>
      <c r="Y306" s="64">
        <v>9.2799999999999994</v>
      </c>
      <c r="Z306" s="64">
        <f t="shared" si="30"/>
        <v>32.94</v>
      </c>
      <c r="AB306" s="56">
        <v>1</v>
      </c>
      <c r="AC306" s="56" t="s">
        <v>57</v>
      </c>
      <c r="AD306" s="64">
        <v>30.17</v>
      </c>
      <c r="AE306" s="64">
        <v>11.83</v>
      </c>
      <c r="AF306" s="64">
        <f t="shared" si="31"/>
        <v>42</v>
      </c>
      <c r="AH306" s="65">
        <f t="shared" si="32"/>
        <v>-0.57938349353662577</v>
      </c>
      <c r="AI306" s="65">
        <f t="shared" si="32"/>
        <v>-2.1132713440405793E-2</v>
      </c>
      <c r="AJ306" s="65">
        <f t="shared" si="32"/>
        <v>-0.42214285714285715</v>
      </c>
    </row>
    <row r="307" spans="1:36" x14ac:dyDescent="0.3">
      <c r="A307" s="78" t="s">
        <v>635</v>
      </c>
      <c r="B307" s="81" t="s">
        <v>636</v>
      </c>
      <c r="C307" s="59">
        <v>1</v>
      </c>
      <c r="D307" s="60" t="s">
        <v>57</v>
      </c>
      <c r="E307" s="60">
        <v>59.23</v>
      </c>
      <c r="F307" s="60">
        <v>11.58</v>
      </c>
      <c r="G307" s="60">
        <v>70.81</v>
      </c>
      <c r="H307" s="61">
        <v>59.23</v>
      </c>
      <c r="I307" s="61">
        <v>11.58</v>
      </c>
      <c r="J307" s="62">
        <v>70.81</v>
      </c>
      <c r="M307" s="75"/>
      <c r="N307" s="76"/>
      <c r="V307" s="56">
        <v>1</v>
      </c>
      <c r="W307" s="56" t="s">
        <v>57</v>
      </c>
      <c r="X307" s="64">
        <v>112.63</v>
      </c>
      <c r="Y307" s="64">
        <v>9.2799999999999994</v>
      </c>
      <c r="Z307" s="64">
        <f t="shared" si="30"/>
        <v>121.91</v>
      </c>
      <c r="AB307" s="56">
        <v>1</v>
      </c>
      <c r="AC307" s="56" t="s">
        <v>57</v>
      </c>
      <c r="AD307" s="64">
        <v>143.6</v>
      </c>
      <c r="AE307" s="64">
        <v>11.83</v>
      </c>
      <c r="AF307" s="64">
        <f t="shared" si="31"/>
        <v>155.43</v>
      </c>
      <c r="AH307" s="65">
        <f t="shared" si="32"/>
        <v>-0.58753481894150417</v>
      </c>
      <c r="AI307" s="65">
        <f t="shared" si="32"/>
        <v>-2.1132713440405793E-2</v>
      </c>
      <c r="AJ307" s="65">
        <f t="shared" si="32"/>
        <v>-0.54442514315125778</v>
      </c>
    </row>
    <row r="308" spans="1:36" x14ac:dyDescent="0.3">
      <c r="A308" s="78" t="s">
        <v>637</v>
      </c>
      <c r="B308" s="81" t="s">
        <v>638</v>
      </c>
      <c r="C308" s="59">
        <v>4</v>
      </c>
      <c r="D308" s="60" t="s">
        <v>57</v>
      </c>
      <c r="E308" s="60">
        <v>149.24</v>
      </c>
      <c r="F308" s="60">
        <v>11.58</v>
      </c>
      <c r="G308" s="60">
        <v>160.82000000000002</v>
      </c>
      <c r="H308" s="61">
        <v>596.96</v>
      </c>
      <c r="I308" s="61">
        <v>46.32</v>
      </c>
      <c r="J308" s="62">
        <v>643.28000000000009</v>
      </c>
      <c r="M308" s="75"/>
      <c r="N308" s="76"/>
      <c r="V308" s="56">
        <v>7</v>
      </c>
      <c r="W308" s="56" t="s">
        <v>57</v>
      </c>
      <c r="X308" s="64">
        <v>284.63</v>
      </c>
      <c r="Y308" s="64">
        <v>9.2799999999999994</v>
      </c>
      <c r="Z308" s="64">
        <f t="shared" si="30"/>
        <v>293.90999999999997</v>
      </c>
      <c r="AB308" s="56">
        <v>7</v>
      </c>
      <c r="AC308" s="56" t="s">
        <v>57</v>
      </c>
      <c r="AD308" s="64">
        <v>362.9</v>
      </c>
      <c r="AE308" s="64">
        <v>11.83</v>
      </c>
      <c r="AF308" s="64">
        <f t="shared" si="31"/>
        <v>374.72999999999996</v>
      </c>
      <c r="AH308" s="65">
        <f t="shared" si="32"/>
        <v>-0.58875723339763009</v>
      </c>
      <c r="AI308" s="65">
        <f t="shared" si="32"/>
        <v>-2.1132713440405793E-2</v>
      </c>
      <c r="AJ308" s="65">
        <f t="shared" si="32"/>
        <v>-0.57083766978891459</v>
      </c>
    </row>
    <row r="309" spans="1:36" x14ac:dyDescent="0.3">
      <c r="A309" s="78" t="s">
        <v>639</v>
      </c>
      <c r="B309" s="81" t="s">
        <v>640</v>
      </c>
      <c r="C309" s="59">
        <v>5</v>
      </c>
      <c r="D309" s="60" t="s">
        <v>57</v>
      </c>
      <c r="E309" s="60">
        <v>149.24</v>
      </c>
      <c r="F309" s="60">
        <v>11.58</v>
      </c>
      <c r="G309" s="60">
        <v>160.82000000000002</v>
      </c>
      <c r="H309" s="61">
        <v>746.2</v>
      </c>
      <c r="I309" s="61">
        <v>57.9</v>
      </c>
      <c r="J309" s="62">
        <v>804.10000000000014</v>
      </c>
      <c r="M309" s="75"/>
      <c r="N309" s="76"/>
      <c r="V309" s="56">
        <v>1</v>
      </c>
      <c r="W309" s="56" t="s">
        <v>57</v>
      </c>
      <c r="X309" s="64">
        <v>284.63</v>
      </c>
      <c r="Y309" s="64">
        <v>9.2799999999999994</v>
      </c>
      <c r="Z309" s="64">
        <f t="shared" si="30"/>
        <v>293.90999999999997</v>
      </c>
      <c r="AB309" s="56">
        <v>1</v>
      </c>
      <c r="AC309" s="56" t="s">
        <v>57</v>
      </c>
      <c r="AD309" s="64">
        <v>362.9</v>
      </c>
      <c r="AE309" s="64">
        <v>11.83</v>
      </c>
      <c r="AF309" s="64">
        <f t="shared" si="31"/>
        <v>374.72999999999996</v>
      </c>
      <c r="AH309" s="65">
        <f t="shared" si="32"/>
        <v>-0.58875723339763009</v>
      </c>
      <c r="AI309" s="65">
        <f t="shared" si="32"/>
        <v>-2.1132713440405793E-2</v>
      </c>
      <c r="AJ309" s="65">
        <f t="shared" si="32"/>
        <v>-0.57083766978891459</v>
      </c>
    </row>
    <row r="310" spans="1:36" x14ac:dyDescent="0.3">
      <c r="A310" s="78" t="s">
        <v>641</v>
      </c>
      <c r="B310" s="81" t="s">
        <v>642</v>
      </c>
      <c r="C310" s="59">
        <v>1</v>
      </c>
      <c r="D310" s="60" t="s">
        <v>57</v>
      </c>
      <c r="E310" s="60">
        <v>127.07</v>
      </c>
      <c r="F310" s="60">
        <v>23.16</v>
      </c>
      <c r="G310" s="60">
        <v>150.22999999999999</v>
      </c>
      <c r="H310" s="61">
        <v>127.07</v>
      </c>
      <c r="I310" s="61">
        <v>23.16</v>
      </c>
      <c r="J310" s="62">
        <v>150.22999999999999</v>
      </c>
      <c r="M310" s="75"/>
      <c r="N310" s="76"/>
      <c r="V310" s="56">
        <v>1</v>
      </c>
      <c r="W310" s="56" t="s">
        <v>57</v>
      </c>
      <c r="X310" s="64">
        <v>241.69</v>
      </c>
      <c r="Y310" s="64">
        <v>18.55</v>
      </c>
      <c r="Z310" s="64">
        <f t="shared" si="30"/>
        <v>260.24</v>
      </c>
      <c r="AB310" s="56">
        <v>1</v>
      </c>
      <c r="AC310" s="56" t="s">
        <v>57</v>
      </c>
      <c r="AD310" s="64">
        <v>308.14999999999998</v>
      </c>
      <c r="AE310" s="64">
        <v>23.65</v>
      </c>
      <c r="AF310" s="64">
        <f t="shared" si="31"/>
        <v>331.79999999999995</v>
      </c>
      <c r="AH310" s="65">
        <f t="shared" si="32"/>
        <v>-0.58763589161122831</v>
      </c>
      <c r="AI310" s="65">
        <f t="shared" si="32"/>
        <v>-2.0718816067653245E-2</v>
      </c>
      <c r="AJ310" s="65">
        <f t="shared" si="32"/>
        <v>-0.54722724532851119</v>
      </c>
    </row>
    <row r="311" spans="1:36" x14ac:dyDescent="0.3">
      <c r="A311" s="78" t="s">
        <v>643</v>
      </c>
      <c r="B311" s="81" t="s">
        <v>644</v>
      </c>
      <c r="C311" s="59">
        <v>1</v>
      </c>
      <c r="D311" s="60" t="s">
        <v>57</v>
      </c>
      <c r="E311" s="60">
        <v>134.6</v>
      </c>
      <c r="F311" s="60">
        <v>34.799999999999997</v>
      </c>
      <c r="G311" s="60">
        <v>169.39999999999998</v>
      </c>
      <c r="H311" s="61">
        <v>134.6</v>
      </c>
      <c r="I311" s="61">
        <v>34.799999999999997</v>
      </c>
      <c r="J311" s="62">
        <v>169.39999999999998</v>
      </c>
      <c r="M311" s="75"/>
      <c r="N311" s="76"/>
      <c r="V311" s="56">
        <v>1</v>
      </c>
      <c r="W311" s="56" t="s">
        <v>57</v>
      </c>
      <c r="X311" s="64">
        <v>255.51</v>
      </c>
      <c r="Y311" s="64">
        <v>27.88</v>
      </c>
      <c r="Z311" s="64">
        <f t="shared" si="30"/>
        <v>283.39</v>
      </c>
      <c r="AB311" s="56">
        <v>1</v>
      </c>
      <c r="AC311" s="56" t="s">
        <v>57</v>
      </c>
      <c r="AD311" s="64">
        <v>325.77999999999997</v>
      </c>
      <c r="AE311" s="64">
        <v>35.549999999999997</v>
      </c>
      <c r="AF311" s="64">
        <f t="shared" si="31"/>
        <v>361.33</v>
      </c>
      <c r="AH311" s="65">
        <f t="shared" si="32"/>
        <v>-0.58683774326232419</v>
      </c>
      <c r="AI311" s="65">
        <f t="shared" si="32"/>
        <v>-2.1097046413502074E-2</v>
      </c>
      <c r="AJ311" s="65">
        <f t="shared" si="32"/>
        <v>-0.53117648686796004</v>
      </c>
    </row>
    <row r="312" spans="1:36" x14ac:dyDescent="0.3">
      <c r="A312" s="78" t="s">
        <v>645</v>
      </c>
      <c r="B312" s="81" t="s">
        <v>646</v>
      </c>
      <c r="C312" s="59">
        <v>1</v>
      </c>
      <c r="D312" s="60" t="s">
        <v>57</v>
      </c>
      <c r="E312" s="60">
        <v>146.37</v>
      </c>
      <c r="F312" s="60">
        <v>34.799999999999997</v>
      </c>
      <c r="G312" s="60">
        <v>181.17000000000002</v>
      </c>
      <c r="H312" s="61">
        <v>146.37</v>
      </c>
      <c r="I312" s="61">
        <v>34.799999999999997</v>
      </c>
      <c r="J312" s="62">
        <v>181.17000000000002</v>
      </c>
      <c r="M312" s="75"/>
      <c r="N312" s="76"/>
      <c r="V312" s="56">
        <v>1</v>
      </c>
      <c r="W312" s="56" t="s">
        <v>57</v>
      </c>
      <c r="X312" s="64">
        <v>278</v>
      </c>
      <c r="Y312" s="64">
        <v>27.88</v>
      </c>
      <c r="Z312" s="64">
        <f t="shared" ref="Z312:Z375" si="33">SUM(X312:Y312)</f>
        <v>305.88</v>
      </c>
      <c r="AB312" s="56">
        <v>1</v>
      </c>
      <c r="AC312" s="56" t="s">
        <v>57</v>
      </c>
      <c r="AD312" s="64">
        <v>354.45</v>
      </c>
      <c r="AE312" s="64">
        <v>35.549999999999997</v>
      </c>
      <c r="AF312" s="64">
        <f t="shared" ref="AF312:AF375" si="34">SUM(AD312:AE312)</f>
        <v>390</v>
      </c>
      <c r="AH312" s="65">
        <f t="shared" si="32"/>
        <v>-0.58705035971223019</v>
      </c>
      <c r="AI312" s="65">
        <f t="shared" si="32"/>
        <v>-2.1097046413502074E-2</v>
      </c>
      <c r="AJ312" s="65">
        <f t="shared" si="32"/>
        <v>-0.53546153846153843</v>
      </c>
    </row>
    <row r="313" spans="1:36" x14ac:dyDescent="0.3">
      <c r="A313" s="78" t="s">
        <v>647</v>
      </c>
      <c r="B313" s="81" t="s">
        <v>648</v>
      </c>
      <c r="C313" s="59">
        <v>18</v>
      </c>
      <c r="D313" s="60" t="s">
        <v>57</v>
      </c>
      <c r="E313" s="60">
        <v>184.57</v>
      </c>
      <c r="F313" s="60">
        <v>203.57</v>
      </c>
      <c r="G313" s="60">
        <v>388.14</v>
      </c>
      <c r="H313" s="61">
        <v>3322.2599999999998</v>
      </c>
      <c r="I313" s="61">
        <v>3664.2599999999998</v>
      </c>
      <c r="J313" s="62">
        <v>6986.5199999999995</v>
      </c>
      <c r="M313" s="75"/>
      <c r="N313" s="76"/>
      <c r="V313" s="56">
        <v>33</v>
      </c>
      <c r="W313" s="56" t="s">
        <v>57</v>
      </c>
      <c r="X313" s="64">
        <v>260</v>
      </c>
      <c r="Y313" s="64">
        <v>166.56</v>
      </c>
      <c r="Z313" s="64">
        <f t="shared" si="33"/>
        <v>426.56</v>
      </c>
      <c r="AB313" s="56">
        <v>33</v>
      </c>
      <c r="AC313" s="56" t="s">
        <v>57</v>
      </c>
      <c r="AD313" s="64">
        <v>331.5</v>
      </c>
      <c r="AE313" s="64">
        <v>212.36</v>
      </c>
      <c r="AF313" s="64">
        <f t="shared" si="34"/>
        <v>543.86</v>
      </c>
      <c r="AH313" s="65">
        <f t="shared" si="32"/>
        <v>-0.44322775263951741</v>
      </c>
      <c r="AI313" s="65">
        <f t="shared" si="32"/>
        <v>-4.1391975889998212E-2</v>
      </c>
      <c r="AJ313" s="65">
        <f t="shared" si="32"/>
        <v>-0.28632368624278315</v>
      </c>
    </row>
    <row r="314" spans="1:36" x14ac:dyDescent="0.3">
      <c r="A314" s="78" t="s">
        <v>649</v>
      </c>
      <c r="B314" s="81" t="s">
        <v>650</v>
      </c>
      <c r="C314" s="59">
        <v>35</v>
      </c>
      <c r="D314" s="60" t="s">
        <v>57</v>
      </c>
      <c r="E314" s="60">
        <v>510.9</v>
      </c>
      <c r="F314" s="60">
        <v>252.58</v>
      </c>
      <c r="G314" s="60">
        <v>763.48</v>
      </c>
      <c r="H314" s="61">
        <v>17881.5</v>
      </c>
      <c r="I314" s="61">
        <v>8840.3000000000011</v>
      </c>
      <c r="J314" s="62">
        <v>26721.8</v>
      </c>
      <c r="M314" s="75"/>
      <c r="N314" s="76"/>
      <c r="V314" s="56">
        <v>1</v>
      </c>
      <c r="W314" s="56" t="s">
        <v>57</v>
      </c>
      <c r="X314" s="64">
        <v>719.69</v>
      </c>
      <c r="Y314" s="64">
        <v>205.82</v>
      </c>
      <c r="Z314" s="64">
        <f t="shared" si="33"/>
        <v>925.51</v>
      </c>
      <c r="AB314" s="56">
        <v>1</v>
      </c>
      <c r="AC314" s="56" t="s">
        <v>57</v>
      </c>
      <c r="AD314" s="64">
        <v>917.6</v>
      </c>
      <c r="AE314" s="64">
        <v>262.42</v>
      </c>
      <c r="AF314" s="64">
        <f t="shared" si="34"/>
        <v>1180.02</v>
      </c>
      <c r="AH314" s="65">
        <f t="shared" si="32"/>
        <v>-0.44322144725370538</v>
      </c>
      <c r="AI314" s="65">
        <f t="shared" si="32"/>
        <v>-3.7497141986129079E-2</v>
      </c>
      <c r="AJ314" s="65">
        <f t="shared" si="32"/>
        <v>-0.35299401705055844</v>
      </c>
    </row>
    <row r="315" spans="1:36" x14ac:dyDescent="0.3">
      <c r="A315" s="78" t="s">
        <v>651</v>
      </c>
      <c r="B315" s="81" t="s">
        <v>652</v>
      </c>
      <c r="C315" s="59">
        <v>1</v>
      </c>
      <c r="D315" s="60" t="s">
        <v>57</v>
      </c>
      <c r="E315" s="60">
        <v>346.59</v>
      </c>
      <c r="F315" s="60">
        <v>295.45999999999998</v>
      </c>
      <c r="G315" s="60">
        <v>642.04999999999995</v>
      </c>
      <c r="H315" s="61">
        <v>346.59</v>
      </c>
      <c r="I315" s="61">
        <v>295.45999999999998</v>
      </c>
      <c r="J315" s="62">
        <v>642.04999999999995</v>
      </c>
      <c r="M315" s="75"/>
      <c r="N315" s="76"/>
      <c r="V315" s="56">
        <v>1</v>
      </c>
      <c r="W315" s="56" t="s">
        <v>57</v>
      </c>
      <c r="X315" s="64">
        <v>488.22</v>
      </c>
      <c r="Y315" s="64">
        <v>240.18</v>
      </c>
      <c r="Z315" s="64">
        <f t="shared" si="33"/>
        <v>728.40000000000009</v>
      </c>
      <c r="AB315" s="56">
        <v>1</v>
      </c>
      <c r="AC315" s="56" t="s">
        <v>57</v>
      </c>
      <c r="AD315" s="64">
        <v>622.48</v>
      </c>
      <c r="AE315" s="64">
        <v>306.23</v>
      </c>
      <c r="AF315" s="64">
        <f t="shared" si="34"/>
        <v>928.71</v>
      </c>
      <c r="AH315" s="65">
        <f t="shared" si="32"/>
        <v>-0.44321102686030078</v>
      </c>
      <c r="AI315" s="65">
        <f t="shared" si="32"/>
        <v>-3.516964373183562E-2</v>
      </c>
      <c r="AJ315" s="65">
        <f t="shared" si="32"/>
        <v>-0.30866470695911541</v>
      </c>
    </row>
    <row r="316" spans="1:36" x14ac:dyDescent="0.3">
      <c r="A316" s="78" t="s">
        <v>653</v>
      </c>
      <c r="B316" s="81" t="s">
        <v>654</v>
      </c>
      <c r="C316" s="59">
        <v>1</v>
      </c>
      <c r="D316" s="60" t="s">
        <v>57</v>
      </c>
      <c r="E316" s="60">
        <v>30.91</v>
      </c>
      <c r="F316" s="60">
        <v>23.16</v>
      </c>
      <c r="G316" s="60">
        <v>54.07</v>
      </c>
      <c r="H316" s="61">
        <v>30.91</v>
      </c>
      <c r="I316" s="61">
        <v>23.16</v>
      </c>
      <c r="J316" s="62">
        <v>54.07</v>
      </c>
      <c r="M316" s="75"/>
      <c r="N316" s="76"/>
      <c r="V316" s="56">
        <v>1</v>
      </c>
      <c r="W316" s="56" t="s">
        <v>57</v>
      </c>
      <c r="X316" s="64">
        <v>36.82</v>
      </c>
      <c r="Y316" s="64">
        <v>18.55</v>
      </c>
      <c r="Z316" s="64">
        <f t="shared" si="33"/>
        <v>55.370000000000005</v>
      </c>
      <c r="AB316" s="56">
        <v>1</v>
      </c>
      <c r="AC316" s="56" t="s">
        <v>57</v>
      </c>
      <c r="AD316" s="64">
        <v>46.95</v>
      </c>
      <c r="AE316" s="64">
        <v>23.65</v>
      </c>
      <c r="AF316" s="64">
        <f t="shared" si="34"/>
        <v>70.599999999999994</v>
      </c>
      <c r="AH316" s="65">
        <f t="shared" si="32"/>
        <v>-0.34164004259850911</v>
      </c>
      <c r="AI316" s="65">
        <f t="shared" si="32"/>
        <v>-2.0718816067653245E-2</v>
      </c>
      <c r="AJ316" s="65">
        <f t="shared" si="32"/>
        <v>-0.23413597733711045</v>
      </c>
    </row>
    <row r="317" spans="1:36" x14ac:dyDescent="0.3">
      <c r="A317" s="78" t="s">
        <v>655</v>
      </c>
      <c r="B317" s="81" t="s">
        <v>656</v>
      </c>
      <c r="C317" s="59">
        <v>8</v>
      </c>
      <c r="D317" s="60" t="s">
        <v>57</v>
      </c>
      <c r="E317" s="60">
        <v>51.52</v>
      </c>
      <c r="F317" s="60">
        <v>34.799999999999997</v>
      </c>
      <c r="G317" s="60">
        <v>86.32</v>
      </c>
      <c r="H317" s="61">
        <v>412.16</v>
      </c>
      <c r="I317" s="61">
        <v>278.39999999999998</v>
      </c>
      <c r="J317" s="62">
        <v>690.56</v>
      </c>
      <c r="M317" s="75"/>
      <c r="N317" s="76"/>
      <c r="V317" s="56">
        <v>1</v>
      </c>
      <c r="W317" s="56" t="s">
        <v>57</v>
      </c>
      <c r="X317" s="64">
        <v>61.11</v>
      </c>
      <c r="Y317" s="64">
        <v>27.88</v>
      </c>
      <c r="Z317" s="64">
        <f t="shared" si="33"/>
        <v>88.99</v>
      </c>
      <c r="AB317" s="56">
        <v>1</v>
      </c>
      <c r="AC317" s="56" t="s">
        <v>57</v>
      </c>
      <c r="AD317" s="64">
        <v>77.92</v>
      </c>
      <c r="AE317" s="64">
        <v>35.549999999999997</v>
      </c>
      <c r="AF317" s="64">
        <f t="shared" si="34"/>
        <v>113.47</v>
      </c>
      <c r="AH317" s="65">
        <f t="shared" si="32"/>
        <v>-0.33880903490759751</v>
      </c>
      <c r="AI317" s="65">
        <f t="shared" si="32"/>
        <v>-2.1097046413502074E-2</v>
      </c>
      <c r="AJ317" s="65">
        <f t="shared" si="32"/>
        <v>-0.23927029170705916</v>
      </c>
    </row>
    <row r="318" spans="1:36" x14ac:dyDescent="0.3">
      <c r="A318" s="78" t="s">
        <v>657</v>
      </c>
      <c r="B318" s="81" t="s">
        <v>658</v>
      </c>
      <c r="C318" s="59">
        <v>11</v>
      </c>
      <c r="D318" s="60" t="s">
        <v>57</v>
      </c>
      <c r="E318" s="60">
        <v>48.31</v>
      </c>
      <c r="F318" s="60">
        <v>24.76</v>
      </c>
      <c r="G318" s="60">
        <v>73.070000000000007</v>
      </c>
      <c r="H318" s="61">
        <v>531.41000000000008</v>
      </c>
      <c r="I318" s="61">
        <v>272.36</v>
      </c>
      <c r="J318" s="62">
        <v>803.7700000000001</v>
      </c>
      <c r="M318" s="75"/>
      <c r="N318" s="76"/>
      <c r="V318" s="56">
        <v>1</v>
      </c>
      <c r="W318" s="56" t="s">
        <v>57</v>
      </c>
      <c r="X318" s="64">
        <v>55.14</v>
      </c>
      <c r="Y318" s="64">
        <v>21.1</v>
      </c>
      <c r="Z318" s="64">
        <f t="shared" si="33"/>
        <v>76.240000000000009</v>
      </c>
      <c r="AB318" s="56">
        <v>1</v>
      </c>
      <c r="AC318" s="56" t="s">
        <v>57</v>
      </c>
      <c r="AD318" s="64">
        <v>70.3</v>
      </c>
      <c r="AE318" s="64">
        <v>26.9</v>
      </c>
      <c r="AF318" s="64">
        <f t="shared" si="34"/>
        <v>97.199999999999989</v>
      </c>
      <c r="AH318" s="65">
        <f t="shared" si="32"/>
        <v>-0.31280227596017063</v>
      </c>
      <c r="AI318" s="65">
        <f t="shared" si="32"/>
        <v>-7.9553903345724764E-2</v>
      </c>
      <c r="AJ318" s="65">
        <f t="shared" si="32"/>
        <v>-0.24825102880658423</v>
      </c>
    </row>
    <row r="319" spans="1:36" x14ac:dyDescent="0.3">
      <c r="A319" s="78" t="s">
        <v>659</v>
      </c>
      <c r="B319" s="81" t="s">
        <v>660</v>
      </c>
      <c r="C319" s="59">
        <v>307</v>
      </c>
      <c r="D319" s="60" t="s">
        <v>87</v>
      </c>
      <c r="E319" s="60">
        <v>10.78</v>
      </c>
      <c r="F319" s="60">
        <v>5.88</v>
      </c>
      <c r="G319" s="60">
        <v>16.66</v>
      </c>
      <c r="H319" s="61">
        <v>3309.4599999999996</v>
      </c>
      <c r="I319" s="61">
        <v>1805.1599999999999</v>
      </c>
      <c r="J319" s="62">
        <v>5114.62</v>
      </c>
      <c r="M319" s="75"/>
      <c r="N319" s="76"/>
      <c r="V319" s="56">
        <v>17</v>
      </c>
      <c r="W319" s="56" t="s">
        <v>87</v>
      </c>
      <c r="X319" s="64">
        <v>12.49</v>
      </c>
      <c r="Y319" s="64">
        <v>4.71</v>
      </c>
      <c r="Z319" s="64">
        <f t="shared" si="33"/>
        <v>17.2</v>
      </c>
      <c r="AB319" s="56">
        <v>17</v>
      </c>
      <c r="AC319" s="56" t="s">
        <v>87</v>
      </c>
      <c r="AD319" s="64">
        <v>15.92</v>
      </c>
      <c r="AE319" s="64">
        <v>6.01</v>
      </c>
      <c r="AF319" s="64">
        <f t="shared" si="34"/>
        <v>21.93</v>
      </c>
      <c r="AH319" s="65">
        <f t="shared" si="32"/>
        <v>-0.32286432160804024</v>
      </c>
      <c r="AI319" s="65">
        <f t="shared" si="32"/>
        <v>-2.1630615640598982E-2</v>
      </c>
      <c r="AJ319" s="65">
        <f t="shared" si="32"/>
        <v>-0.24031007751937983</v>
      </c>
    </row>
    <row r="320" spans="1:36" x14ac:dyDescent="0.3">
      <c r="A320" s="78" t="s">
        <v>661</v>
      </c>
      <c r="B320" s="81" t="s">
        <v>662</v>
      </c>
      <c r="C320" s="59">
        <v>63</v>
      </c>
      <c r="D320" s="60" t="s">
        <v>87</v>
      </c>
      <c r="E320" s="60">
        <v>24.57</v>
      </c>
      <c r="F320" s="60">
        <v>4.2</v>
      </c>
      <c r="G320" s="60">
        <v>28.77</v>
      </c>
      <c r="H320" s="61">
        <v>1547.91</v>
      </c>
      <c r="I320" s="61">
        <v>264.60000000000002</v>
      </c>
      <c r="J320" s="62">
        <v>1812.51</v>
      </c>
      <c r="M320" s="75"/>
      <c r="N320" s="76"/>
      <c r="V320" s="56">
        <v>6</v>
      </c>
      <c r="W320" s="56" t="s">
        <v>87</v>
      </c>
      <c r="X320" s="64">
        <v>28.54</v>
      </c>
      <c r="Y320" s="64">
        <v>3.36</v>
      </c>
      <c r="Z320" s="64">
        <f t="shared" si="33"/>
        <v>31.9</v>
      </c>
      <c r="AB320" s="56">
        <v>6</v>
      </c>
      <c r="AC320" s="56" t="s">
        <v>87</v>
      </c>
      <c r="AD320" s="64">
        <v>36.39</v>
      </c>
      <c r="AE320" s="64">
        <v>4.28</v>
      </c>
      <c r="AF320" s="64">
        <f t="shared" si="34"/>
        <v>40.67</v>
      </c>
      <c r="AH320" s="65">
        <f t="shared" si="32"/>
        <v>-0.32481450948062651</v>
      </c>
      <c r="AI320" s="65">
        <f t="shared" si="32"/>
        <v>-1.8691588785046731E-2</v>
      </c>
      <c r="AJ320" s="65">
        <f t="shared" si="32"/>
        <v>-0.29259896729776247</v>
      </c>
    </row>
    <row r="321" spans="1:36" x14ac:dyDescent="0.3">
      <c r="A321" s="78" t="s">
        <v>663</v>
      </c>
      <c r="B321" s="81" t="s">
        <v>664</v>
      </c>
      <c r="C321" s="59">
        <v>454</v>
      </c>
      <c r="D321" s="60" t="s">
        <v>87</v>
      </c>
      <c r="E321" s="60">
        <v>50.95</v>
      </c>
      <c r="F321" s="60">
        <v>5.88</v>
      </c>
      <c r="G321" s="60">
        <v>56.830000000000005</v>
      </c>
      <c r="H321" s="61">
        <v>23131.300000000003</v>
      </c>
      <c r="I321" s="61">
        <v>2669.52</v>
      </c>
      <c r="J321" s="62">
        <v>25800.820000000003</v>
      </c>
      <c r="M321" s="75"/>
      <c r="N321" s="76"/>
      <c r="V321" s="56">
        <v>11</v>
      </c>
      <c r="W321" s="56" t="s">
        <v>87</v>
      </c>
      <c r="X321" s="64">
        <v>59.27</v>
      </c>
      <c r="Y321" s="64">
        <v>4.71</v>
      </c>
      <c r="Z321" s="64">
        <f t="shared" si="33"/>
        <v>63.980000000000004</v>
      </c>
      <c r="AB321" s="56">
        <v>11</v>
      </c>
      <c r="AC321" s="56" t="s">
        <v>87</v>
      </c>
      <c r="AD321" s="64">
        <v>75.569999999999993</v>
      </c>
      <c r="AE321" s="64">
        <v>6.01</v>
      </c>
      <c r="AF321" s="64">
        <f t="shared" si="34"/>
        <v>81.58</v>
      </c>
      <c r="AH321" s="65">
        <f t="shared" si="32"/>
        <v>-0.32579065766838677</v>
      </c>
      <c r="AI321" s="65">
        <f t="shared" si="32"/>
        <v>-2.1630615640598982E-2</v>
      </c>
      <c r="AJ321" s="65">
        <f t="shared" si="32"/>
        <v>-0.30338318215248827</v>
      </c>
    </row>
    <row r="322" spans="1:36" x14ac:dyDescent="0.3">
      <c r="A322" s="78" t="s">
        <v>665</v>
      </c>
      <c r="B322" s="81" t="s">
        <v>666</v>
      </c>
      <c r="C322" s="59">
        <v>53</v>
      </c>
      <c r="D322" s="60" t="s">
        <v>87</v>
      </c>
      <c r="E322" s="60">
        <v>99.64</v>
      </c>
      <c r="F322" s="60">
        <v>9.41</v>
      </c>
      <c r="G322" s="60">
        <v>109.05</v>
      </c>
      <c r="H322" s="61">
        <v>5280.92</v>
      </c>
      <c r="I322" s="61">
        <v>498.73</v>
      </c>
      <c r="J322" s="62">
        <v>5779.65</v>
      </c>
      <c r="M322" s="75"/>
      <c r="N322" s="76"/>
      <c r="V322" s="56">
        <v>5</v>
      </c>
      <c r="W322" s="56" t="s">
        <v>87</v>
      </c>
      <c r="X322" s="64">
        <v>115.94</v>
      </c>
      <c r="Y322" s="64">
        <v>7.53</v>
      </c>
      <c r="Z322" s="64">
        <f t="shared" si="33"/>
        <v>123.47</v>
      </c>
      <c r="AB322" s="56">
        <v>5</v>
      </c>
      <c r="AC322" s="56" t="s">
        <v>87</v>
      </c>
      <c r="AD322" s="64">
        <v>147.82</v>
      </c>
      <c r="AE322" s="64">
        <v>9.6</v>
      </c>
      <c r="AF322" s="64">
        <f t="shared" si="34"/>
        <v>157.41999999999999</v>
      </c>
      <c r="AH322" s="65">
        <f t="shared" si="32"/>
        <v>-0.32593695034501413</v>
      </c>
      <c r="AI322" s="65">
        <f t="shared" si="32"/>
        <v>-1.9791666666666652E-2</v>
      </c>
      <c r="AJ322" s="65">
        <f t="shared" si="32"/>
        <v>-0.30726718333121583</v>
      </c>
    </row>
    <row r="323" spans="1:36" x14ac:dyDescent="0.3">
      <c r="A323" s="78" t="s">
        <v>667</v>
      </c>
      <c r="B323" s="81" t="s">
        <v>668</v>
      </c>
      <c r="C323" s="59">
        <v>79</v>
      </c>
      <c r="D323" s="60" t="s">
        <v>87</v>
      </c>
      <c r="E323" s="60">
        <v>174.69</v>
      </c>
      <c r="F323" s="60">
        <v>14.55</v>
      </c>
      <c r="G323" s="60">
        <v>189.24</v>
      </c>
      <c r="H323" s="61">
        <v>13800.51</v>
      </c>
      <c r="I323" s="61">
        <v>1149.45</v>
      </c>
      <c r="J323" s="62">
        <v>14949.960000000001</v>
      </c>
      <c r="M323" s="75"/>
      <c r="N323" s="76"/>
      <c r="V323" s="56">
        <v>1</v>
      </c>
      <c r="W323" s="56" t="s">
        <v>87</v>
      </c>
      <c r="X323" s="64">
        <v>203.29</v>
      </c>
      <c r="Y323" s="64">
        <v>11.66</v>
      </c>
      <c r="Z323" s="64">
        <f t="shared" si="33"/>
        <v>214.95</v>
      </c>
      <c r="AB323" s="56">
        <v>1</v>
      </c>
      <c r="AC323" s="56" t="s">
        <v>87</v>
      </c>
      <c r="AD323" s="64">
        <v>259.19</v>
      </c>
      <c r="AE323" s="64">
        <v>14.87</v>
      </c>
      <c r="AF323" s="64">
        <f t="shared" si="34"/>
        <v>274.06</v>
      </c>
      <c r="AH323" s="65">
        <f t="shared" si="32"/>
        <v>-0.32601566418457506</v>
      </c>
      <c r="AI323" s="65">
        <f t="shared" si="32"/>
        <v>-2.1519838601210428E-2</v>
      </c>
      <c r="AJ323" s="65">
        <f t="shared" si="32"/>
        <v>-0.30949427132744656</v>
      </c>
    </row>
    <row r="324" spans="1:36" x14ac:dyDescent="0.3">
      <c r="A324" s="78" t="s">
        <v>669</v>
      </c>
      <c r="B324" s="81" t="s">
        <v>670</v>
      </c>
      <c r="C324" s="59">
        <v>294</v>
      </c>
      <c r="D324" s="60" t="s">
        <v>57</v>
      </c>
      <c r="E324" s="60">
        <v>1.47</v>
      </c>
      <c r="F324" s="60">
        <v>19.22</v>
      </c>
      <c r="G324" s="60">
        <v>20.689999999999998</v>
      </c>
      <c r="H324" s="61">
        <v>432.18</v>
      </c>
      <c r="I324" s="61">
        <v>5650.6799999999994</v>
      </c>
      <c r="J324" s="62">
        <v>6082.86</v>
      </c>
      <c r="M324" s="75"/>
      <c r="N324" s="76"/>
      <c r="V324" s="56">
        <v>138</v>
      </c>
      <c r="W324" s="56" t="s">
        <v>57</v>
      </c>
      <c r="X324" s="64">
        <v>2.02</v>
      </c>
      <c r="Y324" s="64">
        <v>14.91</v>
      </c>
      <c r="Z324" s="64">
        <f t="shared" si="33"/>
        <v>16.93</v>
      </c>
      <c r="AB324" s="56">
        <v>138</v>
      </c>
      <c r="AC324" s="56" t="s">
        <v>57</v>
      </c>
      <c r="AD324" s="64">
        <v>2.58</v>
      </c>
      <c r="AE324" s="64">
        <v>19.010000000000002</v>
      </c>
      <c r="AF324" s="64">
        <f t="shared" si="34"/>
        <v>21.590000000000003</v>
      </c>
      <c r="AH324" s="65">
        <f t="shared" si="32"/>
        <v>-0.43023255813953487</v>
      </c>
      <c r="AI324" s="65">
        <f t="shared" si="32"/>
        <v>1.1046817464492209E-2</v>
      </c>
      <c r="AJ324" s="65">
        <f t="shared" si="32"/>
        <v>-4.1685965724872931E-2</v>
      </c>
    </row>
    <row r="325" spans="1:36" x14ac:dyDescent="0.3">
      <c r="A325" s="78" t="s">
        <v>671</v>
      </c>
      <c r="B325" s="81" t="s">
        <v>672</v>
      </c>
      <c r="C325" s="59">
        <v>194</v>
      </c>
      <c r="D325" s="60" t="s">
        <v>57</v>
      </c>
      <c r="E325" s="60">
        <v>218.75</v>
      </c>
      <c r="F325" s="60">
        <v>33.700000000000003</v>
      </c>
      <c r="G325" s="60">
        <v>252.45</v>
      </c>
      <c r="H325" s="61">
        <v>42437.5</v>
      </c>
      <c r="I325" s="61">
        <v>6537.8</v>
      </c>
      <c r="J325" s="62">
        <v>48975.299999999996</v>
      </c>
      <c r="M325" s="75"/>
      <c r="N325" s="76"/>
      <c r="V325" s="56">
        <v>62</v>
      </c>
      <c r="W325" s="56" t="s">
        <v>57</v>
      </c>
      <c r="X325" s="64">
        <v>250.41</v>
      </c>
      <c r="Y325" s="64">
        <v>26.99</v>
      </c>
      <c r="Z325" s="64">
        <f t="shared" si="33"/>
        <v>277.39999999999998</v>
      </c>
      <c r="AB325" s="56">
        <v>62</v>
      </c>
      <c r="AC325" s="56" t="s">
        <v>57</v>
      </c>
      <c r="AD325" s="64">
        <v>319.27</v>
      </c>
      <c r="AE325" s="64">
        <v>34.409999999999997</v>
      </c>
      <c r="AF325" s="64">
        <f t="shared" si="34"/>
        <v>353.67999999999995</v>
      </c>
      <c r="AH325" s="65">
        <f t="shared" si="32"/>
        <v>-0.31484323613242704</v>
      </c>
      <c r="AI325" s="65">
        <f t="shared" si="32"/>
        <v>-2.0633536762568849E-2</v>
      </c>
      <c r="AJ325" s="65">
        <f t="shared" si="32"/>
        <v>-0.28621918118072831</v>
      </c>
    </row>
    <row r="326" spans="1:36" x14ac:dyDescent="0.3">
      <c r="A326" s="78" t="s">
        <v>673</v>
      </c>
      <c r="B326" s="81" t="s">
        <v>674</v>
      </c>
      <c r="C326" s="59">
        <v>7</v>
      </c>
      <c r="D326" s="60" t="s">
        <v>57</v>
      </c>
      <c r="E326" s="60">
        <v>189.24</v>
      </c>
      <c r="F326" s="60">
        <v>33.700000000000003</v>
      </c>
      <c r="G326" s="60">
        <v>222.94</v>
      </c>
      <c r="H326" s="61">
        <v>1324.68</v>
      </c>
      <c r="I326" s="61">
        <v>235.90000000000003</v>
      </c>
      <c r="J326" s="62">
        <v>1560.58</v>
      </c>
      <c r="M326" s="75"/>
      <c r="N326" s="76"/>
      <c r="V326" s="56">
        <v>1</v>
      </c>
      <c r="W326" s="56" t="s">
        <v>57</v>
      </c>
      <c r="X326" s="64">
        <v>216.73</v>
      </c>
      <c r="Y326" s="64">
        <v>26.99</v>
      </c>
      <c r="Z326" s="64">
        <f t="shared" si="33"/>
        <v>243.72</v>
      </c>
      <c r="AB326" s="56">
        <v>1</v>
      </c>
      <c r="AC326" s="56" t="s">
        <v>57</v>
      </c>
      <c r="AD326" s="64">
        <v>276.33</v>
      </c>
      <c r="AE326" s="64">
        <v>34.409999999999997</v>
      </c>
      <c r="AF326" s="64">
        <f t="shared" si="34"/>
        <v>310.74</v>
      </c>
      <c r="AH326" s="65">
        <f t="shared" si="32"/>
        <v>-0.3151666485723591</v>
      </c>
      <c r="AI326" s="65">
        <f t="shared" si="32"/>
        <v>-2.0633536762568849E-2</v>
      </c>
      <c r="AJ326" s="65">
        <f t="shared" si="32"/>
        <v>-0.28255132908540903</v>
      </c>
    </row>
    <row r="327" spans="1:36" x14ac:dyDescent="0.3">
      <c r="A327" s="78" t="s">
        <v>675</v>
      </c>
      <c r="B327" s="81" t="s">
        <v>676</v>
      </c>
      <c r="C327" s="59">
        <v>5</v>
      </c>
      <c r="D327" s="60" t="s">
        <v>57</v>
      </c>
      <c r="E327" s="60">
        <v>15.77</v>
      </c>
      <c r="F327" s="60">
        <v>36.76</v>
      </c>
      <c r="G327" s="60">
        <v>52.53</v>
      </c>
      <c r="H327" s="61">
        <v>78.849999999999994</v>
      </c>
      <c r="I327" s="61">
        <v>183.79999999999998</v>
      </c>
      <c r="J327" s="62">
        <v>262.64999999999998</v>
      </c>
      <c r="M327" s="75"/>
      <c r="N327" s="76"/>
      <c r="V327" s="56">
        <v>1</v>
      </c>
      <c r="W327" s="56" t="s">
        <v>57</v>
      </c>
      <c r="X327" s="64">
        <v>18</v>
      </c>
      <c r="Y327" s="64">
        <v>29.45</v>
      </c>
      <c r="Z327" s="64">
        <f t="shared" si="33"/>
        <v>47.45</v>
      </c>
      <c r="AB327" s="56">
        <v>1</v>
      </c>
      <c r="AC327" s="56" t="s">
        <v>57</v>
      </c>
      <c r="AD327" s="64">
        <v>22.95</v>
      </c>
      <c r="AE327" s="64">
        <v>37.549999999999997</v>
      </c>
      <c r="AF327" s="64">
        <f t="shared" si="34"/>
        <v>60.5</v>
      </c>
      <c r="AH327" s="65">
        <f t="shared" si="32"/>
        <v>-0.31285403050108929</v>
      </c>
      <c r="AI327" s="65">
        <f t="shared" si="32"/>
        <v>-2.1038615179760245E-2</v>
      </c>
      <c r="AJ327" s="65">
        <f t="shared" si="32"/>
        <v>-0.13173553719008257</v>
      </c>
    </row>
    <row r="328" spans="1:36" x14ac:dyDescent="0.3">
      <c r="A328" s="78" t="s">
        <v>677</v>
      </c>
      <c r="B328" s="81" t="s">
        <v>678</v>
      </c>
      <c r="C328" s="59">
        <v>1</v>
      </c>
      <c r="D328" s="60" t="s">
        <v>57</v>
      </c>
      <c r="E328" s="60">
        <v>70.78</v>
      </c>
      <c r="F328" s="60">
        <v>36.76</v>
      </c>
      <c r="G328" s="60">
        <v>107.53999999999999</v>
      </c>
      <c r="H328" s="61">
        <v>70.78</v>
      </c>
      <c r="I328" s="61">
        <v>36.76</v>
      </c>
      <c r="J328" s="62">
        <v>107.53999999999999</v>
      </c>
      <c r="M328" s="75"/>
      <c r="N328" s="76"/>
      <c r="V328" s="56">
        <v>1</v>
      </c>
      <c r="W328" s="56" t="s">
        <v>57</v>
      </c>
      <c r="X328" s="64">
        <v>80.790000000000006</v>
      </c>
      <c r="Y328" s="64">
        <v>29.45</v>
      </c>
      <c r="Z328" s="64">
        <f t="shared" si="33"/>
        <v>110.24000000000001</v>
      </c>
      <c r="AB328" s="56">
        <v>1</v>
      </c>
      <c r="AC328" s="56" t="s">
        <v>57</v>
      </c>
      <c r="AD328" s="64">
        <v>103.01</v>
      </c>
      <c r="AE328" s="64">
        <v>37.549999999999997</v>
      </c>
      <c r="AF328" s="64">
        <f t="shared" si="34"/>
        <v>140.56</v>
      </c>
      <c r="AH328" s="65">
        <f t="shared" si="32"/>
        <v>-0.31288224444228718</v>
      </c>
      <c r="AI328" s="65">
        <f t="shared" si="32"/>
        <v>-2.1038615179760245E-2</v>
      </c>
      <c r="AJ328" s="65">
        <f t="shared" si="32"/>
        <v>-0.23491747296528176</v>
      </c>
    </row>
    <row r="329" spans="1:36" x14ac:dyDescent="0.3">
      <c r="A329" s="78" t="s">
        <v>679</v>
      </c>
      <c r="B329" s="81" t="s">
        <v>680</v>
      </c>
      <c r="C329" s="59">
        <v>1</v>
      </c>
      <c r="D329" s="60" t="s">
        <v>57</v>
      </c>
      <c r="E329" s="60">
        <v>194.74</v>
      </c>
      <c r="F329" s="60">
        <v>46.17</v>
      </c>
      <c r="G329" s="60">
        <v>240.91000000000003</v>
      </c>
      <c r="H329" s="61">
        <v>194.74</v>
      </c>
      <c r="I329" s="61">
        <v>46.17</v>
      </c>
      <c r="J329" s="62">
        <v>240.91000000000003</v>
      </c>
      <c r="M329" s="75"/>
      <c r="N329" s="76"/>
      <c r="V329" s="56">
        <v>1</v>
      </c>
      <c r="W329" s="56" t="s">
        <v>57</v>
      </c>
      <c r="X329" s="64">
        <v>222.27</v>
      </c>
      <c r="Y329" s="64">
        <v>36.619999999999997</v>
      </c>
      <c r="Z329" s="64">
        <f t="shared" si="33"/>
        <v>258.89</v>
      </c>
      <c r="AB329" s="56">
        <v>1</v>
      </c>
      <c r="AC329" s="56" t="s">
        <v>57</v>
      </c>
      <c r="AD329" s="64">
        <v>283.39</v>
      </c>
      <c r="AE329" s="64">
        <v>46.69</v>
      </c>
      <c r="AF329" s="64">
        <f t="shared" si="34"/>
        <v>330.08</v>
      </c>
      <c r="AH329" s="65">
        <f t="shared" si="32"/>
        <v>-0.3128197889833797</v>
      </c>
      <c r="AI329" s="65">
        <f t="shared" si="32"/>
        <v>-1.1137288498607734E-2</v>
      </c>
      <c r="AJ329" s="65">
        <f t="shared" si="32"/>
        <v>-0.27014663111972848</v>
      </c>
    </row>
    <row r="330" spans="1:36" x14ac:dyDescent="0.3">
      <c r="A330" s="78" t="s">
        <v>681</v>
      </c>
      <c r="B330" s="81" t="s">
        <v>682</v>
      </c>
      <c r="C330" s="59">
        <v>1</v>
      </c>
      <c r="D330" s="60" t="s">
        <v>57</v>
      </c>
      <c r="E330" s="60">
        <v>97.52</v>
      </c>
      <c r="F330" s="60">
        <v>8.24</v>
      </c>
      <c r="G330" s="60">
        <v>105.75999999999999</v>
      </c>
      <c r="H330" s="61">
        <v>97.52</v>
      </c>
      <c r="I330" s="61">
        <v>8.24</v>
      </c>
      <c r="J330" s="62">
        <v>105.75999999999999</v>
      </c>
      <c r="M330" s="75"/>
      <c r="N330" s="76"/>
      <c r="V330" s="56">
        <v>1</v>
      </c>
      <c r="W330" s="56" t="s">
        <v>57</v>
      </c>
      <c r="X330" s="64">
        <v>112.31</v>
      </c>
      <c r="Y330" s="64">
        <v>6.51</v>
      </c>
      <c r="Z330" s="64">
        <f t="shared" si="33"/>
        <v>118.82000000000001</v>
      </c>
      <c r="AB330" s="56">
        <v>1</v>
      </c>
      <c r="AC330" s="56" t="s">
        <v>57</v>
      </c>
      <c r="AD330" s="64">
        <v>143.19999999999999</v>
      </c>
      <c r="AE330" s="64">
        <v>8.3000000000000007</v>
      </c>
      <c r="AF330" s="64">
        <f t="shared" si="34"/>
        <v>151.5</v>
      </c>
      <c r="AH330" s="65">
        <f t="shared" si="32"/>
        <v>-0.3189944134078212</v>
      </c>
      <c r="AI330" s="65">
        <f t="shared" si="32"/>
        <v>-7.2289156626507145E-3</v>
      </c>
      <c r="AJ330" s="65">
        <f t="shared" si="32"/>
        <v>-0.301914191419142</v>
      </c>
    </row>
    <row r="331" spans="1:36" x14ac:dyDescent="0.3">
      <c r="A331" s="78" t="s">
        <v>683</v>
      </c>
      <c r="B331" s="81" t="s">
        <v>684</v>
      </c>
      <c r="C331" s="59">
        <v>1</v>
      </c>
      <c r="D331" s="60" t="s">
        <v>57</v>
      </c>
      <c r="E331" s="60">
        <v>259.76</v>
      </c>
      <c r="F331" s="60">
        <v>8.24</v>
      </c>
      <c r="G331" s="60">
        <v>268</v>
      </c>
      <c r="H331" s="61">
        <v>259.76</v>
      </c>
      <c r="I331" s="61">
        <v>8.24</v>
      </c>
      <c r="J331" s="62">
        <v>268</v>
      </c>
      <c r="M331" s="75"/>
      <c r="N331" s="76"/>
      <c r="V331" s="56">
        <v>1</v>
      </c>
      <c r="W331" s="56" t="s">
        <v>57</v>
      </c>
      <c r="X331" s="64">
        <v>297.49</v>
      </c>
      <c r="Y331" s="64">
        <v>6.51</v>
      </c>
      <c r="Z331" s="64">
        <f t="shared" si="33"/>
        <v>304</v>
      </c>
      <c r="AB331" s="56">
        <v>1</v>
      </c>
      <c r="AC331" s="56" t="s">
        <v>57</v>
      </c>
      <c r="AD331" s="64">
        <v>379.3</v>
      </c>
      <c r="AE331" s="64">
        <v>8.3000000000000007</v>
      </c>
      <c r="AF331" s="64">
        <f t="shared" si="34"/>
        <v>387.6</v>
      </c>
      <c r="AH331" s="65">
        <f t="shared" si="32"/>
        <v>-0.31515950435011864</v>
      </c>
      <c r="AI331" s="65">
        <f t="shared" si="32"/>
        <v>-7.2289156626507145E-3</v>
      </c>
      <c r="AJ331" s="65">
        <f t="shared" si="32"/>
        <v>-0.30856553147574828</v>
      </c>
    </row>
    <row r="332" spans="1:36" x14ac:dyDescent="0.3">
      <c r="A332" s="78" t="s">
        <v>685</v>
      </c>
      <c r="B332" s="81" t="s">
        <v>686</v>
      </c>
      <c r="C332" s="59">
        <v>1</v>
      </c>
      <c r="D332" s="60" t="s">
        <v>57</v>
      </c>
      <c r="E332" s="60">
        <v>229.16</v>
      </c>
      <c r="F332" s="60">
        <v>8.24</v>
      </c>
      <c r="G332" s="60">
        <v>237.4</v>
      </c>
      <c r="H332" s="61">
        <v>229.16</v>
      </c>
      <c r="I332" s="61">
        <v>8.24</v>
      </c>
      <c r="J332" s="62">
        <v>237.4</v>
      </c>
      <c r="M332" s="75"/>
      <c r="N332" s="76"/>
      <c r="V332" s="56">
        <v>1</v>
      </c>
      <c r="W332" s="56" t="s">
        <v>57</v>
      </c>
      <c r="X332" s="64">
        <v>262.57</v>
      </c>
      <c r="Y332" s="64">
        <v>6.51</v>
      </c>
      <c r="Z332" s="64">
        <f t="shared" si="33"/>
        <v>269.08</v>
      </c>
      <c r="AB332" s="56">
        <v>1</v>
      </c>
      <c r="AC332" s="56" t="s">
        <v>57</v>
      </c>
      <c r="AD332" s="64">
        <v>334.78</v>
      </c>
      <c r="AE332" s="64">
        <v>8.3000000000000007</v>
      </c>
      <c r="AF332" s="64">
        <f t="shared" si="34"/>
        <v>343.08</v>
      </c>
      <c r="AH332" s="65">
        <f t="shared" si="32"/>
        <v>-0.31549077005794846</v>
      </c>
      <c r="AI332" s="65">
        <f t="shared" si="32"/>
        <v>-7.2289156626507145E-3</v>
      </c>
      <c r="AJ332" s="65">
        <f t="shared" si="32"/>
        <v>-0.3080331118106564</v>
      </c>
    </row>
    <row r="333" spans="1:36" x14ac:dyDescent="0.3">
      <c r="A333" s="78" t="s">
        <v>687</v>
      </c>
      <c r="B333" s="81" t="s">
        <v>688</v>
      </c>
      <c r="C333" s="59">
        <v>1</v>
      </c>
      <c r="D333" s="60" t="s">
        <v>87</v>
      </c>
      <c r="E333" s="60">
        <v>10.71</v>
      </c>
      <c r="F333" s="60">
        <v>5.18</v>
      </c>
      <c r="G333" s="60">
        <v>15.89</v>
      </c>
      <c r="H333" s="61">
        <v>10.71</v>
      </c>
      <c r="I333" s="61">
        <v>5.18</v>
      </c>
      <c r="J333" s="62">
        <v>15.89</v>
      </c>
      <c r="M333" s="75"/>
      <c r="N333" s="76"/>
      <c r="V333" s="56">
        <v>1</v>
      </c>
      <c r="W333" s="56" t="s">
        <v>87</v>
      </c>
      <c r="X333" s="64">
        <v>11.91</v>
      </c>
      <c r="Y333" s="64">
        <v>4.1500000000000004</v>
      </c>
      <c r="Z333" s="64">
        <f t="shared" si="33"/>
        <v>16.060000000000002</v>
      </c>
      <c r="AB333" s="56">
        <v>1</v>
      </c>
      <c r="AC333" s="56" t="s">
        <v>87</v>
      </c>
      <c r="AD333" s="64">
        <v>15.19</v>
      </c>
      <c r="AE333" s="64">
        <v>5.29</v>
      </c>
      <c r="AF333" s="64">
        <f t="shared" si="34"/>
        <v>20.48</v>
      </c>
      <c r="AH333" s="65">
        <f t="shared" si="32"/>
        <v>-0.29493087557603681</v>
      </c>
      <c r="AI333" s="65">
        <f t="shared" si="32"/>
        <v>-2.0793950850661713E-2</v>
      </c>
      <c r="AJ333" s="65">
        <f t="shared" si="32"/>
        <v>-0.22412109375</v>
      </c>
    </row>
    <row r="334" spans="1:36" x14ac:dyDescent="0.3">
      <c r="A334" s="78" t="s">
        <v>689</v>
      </c>
      <c r="B334" s="81" t="s">
        <v>690</v>
      </c>
      <c r="C334" s="59">
        <v>1</v>
      </c>
      <c r="D334" s="60" t="s">
        <v>87</v>
      </c>
      <c r="E334" s="60">
        <v>14.83</v>
      </c>
      <c r="F334" s="60">
        <v>5.18</v>
      </c>
      <c r="G334" s="60">
        <v>20.009999999999998</v>
      </c>
      <c r="H334" s="61">
        <v>14.83</v>
      </c>
      <c r="I334" s="61">
        <v>5.18</v>
      </c>
      <c r="J334" s="62">
        <v>20.009999999999998</v>
      </c>
      <c r="M334" s="75"/>
      <c r="N334" s="76"/>
      <c r="V334" s="56">
        <v>1</v>
      </c>
      <c r="W334" s="56" t="s">
        <v>87</v>
      </c>
      <c r="X334" s="64">
        <v>16.7</v>
      </c>
      <c r="Y334" s="64">
        <v>4.1500000000000004</v>
      </c>
      <c r="Z334" s="64">
        <f t="shared" si="33"/>
        <v>20.85</v>
      </c>
      <c r="AB334" s="56">
        <v>1</v>
      </c>
      <c r="AC334" s="56" t="s">
        <v>87</v>
      </c>
      <c r="AD334" s="64">
        <v>21.29</v>
      </c>
      <c r="AE334" s="64">
        <v>5.29</v>
      </c>
      <c r="AF334" s="64">
        <f t="shared" si="34"/>
        <v>26.58</v>
      </c>
      <c r="AH334" s="65">
        <f t="shared" si="32"/>
        <v>-0.30342883983090652</v>
      </c>
      <c r="AI334" s="65">
        <f t="shared" si="32"/>
        <v>-2.0793950850661713E-2</v>
      </c>
      <c r="AJ334" s="65">
        <f t="shared" si="32"/>
        <v>-0.24717832957110608</v>
      </c>
    </row>
    <row r="335" spans="1:36" x14ac:dyDescent="0.3">
      <c r="A335" s="78" t="s">
        <v>691</v>
      </c>
      <c r="B335" s="81" t="s">
        <v>692</v>
      </c>
      <c r="C335" s="59">
        <v>32</v>
      </c>
      <c r="D335" s="60" t="s">
        <v>57</v>
      </c>
      <c r="E335" s="60">
        <v>419.51</v>
      </c>
      <c r="F335" s="60">
        <v>33.700000000000003</v>
      </c>
      <c r="G335" s="60">
        <v>453.21</v>
      </c>
      <c r="H335" s="61">
        <v>13424.32</v>
      </c>
      <c r="I335" s="61">
        <v>1078.4000000000001</v>
      </c>
      <c r="J335" s="62">
        <v>14502.72</v>
      </c>
      <c r="M335" s="75"/>
      <c r="N335" s="76"/>
      <c r="V335" s="56">
        <v>7</v>
      </c>
      <c r="W335" s="56" t="s">
        <v>57</v>
      </c>
      <c r="X335" s="64">
        <v>484.54</v>
      </c>
      <c r="Y335" s="64">
        <v>26.99</v>
      </c>
      <c r="Z335" s="64">
        <f t="shared" si="33"/>
        <v>511.53000000000003</v>
      </c>
      <c r="AB335" s="56">
        <v>7</v>
      </c>
      <c r="AC335" s="56" t="s">
        <v>57</v>
      </c>
      <c r="AD335" s="64">
        <v>617.79</v>
      </c>
      <c r="AE335" s="64">
        <v>34.409999999999997</v>
      </c>
      <c r="AF335" s="64">
        <f t="shared" si="34"/>
        <v>652.19999999999993</v>
      </c>
      <c r="AH335" s="65">
        <f t="shared" si="32"/>
        <v>-0.32095048479256705</v>
      </c>
      <c r="AI335" s="65">
        <f t="shared" si="32"/>
        <v>-2.0633536762568849E-2</v>
      </c>
      <c r="AJ335" s="65">
        <f t="shared" si="32"/>
        <v>-0.30510579576816921</v>
      </c>
    </row>
    <row r="336" spans="1:36" x14ac:dyDescent="0.3">
      <c r="A336" s="78" t="s">
        <v>693</v>
      </c>
      <c r="B336" s="81" t="s">
        <v>694</v>
      </c>
      <c r="C336" s="59">
        <v>28</v>
      </c>
      <c r="D336" s="60" t="s">
        <v>57</v>
      </c>
      <c r="E336" s="60">
        <v>30.72</v>
      </c>
      <c r="F336" s="60">
        <v>11.53</v>
      </c>
      <c r="G336" s="60">
        <v>42.25</v>
      </c>
      <c r="H336" s="61">
        <v>860.16</v>
      </c>
      <c r="I336" s="61">
        <v>322.83999999999997</v>
      </c>
      <c r="J336" s="62">
        <v>1183</v>
      </c>
      <c r="M336" s="75"/>
      <c r="N336" s="76"/>
      <c r="V336" s="56">
        <v>1</v>
      </c>
      <c r="W336" s="56" t="s">
        <v>57</v>
      </c>
      <c r="X336" s="64">
        <v>35.06</v>
      </c>
      <c r="Y336" s="64">
        <v>8.94</v>
      </c>
      <c r="Z336" s="64">
        <f t="shared" si="33"/>
        <v>44</v>
      </c>
      <c r="AB336" s="56">
        <v>1</v>
      </c>
      <c r="AC336" s="56" t="s">
        <v>57</v>
      </c>
      <c r="AD336" s="64">
        <v>44.7</v>
      </c>
      <c r="AE336" s="64">
        <v>11.4</v>
      </c>
      <c r="AF336" s="64">
        <f t="shared" si="34"/>
        <v>56.1</v>
      </c>
      <c r="AH336" s="65">
        <f t="shared" si="32"/>
        <v>-0.31275167785234903</v>
      </c>
      <c r="AI336" s="65">
        <f t="shared" si="32"/>
        <v>1.1403508771929749E-2</v>
      </c>
      <c r="AJ336" s="65">
        <f t="shared" si="32"/>
        <v>-0.24688057040998224</v>
      </c>
    </row>
    <row r="337" spans="1:36" x14ac:dyDescent="0.3">
      <c r="A337" s="78" t="s">
        <v>695</v>
      </c>
      <c r="B337" s="81" t="s">
        <v>696</v>
      </c>
      <c r="C337" s="59">
        <v>1</v>
      </c>
      <c r="D337" s="60" t="s">
        <v>57</v>
      </c>
      <c r="E337" s="60">
        <v>203.96</v>
      </c>
      <c r="F337" s="60">
        <v>46.17</v>
      </c>
      <c r="G337" s="60">
        <v>250.13</v>
      </c>
      <c r="H337" s="61">
        <v>203.96</v>
      </c>
      <c r="I337" s="61">
        <v>46.17</v>
      </c>
      <c r="J337" s="62">
        <v>250.13</v>
      </c>
      <c r="M337" s="75"/>
      <c r="N337" s="76"/>
      <c r="V337" s="56">
        <v>1</v>
      </c>
      <c r="W337" s="56" t="s">
        <v>57</v>
      </c>
      <c r="X337" s="64">
        <v>232.71</v>
      </c>
      <c r="Y337" s="64">
        <v>36.619999999999997</v>
      </c>
      <c r="Z337" s="64">
        <f t="shared" si="33"/>
        <v>269.33</v>
      </c>
      <c r="AB337" s="56">
        <v>1</v>
      </c>
      <c r="AC337" s="56" t="s">
        <v>57</v>
      </c>
      <c r="AD337" s="64">
        <v>296.70999999999998</v>
      </c>
      <c r="AE337" s="64">
        <v>46.69</v>
      </c>
      <c r="AF337" s="64">
        <f t="shared" si="34"/>
        <v>343.4</v>
      </c>
      <c r="AH337" s="65">
        <f t="shared" si="32"/>
        <v>-0.31259478952512543</v>
      </c>
      <c r="AI337" s="65">
        <f t="shared" si="32"/>
        <v>-1.1137288498607734E-2</v>
      </c>
      <c r="AJ337" s="65">
        <f t="shared" si="32"/>
        <v>-0.27160745486313331</v>
      </c>
    </row>
    <row r="338" spans="1:36" x14ac:dyDescent="0.3">
      <c r="A338" s="78" t="s">
        <v>697</v>
      </c>
      <c r="B338" s="81" t="s">
        <v>698</v>
      </c>
      <c r="C338" s="59">
        <v>11</v>
      </c>
      <c r="D338" s="60" t="s">
        <v>57</v>
      </c>
      <c r="E338" s="60">
        <v>288.05</v>
      </c>
      <c r="F338" s="60">
        <v>379.89</v>
      </c>
      <c r="G338" s="60">
        <v>667.94</v>
      </c>
      <c r="H338" s="61">
        <v>3168.55</v>
      </c>
      <c r="I338" s="61">
        <v>4178.79</v>
      </c>
      <c r="J338" s="62">
        <v>7347.34</v>
      </c>
      <c r="M338" s="75"/>
      <c r="N338" s="76"/>
      <c r="V338" s="56">
        <v>11</v>
      </c>
      <c r="W338" s="56" t="s">
        <v>57</v>
      </c>
      <c r="X338" s="64">
        <v>373.02</v>
      </c>
      <c r="Y338" s="64">
        <v>304.33</v>
      </c>
      <c r="Z338" s="64">
        <f t="shared" si="33"/>
        <v>677.34999999999991</v>
      </c>
      <c r="AB338" s="56">
        <v>11</v>
      </c>
      <c r="AC338" s="56" t="s">
        <v>57</v>
      </c>
      <c r="AD338" s="64">
        <v>475.6</v>
      </c>
      <c r="AE338" s="64">
        <v>388.02</v>
      </c>
      <c r="AF338" s="64">
        <f t="shared" si="34"/>
        <v>863.62</v>
      </c>
      <c r="AH338" s="65">
        <f t="shared" si="32"/>
        <v>-0.39434398654331371</v>
      </c>
      <c r="AI338" s="65">
        <f t="shared" si="32"/>
        <v>-2.0952528220194777E-2</v>
      </c>
      <c r="AJ338" s="65">
        <f t="shared" si="32"/>
        <v>-0.22658113522150936</v>
      </c>
    </row>
    <row r="339" spans="1:36" x14ac:dyDescent="0.3">
      <c r="A339" s="78" t="s">
        <v>699</v>
      </c>
      <c r="B339" s="81" t="s">
        <v>700</v>
      </c>
      <c r="C339" s="59">
        <v>51</v>
      </c>
      <c r="D339" s="60" t="s">
        <v>57</v>
      </c>
      <c r="E339" s="60">
        <v>83.12</v>
      </c>
      <c r="F339" s="60">
        <v>10.35</v>
      </c>
      <c r="G339" s="60">
        <v>93.47</v>
      </c>
      <c r="H339" s="61">
        <v>4239.12</v>
      </c>
      <c r="I339" s="61">
        <v>527.85</v>
      </c>
      <c r="J339" s="62">
        <v>4766.97</v>
      </c>
      <c r="M339" s="75"/>
      <c r="N339" s="76"/>
      <c r="V339" s="56">
        <v>1</v>
      </c>
      <c r="W339" s="56" t="s">
        <v>57</v>
      </c>
      <c r="X339" s="64">
        <v>77.569999999999993</v>
      </c>
      <c r="Y339" s="64">
        <v>8.2899999999999991</v>
      </c>
      <c r="Z339" s="64">
        <f t="shared" si="33"/>
        <v>85.859999999999985</v>
      </c>
      <c r="AB339" s="56">
        <v>1</v>
      </c>
      <c r="AC339" s="56" t="s">
        <v>57</v>
      </c>
      <c r="AD339" s="64">
        <v>98.9</v>
      </c>
      <c r="AE339" s="64">
        <v>10.57</v>
      </c>
      <c r="AF339" s="64">
        <f t="shared" si="34"/>
        <v>109.47</v>
      </c>
      <c r="AH339" s="65">
        <f t="shared" si="32"/>
        <v>-0.15955510616784629</v>
      </c>
      <c r="AI339" s="65">
        <f t="shared" si="32"/>
        <v>-2.081362346263016E-2</v>
      </c>
      <c r="AJ339" s="65">
        <f t="shared" si="32"/>
        <v>-0.14615876495843605</v>
      </c>
    </row>
    <row r="340" spans="1:36" x14ac:dyDescent="0.3">
      <c r="A340" s="78" t="s">
        <v>701</v>
      </c>
      <c r="B340" s="81" t="s">
        <v>702</v>
      </c>
      <c r="C340" s="59">
        <v>35</v>
      </c>
      <c r="D340" s="60" t="s">
        <v>57</v>
      </c>
      <c r="E340" s="60">
        <v>56.16</v>
      </c>
      <c r="F340" s="60">
        <v>5.18</v>
      </c>
      <c r="G340" s="60">
        <v>61.339999999999996</v>
      </c>
      <c r="H340" s="61">
        <v>1965.6</v>
      </c>
      <c r="I340" s="61">
        <v>181.29999999999998</v>
      </c>
      <c r="J340" s="62">
        <v>2146.9</v>
      </c>
      <c r="M340" s="75"/>
      <c r="N340" s="76"/>
      <c r="V340" s="56">
        <v>1</v>
      </c>
      <c r="W340" s="56" t="s">
        <v>57</v>
      </c>
      <c r="X340" s="64">
        <v>54.53</v>
      </c>
      <c r="Y340" s="64">
        <v>4.1500000000000004</v>
      </c>
      <c r="Z340" s="64">
        <f t="shared" si="33"/>
        <v>58.68</v>
      </c>
      <c r="AB340" s="56">
        <v>1</v>
      </c>
      <c r="AC340" s="56" t="s">
        <v>57</v>
      </c>
      <c r="AD340" s="64">
        <v>69.53</v>
      </c>
      <c r="AE340" s="64">
        <v>5.29</v>
      </c>
      <c r="AF340" s="64">
        <f t="shared" si="34"/>
        <v>74.820000000000007</v>
      </c>
      <c r="AH340" s="65">
        <f t="shared" si="32"/>
        <v>-0.19229109736804262</v>
      </c>
      <c r="AI340" s="65">
        <f t="shared" si="32"/>
        <v>-2.0793950850661713E-2</v>
      </c>
      <c r="AJ340" s="65">
        <f t="shared" si="32"/>
        <v>-0.18016573108794454</v>
      </c>
    </row>
    <row r="341" spans="1:36" x14ac:dyDescent="0.3">
      <c r="A341" s="78" t="s">
        <v>703</v>
      </c>
      <c r="B341" s="81" t="s">
        <v>704</v>
      </c>
      <c r="C341" s="59">
        <v>153</v>
      </c>
      <c r="D341" s="60" t="s">
        <v>57</v>
      </c>
      <c r="E341" s="60">
        <v>42.68</v>
      </c>
      <c r="F341" s="60">
        <v>2.59</v>
      </c>
      <c r="G341" s="60">
        <v>45.269999999999996</v>
      </c>
      <c r="H341" s="61">
        <v>6530.04</v>
      </c>
      <c r="I341" s="61">
        <v>396.27</v>
      </c>
      <c r="J341" s="62">
        <v>6926.3099999999995</v>
      </c>
      <c r="M341" s="75"/>
      <c r="N341" s="76"/>
      <c r="V341" s="56">
        <v>26</v>
      </c>
      <c r="W341" s="56" t="s">
        <v>57</v>
      </c>
      <c r="X341" s="64">
        <v>43</v>
      </c>
      <c r="Y341" s="64">
        <v>2.0699999999999998</v>
      </c>
      <c r="Z341" s="64">
        <f t="shared" si="33"/>
        <v>45.07</v>
      </c>
      <c r="AB341" s="56">
        <v>26</v>
      </c>
      <c r="AC341" s="56" t="s">
        <v>57</v>
      </c>
      <c r="AD341" s="64">
        <v>54.83</v>
      </c>
      <c r="AE341" s="64">
        <v>2.64</v>
      </c>
      <c r="AF341" s="64">
        <f t="shared" si="34"/>
        <v>57.47</v>
      </c>
      <c r="AH341" s="65">
        <f t="shared" si="32"/>
        <v>-0.22159401787342692</v>
      </c>
      <c r="AI341" s="65">
        <f t="shared" si="32"/>
        <v>-1.8939393939394034E-2</v>
      </c>
      <c r="AJ341" s="65">
        <f t="shared" si="32"/>
        <v>-0.21228467026274589</v>
      </c>
    </row>
    <row r="342" spans="1:36" x14ac:dyDescent="0.3">
      <c r="A342" s="78" t="s">
        <v>705</v>
      </c>
      <c r="B342" s="81" t="s">
        <v>706</v>
      </c>
      <c r="C342" s="59">
        <v>34</v>
      </c>
      <c r="D342" s="60" t="s">
        <v>57</v>
      </c>
      <c r="E342" s="60">
        <v>37.299999999999997</v>
      </c>
      <c r="F342" s="60">
        <v>1.55</v>
      </c>
      <c r="G342" s="60">
        <v>38.849999999999994</v>
      </c>
      <c r="H342" s="61">
        <v>1268.1999999999998</v>
      </c>
      <c r="I342" s="61">
        <v>52.7</v>
      </c>
      <c r="J342" s="62">
        <v>1320.8999999999999</v>
      </c>
      <c r="M342" s="75"/>
      <c r="N342" s="76"/>
      <c r="V342" s="56">
        <v>29</v>
      </c>
      <c r="W342" s="56" t="s">
        <v>57</v>
      </c>
      <c r="X342" s="64">
        <v>38.39</v>
      </c>
      <c r="Y342" s="64">
        <v>1.24</v>
      </c>
      <c r="Z342" s="64">
        <f t="shared" si="33"/>
        <v>39.630000000000003</v>
      </c>
      <c r="AB342" s="56">
        <v>29</v>
      </c>
      <c r="AC342" s="56" t="s">
        <v>57</v>
      </c>
      <c r="AD342" s="64">
        <v>48.95</v>
      </c>
      <c r="AE342" s="64">
        <v>1.58</v>
      </c>
      <c r="AF342" s="64">
        <f t="shared" si="34"/>
        <v>50.53</v>
      </c>
      <c r="AH342" s="65">
        <f t="shared" si="32"/>
        <v>-0.23799795709908078</v>
      </c>
      <c r="AI342" s="65">
        <f t="shared" si="32"/>
        <v>-1.8987341772151889E-2</v>
      </c>
      <c r="AJ342" s="65">
        <f t="shared" si="32"/>
        <v>-0.23114981199287565</v>
      </c>
    </row>
    <row r="343" spans="1:36" x14ac:dyDescent="0.3">
      <c r="A343" s="78" t="s">
        <v>707</v>
      </c>
      <c r="B343" s="81" t="s">
        <v>708</v>
      </c>
      <c r="C343" s="59">
        <v>127</v>
      </c>
      <c r="D343" s="60" t="s">
        <v>57</v>
      </c>
      <c r="E343" s="60">
        <v>9.99</v>
      </c>
      <c r="F343" s="60">
        <v>61.27</v>
      </c>
      <c r="G343" s="60">
        <v>71.260000000000005</v>
      </c>
      <c r="H343" s="61">
        <v>1268.73</v>
      </c>
      <c r="I343" s="61">
        <v>7781.29</v>
      </c>
      <c r="J343" s="62">
        <v>9050.02</v>
      </c>
      <c r="M343" s="75"/>
      <c r="N343" s="76"/>
      <c r="V343" s="56">
        <v>250</v>
      </c>
      <c r="W343" s="56" t="s">
        <v>57</v>
      </c>
      <c r="X343" s="64">
        <v>11.7</v>
      </c>
      <c r="Y343" s="64">
        <v>49.08</v>
      </c>
      <c r="Z343" s="64">
        <f t="shared" si="33"/>
        <v>60.78</v>
      </c>
      <c r="AB343" s="56">
        <v>250</v>
      </c>
      <c r="AC343" s="56" t="s">
        <v>57</v>
      </c>
      <c r="AD343" s="64">
        <v>14.92</v>
      </c>
      <c r="AE343" s="64">
        <v>62.58</v>
      </c>
      <c r="AF343" s="64">
        <f t="shared" si="34"/>
        <v>77.5</v>
      </c>
      <c r="AH343" s="65">
        <f t="shared" si="32"/>
        <v>-0.33042895442359244</v>
      </c>
      <c r="AI343" s="65">
        <f t="shared" si="32"/>
        <v>-2.0933205496963758E-2</v>
      </c>
      <c r="AJ343" s="65">
        <f t="shared" si="32"/>
        <v>-8.0516129032258021E-2</v>
      </c>
    </row>
    <row r="344" spans="1:36" x14ac:dyDescent="0.3">
      <c r="A344" s="78" t="s">
        <v>709</v>
      </c>
      <c r="B344" s="81" t="s">
        <v>710</v>
      </c>
      <c r="C344" s="59">
        <v>1</v>
      </c>
      <c r="D344" s="60" t="s">
        <v>87</v>
      </c>
      <c r="E344" s="60">
        <v>23.72</v>
      </c>
      <c r="F344" s="60">
        <v>5.18</v>
      </c>
      <c r="G344" s="60">
        <v>28.9</v>
      </c>
      <c r="H344" s="61">
        <v>23.72</v>
      </c>
      <c r="I344" s="61">
        <v>5.18</v>
      </c>
      <c r="J344" s="62">
        <v>28.9</v>
      </c>
      <c r="M344" s="75"/>
      <c r="N344" s="76"/>
      <c r="V344" s="56">
        <v>1</v>
      </c>
      <c r="W344" s="56" t="s">
        <v>87</v>
      </c>
      <c r="X344" s="64">
        <v>27.04</v>
      </c>
      <c r="Y344" s="64">
        <v>4.1500000000000004</v>
      </c>
      <c r="Z344" s="64">
        <f t="shared" si="33"/>
        <v>31.189999999999998</v>
      </c>
      <c r="AB344" s="56">
        <v>1</v>
      </c>
      <c r="AC344" s="56" t="s">
        <v>87</v>
      </c>
      <c r="AD344" s="64">
        <v>34.479999999999997</v>
      </c>
      <c r="AE344" s="64">
        <v>5.29</v>
      </c>
      <c r="AF344" s="64">
        <f t="shared" si="34"/>
        <v>39.769999999999996</v>
      </c>
      <c r="AH344" s="65">
        <f t="shared" si="32"/>
        <v>-0.31206496519721572</v>
      </c>
      <c r="AI344" s="65">
        <f t="shared" si="32"/>
        <v>-2.0793950850661713E-2</v>
      </c>
      <c r="AJ344" s="65">
        <f t="shared" si="32"/>
        <v>-0.27332159919537335</v>
      </c>
    </row>
    <row r="345" spans="1:36" x14ac:dyDescent="0.3">
      <c r="A345" s="78" t="s">
        <v>711</v>
      </c>
      <c r="B345" s="81" t="s">
        <v>712</v>
      </c>
      <c r="C345" s="59">
        <v>187</v>
      </c>
      <c r="D345" s="60" t="s">
        <v>57</v>
      </c>
      <c r="E345" s="60">
        <v>271.39</v>
      </c>
      <c r="F345" s="60">
        <v>33.700000000000003</v>
      </c>
      <c r="G345" s="60">
        <v>305.08999999999997</v>
      </c>
      <c r="H345" s="61">
        <v>50749.93</v>
      </c>
      <c r="I345" s="61">
        <v>6301.9000000000005</v>
      </c>
      <c r="J345" s="62">
        <v>57051.829999999994</v>
      </c>
      <c r="M345" s="75"/>
      <c r="N345" s="76"/>
      <c r="V345" s="56">
        <v>84</v>
      </c>
      <c r="W345" s="56" t="s">
        <v>57</v>
      </c>
      <c r="X345" s="64">
        <v>313.19</v>
      </c>
      <c r="Y345" s="64">
        <v>26.99</v>
      </c>
      <c r="Z345" s="64">
        <f t="shared" si="33"/>
        <v>340.18</v>
      </c>
      <c r="AB345" s="56">
        <v>84</v>
      </c>
      <c r="AC345" s="56" t="s">
        <v>57</v>
      </c>
      <c r="AD345" s="64">
        <v>399.32</v>
      </c>
      <c r="AE345" s="64">
        <v>34.409999999999997</v>
      </c>
      <c r="AF345" s="64">
        <f t="shared" si="34"/>
        <v>433.73</v>
      </c>
      <c r="AH345" s="65">
        <f t="shared" si="32"/>
        <v>-0.32036962836822602</v>
      </c>
      <c r="AI345" s="65">
        <f t="shared" si="32"/>
        <v>-2.0633536762568849E-2</v>
      </c>
      <c r="AJ345" s="65">
        <f t="shared" si="32"/>
        <v>-0.29659004449772908</v>
      </c>
    </row>
    <row r="346" spans="1:36" x14ac:dyDescent="0.3">
      <c r="A346" s="78" t="s">
        <v>713</v>
      </c>
      <c r="B346" s="81" t="s">
        <v>714</v>
      </c>
      <c r="C346" s="59">
        <v>1</v>
      </c>
      <c r="D346" s="60" t="s">
        <v>57</v>
      </c>
      <c r="E346" s="60">
        <v>48.6</v>
      </c>
      <c r="F346" s="60">
        <v>2.59</v>
      </c>
      <c r="G346" s="60">
        <v>51.19</v>
      </c>
      <c r="H346" s="61">
        <v>48.6</v>
      </c>
      <c r="I346" s="61">
        <v>2.59</v>
      </c>
      <c r="J346" s="62">
        <v>51.19</v>
      </c>
      <c r="M346" s="75"/>
      <c r="N346" s="76"/>
      <c r="V346" s="56">
        <v>1</v>
      </c>
      <c r="W346" s="56" t="s">
        <v>57</v>
      </c>
      <c r="X346" s="64">
        <v>48.07</v>
      </c>
      <c r="Y346" s="64">
        <v>2.0699999999999998</v>
      </c>
      <c r="Z346" s="64">
        <f t="shared" si="33"/>
        <v>50.14</v>
      </c>
      <c r="AB346" s="56">
        <v>1</v>
      </c>
      <c r="AC346" s="56" t="s">
        <v>57</v>
      </c>
      <c r="AD346" s="64">
        <v>61.29</v>
      </c>
      <c r="AE346" s="64">
        <v>2.64</v>
      </c>
      <c r="AF346" s="64">
        <f t="shared" si="34"/>
        <v>63.93</v>
      </c>
      <c r="AH346" s="65">
        <f t="shared" si="32"/>
        <v>-0.20704845814977968</v>
      </c>
      <c r="AI346" s="65">
        <f t="shared" si="32"/>
        <v>-1.8939393939394034E-2</v>
      </c>
      <c r="AJ346" s="65">
        <f t="shared" si="32"/>
        <v>-0.19928046300641333</v>
      </c>
    </row>
    <row r="347" spans="1:36" x14ac:dyDescent="0.3">
      <c r="A347" s="57">
        <v>19100</v>
      </c>
      <c r="B347" s="81" t="s">
        <v>715</v>
      </c>
      <c r="C347" s="59">
        <v>19</v>
      </c>
      <c r="D347" s="60" t="s">
        <v>57</v>
      </c>
      <c r="E347" s="60">
        <v>45.66</v>
      </c>
      <c r="F347" s="60">
        <v>33.700000000000003</v>
      </c>
      <c r="G347" s="60">
        <v>79.36</v>
      </c>
      <c r="H347" s="61">
        <v>867.54</v>
      </c>
      <c r="I347" s="61">
        <v>640.30000000000007</v>
      </c>
      <c r="J347" s="62">
        <v>1507.84</v>
      </c>
      <c r="M347" s="75"/>
      <c r="N347" s="76"/>
      <c r="V347" s="56">
        <v>40</v>
      </c>
      <c r="W347" s="56" t="s">
        <v>57</v>
      </c>
      <c r="X347" s="64">
        <v>52.42</v>
      </c>
      <c r="Y347" s="64">
        <v>26.99</v>
      </c>
      <c r="Z347" s="64">
        <f t="shared" si="33"/>
        <v>79.41</v>
      </c>
      <c r="AB347" s="56">
        <v>40</v>
      </c>
      <c r="AC347" s="56" t="s">
        <v>57</v>
      </c>
      <c r="AD347" s="64">
        <v>66.84</v>
      </c>
      <c r="AE347" s="64">
        <v>34.409999999999997</v>
      </c>
      <c r="AF347" s="64">
        <f t="shared" si="34"/>
        <v>101.25</v>
      </c>
      <c r="AH347" s="65">
        <f t="shared" ref="AH347:AJ421" si="35">IF(E347=0,0,(E347/AD347)-1)</f>
        <v>-0.31687612208258531</v>
      </c>
      <c r="AI347" s="65">
        <f t="shared" si="35"/>
        <v>-2.0633536762568849E-2</v>
      </c>
      <c r="AJ347" s="65">
        <f t="shared" si="35"/>
        <v>-0.21619753086419757</v>
      </c>
    </row>
    <row r="348" spans="1:36" x14ac:dyDescent="0.3">
      <c r="A348" s="57">
        <v>19101</v>
      </c>
      <c r="B348" s="81" t="s">
        <v>716</v>
      </c>
      <c r="C348" s="59">
        <v>183</v>
      </c>
      <c r="D348" s="60" t="s">
        <v>57</v>
      </c>
      <c r="E348" s="60">
        <v>64.78</v>
      </c>
      <c r="F348" s="60">
        <v>33.700000000000003</v>
      </c>
      <c r="G348" s="60">
        <v>98.48</v>
      </c>
      <c r="H348" s="61">
        <v>11854.74</v>
      </c>
      <c r="I348" s="61">
        <v>6167.1</v>
      </c>
      <c r="J348" s="62">
        <v>18021.84</v>
      </c>
      <c r="M348" s="75"/>
      <c r="N348" s="76"/>
      <c r="V348" s="56">
        <v>87</v>
      </c>
      <c r="W348" s="56" t="s">
        <v>57</v>
      </c>
      <c r="X348" s="64">
        <v>74.239999999999995</v>
      </c>
      <c r="Y348" s="64">
        <v>26.99</v>
      </c>
      <c r="Z348" s="64">
        <f t="shared" si="33"/>
        <v>101.22999999999999</v>
      </c>
      <c r="AB348" s="56">
        <v>87</v>
      </c>
      <c r="AC348" s="56" t="s">
        <v>57</v>
      </c>
      <c r="AD348" s="64">
        <v>94.66</v>
      </c>
      <c r="AE348" s="64">
        <v>34.409999999999997</v>
      </c>
      <c r="AF348" s="64">
        <f t="shared" si="34"/>
        <v>129.07</v>
      </c>
      <c r="AH348" s="65">
        <f t="shared" si="35"/>
        <v>-0.31565603211493765</v>
      </c>
      <c r="AI348" s="65">
        <f t="shared" si="35"/>
        <v>-2.0633536762568849E-2</v>
      </c>
      <c r="AJ348" s="65">
        <f t="shared" si="35"/>
        <v>-0.2370031765708529</v>
      </c>
    </row>
    <row r="349" spans="1:36" x14ac:dyDescent="0.3">
      <c r="A349" s="57">
        <v>19102</v>
      </c>
      <c r="B349" s="81" t="s">
        <v>717</v>
      </c>
      <c r="C349" s="59">
        <v>110</v>
      </c>
      <c r="D349" s="60" t="s">
        <v>57</v>
      </c>
      <c r="E349" s="60">
        <v>659</v>
      </c>
      <c r="F349" s="60">
        <v>33.700000000000003</v>
      </c>
      <c r="G349" s="60">
        <v>692.7</v>
      </c>
      <c r="H349" s="61">
        <v>72490</v>
      </c>
      <c r="I349" s="61">
        <v>3707.0000000000005</v>
      </c>
      <c r="J349" s="62">
        <v>76197</v>
      </c>
      <c r="M349" s="75"/>
      <c r="N349" s="76"/>
      <c r="V349" s="56">
        <v>74</v>
      </c>
      <c r="W349" s="56" t="s">
        <v>57</v>
      </c>
      <c r="X349" s="64">
        <v>752.49</v>
      </c>
      <c r="Y349" s="64">
        <v>26.99</v>
      </c>
      <c r="Z349" s="64">
        <f t="shared" si="33"/>
        <v>779.48</v>
      </c>
      <c r="AB349" s="56">
        <v>74</v>
      </c>
      <c r="AC349" s="56" t="s">
        <v>57</v>
      </c>
      <c r="AD349" s="64">
        <v>959.42</v>
      </c>
      <c r="AE349" s="64">
        <v>34.409999999999997</v>
      </c>
      <c r="AF349" s="64">
        <f t="shared" si="34"/>
        <v>993.82999999999993</v>
      </c>
      <c r="AH349" s="65">
        <f t="shared" si="35"/>
        <v>-0.31312668070292471</v>
      </c>
      <c r="AI349" s="65">
        <f t="shared" si="35"/>
        <v>-2.0633536762568849E-2</v>
      </c>
      <c r="AJ349" s="65">
        <f t="shared" si="35"/>
        <v>-0.30299950695793032</v>
      </c>
    </row>
    <row r="350" spans="1:36" ht="28.8" x14ac:dyDescent="0.3">
      <c r="A350" s="57">
        <v>19103</v>
      </c>
      <c r="B350" s="81" t="s">
        <v>718</v>
      </c>
      <c r="C350" s="59">
        <v>129</v>
      </c>
      <c r="D350" s="60" t="s">
        <v>57</v>
      </c>
      <c r="E350" s="60">
        <v>197.85</v>
      </c>
      <c r="F350" s="60">
        <v>33.700000000000003</v>
      </c>
      <c r="G350" s="60">
        <v>231.55</v>
      </c>
      <c r="H350" s="61">
        <v>25522.649999999998</v>
      </c>
      <c r="I350" s="61">
        <v>4347.3</v>
      </c>
      <c r="J350" s="62">
        <v>29869.95</v>
      </c>
      <c r="M350" s="75"/>
      <c r="N350" s="76"/>
      <c r="V350" s="56">
        <v>65</v>
      </c>
      <c r="W350" s="56" t="s">
        <v>57</v>
      </c>
      <c r="X350" s="64">
        <v>226.12</v>
      </c>
      <c r="Y350" s="64">
        <v>26.99</v>
      </c>
      <c r="Z350" s="64">
        <f t="shared" si="33"/>
        <v>253.11</v>
      </c>
      <c r="AB350" s="56">
        <v>65</v>
      </c>
      <c r="AC350" s="56" t="s">
        <v>57</v>
      </c>
      <c r="AD350" s="64">
        <v>288.3</v>
      </c>
      <c r="AE350" s="64">
        <v>34.409999999999997</v>
      </c>
      <c r="AF350" s="64">
        <f t="shared" si="34"/>
        <v>322.71000000000004</v>
      </c>
      <c r="AH350" s="65">
        <f t="shared" si="35"/>
        <v>-0.31373569198751305</v>
      </c>
      <c r="AI350" s="65">
        <f t="shared" si="35"/>
        <v>-2.0633536762568849E-2</v>
      </c>
      <c r="AJ350" s="65">
        <f t="shared" si="35"/>
        <v>-0.28248272442750466</v>
      </c>
    </row>
    <row r="351" spans="1:36" x14ac:dyDescent="0.3">
      <c r="A351" s="57">
        <v>19104</v>
      </c>
      <c r="B351" s="81" t="s">
        <v>719</v>
      </c>
      <c r="C351" s="59">
        <v>151</v>
      </c>
      <c r="D351" s="60" t="s">
        <v>57</v>
      </c>
      <c r="E351" s="60">
        <v>1485.84</v>
      </c>
      <c r="F351" s="60">
        <v>33.700000000000003</v>
      </c>
      <c r="G351" s="60">
        <v>1519.54</v>
      </c>
      <c r="H351" s="61">
        <v>224361.84</v>
      </c>
      <c r="I351" s="61">
        <v>5088.7000000000007</v>
      </c>
      <c r="J351" s="62">
        <v>229450.54</v>
      </c>
      <c r="M351" s="75"/>
      <c r="N351" s="76"/>
      <c r="V351" s="56">
        <v>62</v>
      </c>
      <c r="W351" s="56" t="s">
        <v>57</v>
      </c>
      <c r="X351" s="64">
        <v>1696.26</v>
      </c>
      <c r="Y351" s="64">
        <v>26.99</v>
      </c>
      <c r="Z351" s="64">
        <f t="shared" si="33"/>
        <v>1723.25</v>
      </c>
      <c r="AB351" s="56">
        <v>62</v>
      </c>
      <c r="AC351" s="56" t="s">
        <v>57</v>
      </c>
      <c r="AD351" s="64">
        <v>2162.73</v>
      </c>
      <c r="AE351" s="64">
        <v>34.409999999999997</v>
      </c>
      <c r="AF351" s="64">
        <f t="shared" si="34"/>
        <v>2197.14</v>
      </c>
      <c r="AH351" s="65">
        <f t="shared" si="35"/>
        <v>-0.31297942877751739</v>
      </c>
      <c r="AI351" s="65">
        <f t="shared" si="35"/>
        <v>-2.0633536762568849E-2</v>
      </c>
      <c r="AJ351" s="65">
        <f t="shared" si="35"/>
        <v>-0.3084009211975568</v>
      </c>
    </row>
    <row r="352" spans="1:36" x14ac:dyDescent="0.3">
      <c r="A352" s="57">
        <v>19105</v>
      </c>
      <c r="B352" s="81" t="s">
        <v>720</v>
      </c>
      <c r="C352" s="59">
        <v>30</v>
      </c>
      <c r="D352" s="60" t="s">
        <v>57</v>
      </c>
      <c r="E352" s="60">
        <v>265.33</v>
      </c>
      <c r="F352" s="60">
        <v>33.700000000000003</v>
      </c>
      <c r="G352" s="60">
        <v>299.02999999999997</v>
      </c>
      <c r="H352" s="61">
        <v>7959.9</v>
      </c>
      <c r="I352" s="61">
        <v>1011.0000000000001</v>
      </c>
      <c r="J352" s="62">
        <v>8970.9</v>
      </c>
      <c r="M352" s="75"/>
      <c r="N352" s="76"/>
      <c r="V352" s="56">
        <v>1</v>
      </c>
      <c r="W352" s="56" t="s">
        <v>57</v>
      </c>
      <c r="X352" s="64">
        <v>303.14999999999998</v>
      </c>
      <c r="Y352" s="64">
        <v>26.99</v>
      </c>
      <c r="Z352" s="64">
        <f t="shared" si="33"/>
        <v>330.14</v>
      </c>
      <c r="AB352" s="56">
        <v>1</v>
      </c>
      <c r="AC352" s="56" t="s">
        <v>57</v>
      </c>
      <c r="AD352" s="64">
        <v>386.52</v>
      </c>
      <c r="AE352" s="64">
        <v>34.409999999999997</v>
      </c>
      <c r="AF352" s="64">
        <f t="shared" si="34"/>
        <v>420.92999999999995</v>
      </c>
      <c r="AH352" s="65">
        <f t="shared" si="35"/>
        <v>-0.31354134326813621</v>
      </c>
      <c r="AI352" s="65">
        <f t="shared" si="35"/>
        <v>-2.0633536762568849E-2</v>
      </c>
      <c r="AJ352" s="65">
        <f t="shared" si="35"/>
        <v>-0.28959684508112982</v>
      </c>
    </row>
    <row r="353" spans="1:36" x14ac:dyDescent="0.3">
      <c r="A353" s="57">
        <v>19106</v>
      </c>
      <c r="B353" s="81" t="s">
        <v>721</v>
      </c>
      <c r="C353" s="59">
        <v>12</v>
      </c>
      <c r="D353" s="60" t="s">
        <v>87</v>
      </c>
      <c r="E353" s="60">
        <v>2.52</v>
      </c>
      <c r="F353" s="60">
        <v>5.18</v>
      </c>
      <c r="G353" s="60">
        <v>7.6999999999999993</v>
      </c>
      <c r="H353" s="61">
        <v>30.240000000000002</v>
      </c>
      <c r="I353" s="61">
        <v>62.16</v>
      </c>
      <c r="J353" s="62">
        <v>92.399999999999991</v>
      </c>
      <c r="M353" s="75"/>
      <c r="N353" s="76"/>
      <c r="V353" s="56">
        <v>1</v>
      </c>
      <c r="W353" s="56" t="s">
        <v>87</v>
      </c>
      <c r="X353" s="64">
        <v>2.88</v>
      </c>
      <c r="Y353" s="64">
        <v>4.1500000000000004</v>
      </c>
      <c r="Z353" s="64">
        <f t="shared" si="33"/>
        <v>7.03</v>
      </c>
      <c r="AB353" s="56">
        <v>1</v>
      </c>
      <c r="AC353" s="56" t="s">
        <v>87</v>
      </c>
      <c r="AD353" s="64">
        <v>3.67</v>
      </c>
      <c r="AE353" s="64">
        <v>5.29</v>
      </c>
      <c r="AF353" s="64">
        <f t="shared" si="34"/>
        <v>8.9600000000000009</v>
      </c>
      <c r="AH353" s="65">
        <f t="shared" si="35"/>
        <v>-0.31335149863760214</v>
      </c>
      <c r="AI353" s="65">
        <f t="shared" si="35"/>
        <v>-2.0793950850661713E-2</v>
      </c>
      <c r="AJ353" s="65">
        <f t="shared" si="35"/>
        <v>-0.14062500000000011</v>
      </c>
    </row>
    <row r="354" spans="1:36" x14ac:dyDescent="0.3">
      <c r="A354" s="57">
        <v>19107</v>
      </c>
      <c r="B354" s="81" t="s">
        <v>722</v>
      </c>
      <c r="C354" s="59">
        <v>60</v>
      </c>
      <c r="D354" s="60" t="s">
        <v>57</v>
      </c>
      <c r="E354" s="60">
        <v>2.96</v>
      </c>
      <c r="F354" s="60">
        <v>61.27</v>
      </c>
      <c r="G354" s="60">
        <v>64.23</v>
      </c>
      <c r="H354" s="61">
        <v>177.6</v>
      </c>
      <c r="I354" s="61">
        <v>3676.2000000000003</v>
      </c>
      <c r="J354" s="62">
        <v>3853.8</v>
      </c>
      <c r="M354" s="75"/>
      <c r="N354" s="76"/>
      <c r="V354" s="56">
        <v>7</v>
      </c>
      <c r="W354" s="56" t="s">
        <v>57</v>
      </c>
      <c r="X354" s="64">
        <v>3.68</v>
      </c>
      <c r="Y354" s="64">
        <v>49.08</v>
      </c>
      <c r="Z354" s="64">
        <f t="shared" si="33"/>
        <v>52.76</v>
      </c>
      <c r="AB354" s="56">
        <v>7</v>
      </c>
      <c r="AC354" s="56" t="s">
        <v>57</v>
      </c>
      <c r="AD354" s="64">
        <v>4.6900000000000004</v>
      </c>
      <c r="AE354" s="64">
        <v>62.58</v>
      </c>
      <c r="AF354" s="64">
        <f t="shared" si="34"/>
        <v>67.27</v>
      </c>
      <c r="AH354" s="65">
        <f t="shared" si="35"/>
        <v>-0.36886993603411522</v>
      </c>
      <c r="AI354" s="65">
        <f t="shared" si="35"/>
        <v>-2.0933205496963758E-2</v>
      </c>
      <c r="AJ354" s="65">
        <f t="shared" si="35"/>
        <v>-4.5191021257618424E-2</v>
      </c>
    </row>
    <row r="355" spans="1:36" x14ac:dyDescent="0.3">
      <c r="A355" s="57">
        <v>19108</v>
      </c>
      <c r="B355" s="81" t="s">
        <v>723</v>
      </c>
      <c r="C355" s="59">
        <v>1</v>
      </c>
      <c r="D355" s="60" t="s">
        <v>57</v>
      </c>
      <c r="E355" s="60">
        <v>118.08</v>
      </c>
      <c r="F355" s="60">
        <v>275.69</v>
      </c>
      <c r="G355" s="60">
        <v>393.77</v>
      </c>
      <c r="H355" s="61">
        <v>118.08</v>
      </c>
      <c r="I355" s="61">
        <v>275.69</v>
      </c>
      <c r="J355" s="62">
        <v>393.77</v>
      </c>
      <c r="M355" s="75"/>
      <c r="N355" s="76"/>
      <c r="V355" s="56">
        <v>1</v>
      </c>
      <c r="W355" s="56" t="s">
        <v>57</v>
      </c>
      <c r="X355" s="64">
        <v>179.62</v>
      </c>
      <c r="Y355" s="64">
        <v>220.86</v>
      </c>
      <c r="Z355" s="64">
        <f t="shared" si="33"/>
        <v>400.48</v>
      </c>
      <c r="AB355" s="56">
        <v>1</v>
      </c>
      <c r="AC355" s="56" t="s">
        <v>57</v>
      </c>
      <c r="AD355" s="64">
        <v>229.02</v>
      </c>
      <c r="AE355" s="64">
        <v>281.60000000000002</v>
      </c>
      <c r="AF355" s="64">
        <f t="shared" si="34"/>
        <v>510.62</v>
      </c>
      <c r="AH355" s="65">
        <f t="shared" si="35"/>
        <v>-0.48441184176054497</v>
      </c>
      <c r="AI355" s="65">
        <f t="shared" si="35"/>
        <v>-2.0987215909091028E-2</v>
      </c>
      <c r="AJ355" s="65">
        <f t="shared" si="35"/>
        <v>-0.2288394500802946</v>
      </c>
    </row>
    <row r="356" spans="1:36" x14ac:dyDescent="0.3">
      <c r="A356" s="57">
        <v>19109</v>
      </c>
      <c r="B356" s="81" t="s">
        <v>724</v>
      </c>
      <c r="C356" s="59">
        <v>4</v>
      </c>
      <c r="D356" s="60" t="s">
        <v>57</v>
      </c>
      <c r="E356" s="60">
        <v>333.31</v>
      </c>
      <c r="F356" s="60">
        <v>132.74</v>
      </c>
      <c r="G356" s="60">
        <v>466.05</v>
      </c>
      <c r="H356" s="61">
        <v>1333.24</v>
      </c>
      <c r="I356" s="61">
        <v>530.96</v>
      </c>
      <c r="J356" s="62">
        <v>1864.2</v>
      </c>
      <c r="M356" s="75"/>
      <c r="N356" s="76"/>
      <c r="V356" s="56">
        <v>1</v>
      </c>
      <c r="W356" s="56" t="s">
        <v>57</v>
      </c>
      <c r="X356" s="64">
        <v>384.21</v>
      </c>
      <c r="Y356" s="64">
        <v>106.34</v>
      </c>
      <c r="Z356" s="64">
        <f t="shared" si="33"/>
        <v>490.54999999999995</v>
      </c>
      <c r="AB356" s="56">
        <v>1</v>
      </c>
      <c r="AC356" s="56" t="s">
        <v>57</v>
      </c>
      <c r="AD356" s="64">
        <v>489.87</v>
      </c>
      <c r="AE356" s="64">
        <v>135.58000000000001</v>
      </c>
      <c r="AF356" s="64">
        <f t="shared" si="34"/>
        <v>625.45000000000005</v>
      </c>
      <c r="AH356" s="65">
        <f t="shared" si="35"/>
        <v>-0.31959499459040153</v>
      </c>
      <c r="AI356" s="65">
        <f t="shared" si="35"/>
        <v>-2.0947042336627808E-2</v>
      </c>
      <c r="AJ356" s="65">
        <f t="shared" si="35"/>
        <v>-0.25485650331761134</v>
      </c>
    </row>
    <row r="357" spans="1:36" x14ac:dyDescent="0.3">
      <c r="A357" s="57">
        <v>19110</v>
      </c>
      <c r="B357" s="81" t="s">
        <v>725</v>
      </c>
      <c r="C357" s="59">
        <v>104</v>
      </c>
      <c r="D357" s="60" t="s">
        <v>57</v>
      </c>
      <c r="E357" s="60">
        <v>88.78</v>
      </c>
      <c r="F357" s="60">
        <v>350.32</v>
      </c>
      <c r="G357" s="60">
        <v>439.1</v>
      </c>
      <c r="H357" s="61">
        <v>9233.1200000000008</v>
      </c>
      <c r="I357" s="61">
        <v>36433.279999999999</v>
      </c>
      <c r="J357" s="62">
        <v>45666.400000000001</v>
      </c>
      <c r="M357" s="75"/>
      <c r="N357" s="76"/>
      <c r="V357" s="56">
        <v>1</v>
      </c>
      <c r="W357" s="56" t="s">
        <v>57</v>
      </c>
      <c r="X357" s="64">
        <v>102.7</v>
      </c>
      <c r="Y357" s="64">
        <v>284.24</v>
      </c>
      <c r="Z357" s="64">
        <f t="shared" si="33"/>
        <v>386.94</v>
      </c>
      <c r="AB357" s="56">
        <v>1</v>
      </c>
      <c r="AC357" s="56" t="s">
        <v>57</v>
      </c>
      <c r="AD357" s="64">
        <v>130.94</v>
      </c>
      <c r="AE357" s="64">
        <v>362.41</v>
      </c>
      <c r="AF357" s="64">
        <f t="shared" si="34"/>
        <v>493.35</v>
      </c>
      <c r="AH357" s="65">
        <f t="shared" si="35"/>
        <v>-0.32197953261035583</v>
      </c>
      <c r="AI357" s="65">
        <f t="shared" si="35"/>
        <v>-3.336000662233396E-2</v>
      </c>
      <c r="AJ357" s="65">
        <f t="shared" si="35"/>
        <v>-0.10996250126684903</v>
      </c>
    </row>
    <row r="358" spans="1:36" x14ac:dyDescent="0.3">
      <c r="A358" s="57">
        <v>19111</v>
      </c>
      <c r="B358" s="81" t="s">
        <v>726</v>
      </c>
      <c r="C358" s="59">
        <v>38</v>
      </c>
      <c r="D358" s="60" t="s">
        <v>57</v>
      </c>
      <c r="E358" s="60">
        <v>421.9</v>
      </c>
      <c r="F358" s="60">
        <v>122.53</v>
      </c>
      <c r="G358" s="60">
        <v>544.42999999999995</v>
      </c>
      <c r="H358" s="61">
        <v>16032.199999999999</v>
      </c>
      <c r="I358" s="61">
        <v>4656.1400000000003</v>
      </c>
      <c r="J358" s="62">
        <v>20688.339999999997</v>
      </c>
      <c r="M358" s="75"/>
      <c r="N358" s="76"/>
      <c r="V358" s="56">
        <v>1</v>
      </c>
      <c r="W358" s="56" t="s">
        <v>57</v>
      </c>
      <c r="X358" s="64">
        <v>537.13</v>
      </c>
      <c r="Y358" s="64">
        <v>98.16</v>
      </c>
      <c r="Z358" s="64">
        <f t="shared" si="33"/>
        <v>635.29</v>
      </c>
      <c r="AB358" s="56">
        <v>1</v>
      </c>
      <c r="AC358" s="56" t="s">
        <v>57</v>
      </c>
      <c r="AD358" s="64">
        <v>684.84</v>
      </c>
      <c r="AE358" s="64">
        <v>125.15</v>
      </c>
      <c r="AF358" s="64">
        <f t="shared" si="34"/>
        <v>809.99</v>
      </c>
      <c r="AH358" s="65">
        <f t="shared" si="35"/>
        <v>-0.38394369487763569</v>
      </c>
      <c r="AI358" s="65">
        <f t="shared" si="35"/>
        <v>-2.0934878146224523E-2</v>
      </c>
      <c r="AJ358" s="65">
        <f t="shared" si="35"/>
        <v>-0.32785589945554894</v>
      </c>
    </row>
    <row r="359" spans="1:36" x14ac:dyDescent="0.3">
      <c r="A359" s="57">
        <v>19112</v>
      </c>
      <c r="B359" s="81" t="s">
        <v>727</v>
      </c>
      <c r="C359" s="59">
        <v>1</v>
      </c>
      <c r="D359" s="60" t="s">
        <v>57</v>
      </c>
      <c r="E359" s="60">
        <v>985.02</v>
      </c>
      <c r="F359" s="60">
        <v>373.72</v>
      </c>
      <c r="G359" s="60">
        <v>1358.74</v>
      </c>
      <c r="H359" s="61">
        <v>985.02</v>
      </c>
      <c r="I359" s="61">
        <v>373.72</v>
      </c>
      <c r="J359" s="62">
        <v>1358.74</v>
      </c>
      <c r="M359" s="75"/>
      <c r="N359" s="76"/>
      <c r="V359" s="56">
        <v>1</v>
      </c>
      <c r="W359" s="56" t="s">
        <v>57</v>
      </c>
      <c r="X359" s="64">
        <v>1254.19</v>
      </c>
      <c r="Y359" s="64">
        <v>299.39</v>
      </c>
      <c r="Z359" s="64">
        <f t="shared" si="33"/>
        <v>1553.58</v>
      </c>
      <c r="AB359" s="56">
        <v>1</v>
      </c>
      <c r="AC359" s="56" t="s">
        <v>57</v>
      </c>
      <c r="AD359" s="64">
        <v>1599.09</v>
      </c>
      <c r="AE359" s="64">
        <v>381.72</v>
      </c>
      <c r="AF359" s="64">
        <f t="shared" si="34"/>
        <v>1980.81</v>
      </c>
      <c r="AH359" s="65">
        <f t="shared" si="35"/>
        <v>-0.38401215691424495</v>
      </c>
      <c r="AI359" s="65">
        <f t="shared" si="35"/>
        <v>-2.0957770093262051E-2</v>
      </c>
      <c r="AJ359" s="65">
        <f t="shared" si="35"/>
        <v>-0.31404829337493245</v>
      </c>
    </row>
    <row r="360" spans="1:36" x14ac:dyDescent="0.3">
      <c r="A360" s="57">
        <v>19113</v>
      </c>
      <c r="B360" s="81" t="s">
        <v>728</v>
      </c>
      <c r="C360" s="59">
        <v>4</v>
      </c>
      <c r="D360" s="60" t="s">
        <v>57</v>
      </c>
      <c r="E360" s="60">
        <v>1494.54</v>
      </c>
      <c r="F360" s="60">
        <v>373.72</v>
      </c>
      <c r="G360" s="60">
        <v>1868.26</v>
      </c>
      <c r="H360" s="61">
        <v>5978.16</v>
      </c>
      <c r="I360" s="61">
        <v>1494.88</v>
      </c>
      <c r="J360" s="62">
        <v>7473.04</v>
      </c>
      <c r="M360" s="75"/>
      <c r="N360" s="76"/>
      <c r="V360" s="56">
        <v>1</v>
      </c>
      <c r="W360" s="56" t="s">
        <v>57</v>
      </c>
      <c r="X360" s="64">
        <v>1902.98</v>
      </c>
      <c r="Y360" s="64">
        <v>299.39</v>
      </c>
      <c r="Z360" s="64">
        <f t="shared" si="33"/>
        <v>2202.37</v>
      </c>
      <c r="AB360" s="56">
        <v>1</v>
      </c>
      <c r="AC360" s="56" t="s">
        <v>57</v>
      </c>
      <c r="AD360" s="64">
        <v>2426.3000000000002</v>
      </c>
      <c r="AE360" s="64">
        <v>381.72</v>
      </c>
      <c r="AF360" s="64">
        <f t="shared" si="34"/>
        <v>2808.0200000000004</v>
      </c>
      <c r="AH360" s="65">
        <f t="shared" si="35"/>
        <v>-0.3840250587314018</v>
      </c>
      <c r="AI360" s="65">
        <f t="shared" si="35"/>
        <v>-2.0957770093262051E-2</v>
      </c>
      <c r="AJ360" s="65">
        <f t="shared" si="35"/>
        <v>-0.33466998098304157</v>
      </c>
    </row>
    <row r="361" spans="1:36" x14ac:dyDescent="0.3">
      <c r="A361" s="57">
        <v>19114</v>
      </c>
      <c r="B361" s="81" t="s">
        <v>729</v>
      </c>
      <c r="C361" s="59">
        <v>10</v>
      </c>
      <c r="D361" s="60" t="s">
        <v>57</v>
      </c>
      <c r="E361" s="60">
        <v>1614.1</v>
      </c>
      <c r="F361" s="60">
        <v>373.72</v>
      </c>
      <c r="G361" s="60">
        <v>1987.82</v>
      </c>
      <c r="H361" s="61">
        <v>16141</v>
      </c>
      <c r="I361" s="61">
        <v>3737.2000000000003</v>
      </c>
      <c r="J361" s="62">
        <v>19878.2</v>
      </c>
      <c r="M361" s="75"/>
      <c r="N361" s="76"/>
      <c r="V361" s="56">
        <v>1</v>
      </c>
      <c r="W361" s="56" t="s">
        <v>57</v>
      </c>
      <c r="X361" s="64">
        <v>2055.23</v>
      </c>
      <c r="Y361" s="64">
        <v>299.39</v>
      </c>
      <c r="Z361" s="64">
        <f t="shared" si="33"/>
        <v>2354.62</v>
      </c>
      <c r="AB361" s="56">
        <v>1</v>
      </c>
      <c r="AC361" s="56" t="s">
        <v>57</v>
      </c>
      <c r="AD361" s="64">
        <v>2620.42</v>
      </c>
      <c r="AE361" s="64">
        <v>381.72</v>
      </c>
      <c r="AF361" s="64">
        <f t="shared" si="34"/>
        <v>3002.1400000000003</v>
      </c>
      <c r="AH361" s="65">
        <f t="shared" si="35"/>
        <v>-0.38403004098579618</v>
      </c>
      <c r="AI361" s="65">
        <f t="shared" si="35"/>
        <v>-2.0957770093262051E-2</v>
      </c>
      <c r="AJ361" s="65">
        <f t="shared" si="35"/>
        <v>-0.3378656558321731</v>
      </c>
    </row>
    <row r="362" spans="1:36" x14ac:dyDescent="0.3">
      <c r="A362" s="57">
        <v>19115</v>
      </c>
      <c r="B362" s="81" t="s">
        <v>730</v>
      </c>
      <c r="C362" s="59">
        <v>6</v>
      </c>
      <c r="D362" s="60" t="s">
        <v>57</v>
      </c>
      <c r="E362" s="60">
        <v>18.73</v>
      </c>
      <c r="F362" s="60">
        <v>55.14</v>
      </c>
      <c r="G362" s="60">
        <v>73.87</v>
      </c>
      <c r="H362" s="61">
        <v>112.38</v>
      </c>
      <c r="I362" s="61">
        <v>330.84000000000003</v>
      </c>
      <c r="J362" s="62">
        <v>443.22</v>
      </c>
      <c r="M362" s="75"/>
      <c r="N362" s="76"/>
      <c r="V362" s="56">
        <v>1</v>
      </c>
      <c r="W362" s="56" t="s">
        <v>57</v>
      </c>
      <c r="X362" s="64">
        <v>28.7</v>
      </c>
      <c r="Y362" s="64">
        <v>44.17</v>
      </c>
      <c r="Z362" s="64">
        <f t="shared" si="33"/>
        <v>72.87</v>
      </c>
      <c r="AB362" s="56">
        <v>1</v>
      </c>
      <c r="AC362" s="56" t="s">
        <v>57</v>
      </c>
      <c r="AD362" s="64">
        <v>36.590000000000003</v>
      </c>
      <c r="AE362" s="64">
        <v>56.32</v>
      </c>
      <c r="AF362" s="64">
        <f t="shared" si="34"/>
        <v>92.91</v>
      </c>
      <c r="AH362" s="65">
        <f t="shared" si="35"/>
        <v>-0.48811150587592245</v>
      </c>
      <c r="AI362" s="65">
        <f t="shared" si="35"/>
        <v>-2.0951704545454586E-2</v>
      </c>
      <c r="AJ362" s="65">
        <f t="shared" si="35"/>
        <v>-0.20492950166828106</v>
      </c>
    </row>
    <row r="363" spans="1:36" x14ac:dyDescent="0.3">
      <c r="A363" s="57">
        <v>19116</v>
      </c>
      <c r="B363" s="81" t="s">
        <v>731</v>
      </c>
      <c r="C363" s="59">
        <v>1</v>
      </c>
      <c r="D363" s="60" t="s">
        <v>87</v>
      </c>
      <c r="E363" s="60">
        <v>6.1</v>
      </c>
      <c r="F363" s="60">
        <v>5.63</v>
      </c>
      <c r="G363" s="60">
        <v>11.73</v>
      </c>
      <c r="H363" s="61">
        <v>6.1</v>
      </c>
      <c r="I363" s="61">
        <v>5.63</v>
      </c>
      <c r="J363" s="62">
        <v>11.73</v>
      </c>
      <c r="M363" s="75"/>
      <c r="N363" s="76"/>
      <c r="V363" s="56">
        <v>1</v>
      </c>
      <c r="W363" s="56" t="s">
        <v>87</v>
      </c>
      <c r="X363" s="64">
        <v>5.22</v>
      </c>
      <c r="Y363" s="64">
        <v>4.51</v>
      </c>
      <c r="Z363" s="64">
        <f t="shared" si="33"/>
        <v>9.73</v>
      </c>
      <c r="AB363" s="56">
        <v>1</v>
      </c>
      <c r="AC363" s="56" t="s">
        <v>87</v>
      </c>
      <c r="AD363" s="64">
        <v>6.66</v>
      </c>
      <c r="AE363" s="64">
        <v>5.75</v>
      </c>
      <c r="AF363" s="64">
        <f t="shared" si="34"/>
        <v>12.41</v>
      </c>
      <c r="AH363" s="65">
        <f t="shared" si="35"/>
        <v>-8.4084084084084187E-2</v>
      </c>
      <c r="AI363" s="65">
        <f t="shared" si="35"/>
        <v>-2.0869565217391362E-2</v>
      </c>
      <c r="AJ363" s="65">
        <f t="shared" si="35"/>
        <v>-5.4794520547945202E-2</v>
      </c>
    </row>
    <row r="364" spans="1:36" x14ac:dyDescent="0.3">
      <c r="A364" s="57">
        <v>19117</v>
      </c>
      <c r="B364" s="81" t="s">
        <v>732</v>
      </c>
      <c r="C364" s="59">
        <v>58</v>
      </c>
      <c r="D364" s="60" t="s">
        <v>87</v>
      </c>
      <c r="E364" s="60">
        <v>11.58</v>
      </c>
      <c r="F364" s="60">
        <v>6.38</v>
      </c>
      <c r="G364" s="60">
        <v>17.96</v>
      </c>
      <c r="H364" s="61">
        <v>671.64</v>
      </c>
      <c r="I364" s="61">
        <v>370.04</v>
      </c>
      <c r="J364" s="62">
        <v>1041.68</v>
      </c>
      <c r="M364" s="75"/>
      <c r="N364" s="76"/>
      <c r="V364" s="56">
        <v>1</v>
      </c>
      <c r="W364" s="56" t="s">
        <v>87</v>
      </c>
      <c r="X364" s="64">
        <v>9.91</v>
      </c>
      <c r="Y364" s="64">
        <v>5.1100000000000003</v>
      </c>
      <c r="Z364" s="64">
        <f t="shared" si="33"/>
        <v>15.02</v>
      </c>
      <c r="AB364" s="56">
        <v>1</v>
      </c>
      <c r="AC364" s="56" t="s">
        <v>87</v>
      </c>
      <c r="AD364" s="64">
        <v>12.64</v>
      </c>
      <c r="AE364" s="64">
        <v>6.52</v>
      </c>
      <c r="AF364" s="64">
        <f t="shared" si="34"/>
        <v>19.16</v>
      </c>
      <c r="AH364" s="65">
        <f t="shared" si="35"/>
        <v>-8.3860759493670889E-2</v>
      </c>
      <c r="AI364" s="65">
        <f t="shared" si="35"/>
        <v>-2.1472392638036797E-2</v>
      </c>
      <c r="AJ364" s="65">
        <f t="shared" si="35"/>
        <v>-6.2630480167014557E-2</v>
      </c>
    </row>
    <row r="365" spans="1:36" x14ac:dyDescent="0.3">
      <c r="A365" s="57">
        <v>19118</v>
      </c>
      <c r="B365" s="81" t="s">
        <v>733</v>
      </c>
      <c r="C365" s="59">
        <v>6</v>
      </c>
      <c r="D365" s="60" t="s">
        <v>87</v>
      </c>
      <c r="E365" s="60">
        <v>16.940000000000001</v>
      </c>
      <c r="F365" s="60">
        <v>7</v>
      </c>
      <c r="G365" s="60">
        <v>23.94</v>
      </c>
      <c r="H365" s="61">
        <v>101.64000000000001</v>
      </c>
      <c r="I365" s="61">
        <v>42</v>
      </c>
      <c r="J365" s="62">
        <v>143.64000000000001</v>
      </c>
      <c r="M365" s="75"/>
      <c r="N365" s="76"/>
      <c r="V365" s="56">
        <v>1</v>
      </c>
      <c r="W365" s="56" t="s">
        <v>87</v>
      </c>
      <c r="X365" s="64">
        <v>14.51</v>
      </c>
      <c r="Y365" s="64">
        <v>5.61</v>
      </c>
      <c r="Z365" s="64">
        <f t="shared" si="33"/>
        <v>20.12</v>
      </c>
      <c r="AB365" s="56">
        <v>1</v>
      </c>
      <c r="AC365" s="56" t="s">
        <v>87</v>
      </c>
      <c r="AD365" s="64">
        <v>18.5</v>
      </c>
      <c r="AE365" s="64">
        <v>7.15</v>
      </c>
      <c r="AF365" s="64">
        <f t="shared" si="34"/>
        <v>25.65</v>
      </c>
      <c r="AH365" s="65">
        <f t="shared" si="35"/>
        <v>-8.432432432432424E-2</v>
      </c>
      <c r="AI365" s="65">
        <f t="shared" si="35"/>
        <v>-2.0979020979021046E-2</v>
      </c>
      <c r="AJ365" s="65">
        <f t="shared" si="35"/>
        <v>-6.6666666666666541E-2</v>
      </c>
    </row>
    <row r="366" spans="1:36" x14ac:dyDescent="0.3">
      <c r="A366" s="57">
        <v>19119</v>
      </c>
      <c r="B366" s="81" t="s">
        <v>734</v>
      </c>
      <c r="C366" s="59">
        <v>90</v>
      </c>
      <c r="D366" s="60" t="s">
        <v>57</v>
      </c>
      <c r="E366" s="60">
        <v>0</v>
      </c>
      <c r="F366" s="60">
        <v>183.8</v>
      </c>
      <c r="G366" s="60">
        <v>183.8</v>
      </c>
      <c r="H366" s="61">
        <v>0</v>
      </c>
      <c r="I366" s="61">
        <v>16542</v>
      </c>
      <c r="J366" s="62">
        <v>16542</v>
      </c>
      <c r="M366" s="75"/>
      <c r="N366" s="76"/>
      <c r="V366" s="56">
        <v>1</v>
      </c>
      <c r="W366" s="56" t="s">
        <v>57</v>
      </c>
      <c r="X366" s="64">
        <v>0</v>
      </c>
      <c r="Y366" s="64">
        <v>147.24</v>
      </c>
      <c r="Z366" s="64">
        <f t="shared" si="33"/>
        <v>147.24</v>
      </c>
      <c r="AB366" s="56">
        <v>1</v>
      </c>
      <c r="AC366" s="56" t="s">
        <v>57</v>
      </c>
      <c r="AD366" s="64">
        <v>0</v>
      </c>
      <c r="AE366" s="64">
        <v>187.73</v>
      </c>
      <c r="AF366" s="64">
        <f t="shared" si="34"/>
        <v>187.73</v>
      </c>
      <c r="AH366" s="65">
        <f t="shared" si="35"/>
        <v>0</v>
      </c>
      <c r="AI366" s="65">
        <f t="shared" si="35"/>
        <v>-2.0934320566771358E-2</v>
      </c>
      <c r="AJ366" s="65">
        <f t="shared" si="35"/>
        <v>-2.0934320566771358E-2</v>
      </c>
    </row>
    <row r="367" spans="1:36" x14ac:dyDescent="0.3">
      <c r="A367" s="57">
        <v>19120</v>
      </c>
      <c r="B367" s="81" t="s">
        <v>735</v>
      </c>
      <c r="C367" s="59">
        <v>1</v>
      </c>
      <c r="D367" s="60" t="s">
        <v>57</v>
      </c>
      <c r="E367" s="60">
        <v>87.3</v>
      </c>
      <c r="F367" s="60">
        <v>600.05999999999995</v>
      </c>
      <c r="G367" s="60">
        <v>687.3599999999999</v>
      </c>
      <c r="H367" s="61">
        <v>87.3</v>
      </c>
      <c r="I367" s="61">
        <v>600.05999999999995</v>
      </c>
      <c r="J367" s="62">
        <v>687.3599999999999</v>
      </c>
      <c r="M367" s="75"/>
      <c r="N367" s="76"/>
      <c r="V367" s="56">
        <v>1</v>
      </c>
      <c r="W367" s="56" t="s">
        <v>57</v>
      </c>
      <c r="X367" s="64">
        <v>99.64</v>
      </c>
      <c r="Y367" s="64">
        <v>679.94</v>
      </c>
      <c r="Z367" s="64">
        <f t="shared" si="33"/>
        <v>779.58</v>
      </c>
      <c r="AB367" s="56">
        <v>1</v>
      </c>
      <c r="AC367" s="56" t="s">
        <v>57</v>
      </c>
      <c r="AD367" s="64">
        <v>127.04</v>
      </c>
      <c r="AE367" s="64">
        <v>866.92</v>
      </c>
      <c r="AF367" s="64">
        <f t="shared" si="34"/>
        <v>993.95999999999992</v>
      </c>
      <c r="AH367" s="65">
        <f t="shared" si="35"/>
        <v>-0.31281486146095727</v>
      </c>
      <c r="AI367" s="65">
        <f t="shared" si="35"/>
        <v>-0.30782540488165</v>
      </c>
      <c r="AJ367" s="65">
        <f t="shared" si="35"/>
        <v>-0.30846311722805753</v>
      </c>
    </row>
    <row r="368" spans="1:36" x14ac:dyDescent="0.3">
      <c r="A368" s="57">
        <v>19121</v>
      </c>
      <c r="B368" s="81" t="s">
        <v>736</v>
      </c>
      <c r="C368" s="59">
        <v>1</v>
      </c>
      <c r="D368" s="60" t="s">
        <v>57</v>
      </c>
      <c r="E368" s="60">
        <v>87.3</v>
      </c>
      <c r="F368" s="60">
        <v>652.69000000000005</v>
      </c>
      <c r="G368" s="60">
        <v>739.99</v>
      </c>
      <c r="H368" s="61">
        <v>87.3</v>
      </c>
      <c r="I368" s="61">
        <v>652.69000000000005</v>
      </c>
      <c r="J368" s="62">
        <v>739.99</v>
      </c>
      <c r="M368" s="75"/>
      <c r="N368" s="76"/>
      <c r="V368" s="56">
        <v>1</v>
      </c>
      <c r="W368" s="56" t="s">
        <v>57</v>
      </c>
      <c r="X368" s="64">
        <v>99.64</v>
      </c>
      <c r="Y368" s="64">
        <v>723.9</v>
      </c>
      <c r="Z368" s="64">
        <f t="shared" si="33"/>
        <v>823.54</v>
      </c>
      <c r="AB368" s="56">
        <v>1</v>
      </c>
      <c r="AC368" s="56" t="s">
        <v>57</v>
      </c>
      <c r="AD368" s="64">
        <v>127.04</v>
      </c>
      <c r="AE368" s="64">
        <v>922.97</v>
      </c>
      <c r="AF368" s="64">
        <f t="shared" si="34"/>
        <v>1050.01</v>
      </c>
      <c r="AH368" s="65">
        <f t="shared" si="35"/>
        <v>-0.31281486146095727</v>
      </c>
      <c r="AI368" s="65">
        <f t="shared" si="35"/>
        <v>-0.29283725364854762</v>
      </c>
      <c r="AJ368" s="65">
        <f t="shared" si="35"/>
        <v>-0.29525433091113418</v>
      </c>
    </row>
    <row r="369" spans="1:36" x14ac:dyDescent="0.3">
      <c r="A369" s="57">
        <v>19122</v>
      </c>
      <c r="B369" s="81" t="s">
        <v>737</v>
      </c>
      <c r="C369" s="59">
        <v>3251</v>
      </c>
      <c r="D369" s="60" t="s">
        <v>87</v>
      </c>
      <c r="E369" s="60">
        <v>0</v>
      </c>
      <c r="F369" s="60">
        <v>9.19</v>
      </c>
      <c r="G369" s="60">
        <v>9.19</v>
      </c>
      <c r="H369" s="61">
        <v>0</v>
      </c>
      <c r="I369" s="61">
        <v>29876.69</v>
      </c>
      <c r="J369" s="62">
        <v>29876.69</v>
      </c>
      <c r="M369" s="75"/>
      <c r="N369" s="76"/>
      <c r="V369" s="56">
        <v>207</v>
      </c>
      <c r="W369" s="56" t="s">
        <v>87</v>
      </c>
      <c r="X369" s="64">
        <v>0</v>
      </c>
      <c r="Y369" s="64">
        <v>7.36</v>
      </c>
      <c r="Z369" s="64">
        <f t="shared" si="33"/>
        <v>7.36</v>
      </c>
      <c r="AB369" s="56">
        <v>207</v>
      </c>
      <c r="AC369" s="56" t="s">
        <v>87</v>
      </c>
      <c r="AD369" s="64">
        <v>0</v>
      </c>
      <c r="AE369" s="64">
        <v>9.3800000000000008</v>
      </c>
      <c r="AF369" s="64">
        <f t="shared" si="34"/>
        <v>9.3800000000000008</v>
      </c>
      <c r="AH369" s="65">
        <f t="shared" si="35"/>
        <v>0</v>
      </c>
      <c r="AI369" s="65">
        <f t="shared" si="35"/>
        <v>-2.0255863539445751E-2</v>
      </c>
      <c r="AJ369" s="65">
        <f t="shared" si="35"/>
        <v>-2.0255863539445751E-2</v>
      </c>
    </row>
    <row r="370" spans="1:36" x14ac:dyDescent="0.3">
      <c r="A370" s="57">
        <v>19123</v>
      </c>
      <c r="B370" s="81" t="s">
        <v>738</v>
      </c>
      <c r="C370" s="59">
        <v>180</v>
      </c>
      <c r="D370" s="60" t="s">
        <v>57</v>
      </c>
      <c r="E370" s="60">
        <v>0</v>
      </c>
      <c r="F370" s="60">
        <v>18.53</v>
      </c>
      <c r="G370" s="60">
        <v>18.53</v>
      </c>
      <c r="H370" s="61">
        <v>0</v>
      </c>
      <c r="I370" s="61">
        <v>3335.4</v>
      </c>
      <c r="J370" s="62">
        <v>3335.4</v>
      </c>
      <c r="M370" s="75"/>
      <c r="N370" s="76"/>
      <c r="V370" s="56">
        <v>536</v>
      </c>
      <c r="W370" s="56" t="s">
        <v>57</v>
      </c>
      <c r="X370" s="64">
        <v>0</v>
      </c>
      <c r="Y370" s="64">
        <v>14.43</v>
      </c>
      <c r="Z370" s="64">
        <f t="shared" si="33"/>
        <v>14.43</v>
      </c>
      <c r="AB370" s="56">
        <v>536</v>
      </c>
      <c r="AC370" s="56" t="s">
        <v>57</v>
      </c>
      <c r="AD370" s="64">
        <v>0</v>
      </c>
      <c r="AE370" s="64">
        <v>18.399999999999999</v>
      </c>
      <c r="AF370" s="64">
        <f t="shared" si="34"/>
        <v>18.399999999999999</v>
      </c>
      <c r="AH370" s="65">
        <f t="shared" si="35"/>
        <v>0</v>
      </c>
      <c r="AI370" s="65">
        <f t="shared" si="35"/>
        <v>7.0652173913043903E-3</v>
      </c>
      <c r="AJ370" s="65">
        <f t="shared" si="35"/>
        <v>7.0652173913043903E-3</v>
      </c>
    </row>
    <row r="371" spans="1:36" x14ac:dyDescent="0.3">
      <c r="A371" s="57">
        <v>19124</v>
      </c>
      <c r="B371" s="81" t="s">
        <v>739</v>
      </c>
      <c r="C371" s="59">
        <v>14</v>
      </c>
      <c r="D371" s="60" t="s">
        <v>57</v>
      </c>
      <c r="E371" s="60">
        <v>31.07</v>
      </c>
      <c r="F371" s="60">
        <v>21.44</v>
      </c>
      <c r="G371" s="60">
        <v>52.510000000000005</v>
      </c>
      <c r="H371" s="61">
        <v>434.98</v>
      </c>
      <c r="I371" s="61">
        <v>300.16000000000003</v>
      </c>
      <c r="J371" s="62">
        <v>735.1400000000001</v>
      </c>
      <c r="M371" s="75"/>
      <c r="N371" s="76"/>
      <c r="V371" s="56">
        <v>1</v>
      </c>
      <c r="W371" s="56" t="s">
        <v>57</v>
      </c>
      <c r="X371" s="64">
        <v>35.46</v>
      </c>
      <c r="Y371" s="64">
        <v>17.18</v>
      </c>
      <c r="Z371" s="64">
        <f t="shared" si="33"/>
        <v>52.64</v>
      </c>
      <c r="AB371" s="56">
        <v>1</v>
      </c>
      <c r="AC371" s="56" t="s">
        <v>57</v>
      </c>
      <c r="AD371" s="64">
        <v>45.21</v>
      </c>
      <c r="AE371" s="64">
        <v>21.9</v>
      </c>
      <c r="AF371" s="64">
        <f t="shared" si="34"/>
        <v>67.11</v>
      </c>
      <c r="AH371" s="65">
        <f t="shared" si="35"/>
        <v>-0.31276266312762668</v>
      </c>
      <c r="AI371" s="65">
        <f t="shared" si="35"/>
        <v>-2.1004566210045539E-2</v>
      </c>
      <c r="AJ371" s="65">
        <f t="shared" si="35"/>
        <v>-0.21755327074951569</v>
      </c>
    </row>
    <row r="372" spans="1:36" x14ac:dyDescent="0.3">
      <c r="A372" s="57">
        <v>19125</v>
      </c>
      <c r="B372" s="81" t="s">
        <v>740</v>
      </c>
      <c r="C372" s="59">
        <v>6</v>
      </c>
      <c r="D372" s="60" t="s">
        <v>57</v>
      </c>
      <c r="E372" s="60">
        <v>22.1</v>
      </c>
      <c r="F372" s="60">
        <v>31.77</v>
      </c>
      <c r="G372" s="60">
        <v>53.870000000000005</v>
      </c>
      <c r="H372" s="61">
        <v>132.60000000000002</v>
      </c>
      <c r="I372" s="61">
        <v>190.62</v>
      </c>
      <c r="J372" s="62">
        <v>323.22000000000003</v>
      </c>
      <c r="M372" s="75"/>
      <c r="N372" s="76"/>
      <c r="V372" s="56">
        <v>1</v>
      </c>
      <c r="W372" s="56" t="s">
        <v>57</v>
      </c>
      <c r="X372" s="64">
        <v>25.86</v>
      </c>
      <c r="Y372" s="64">
        <v>25.09</v>
      </c>
      <c r="Z372" s="64">
        <f t="shared" si="33"/>
        <v>50.95</v>
      </c>
      <c r="AB372" s="56">
        <v>1</v>
      </c>
      <c r="AC372" s="56" t="s">
        <v>57</v>
      </c>
      <c r="AD372" s="64">
        <v>32.97</v>
      </c>
      <c r="AE372" s="64">
        <v>31.99</v>
      </c>
      <c r="AF372" s="64">
        <f t="shared" si="34"/>
        <v>64.959999999999994</v>
      </c>
      <c r="AH372" s="65">
        <f t="shared" si="35"/>
        <v>-0.32969366090385188</v>
      </c>
      <c r="AI372" s="65">
        <f t="shared" si="35"/>
        <v>-6.8771491090965364E-3</v>
      </c>
      <c r="AJ372" s="65">
        <f t="shared" si="35"/>
        <v>-0.17072044334975356</v>
      </c>
    </row>
    <row r="373" spans="1:36" x14ac:dyDescent="0.3">
      <c r="A373" s="57">
        <v>19126</v>
      </c>
      <c r="B373" s="81" t="s">
        <v>741</v>
      </c>
      <c r="C373" s="59">
        <v>7</v>
      </c>
      <c r="D373" s="60" t="s">
        <v>57</v>
      </c>
      <c r="E373" s="60">
        <v>30.86</v>
      </c>
      <c r="F373" s="60">
        <v>17.48</v>
      </c>
      <c r="G373" s="60">
        <v>48.34</v>
      </c>
      <c r="H373" s="61">
        <v>216.01999999999998</v>
      </c>
      <c r="I373" s="61">
        <v>122.36</v>
      </c>
      <c r="J373" s="62">
        <v>338.38</v>
      </c>
      <c r="M373" s="75"/>
      <c r="N373" s="76"/>
      <c r="V373" s="56">
        <v>1</v>
      </c>
      <c r="W373" s="56" t="s">
        <v>57</v>
      </c>
      <c r="X373" s="64">
        <v>35.22</v>
      </c>
      <c r="Y373" s="64">
        <v>13.55</v>
      </c>
      <c r="Z373" s="64">
        <f t="shared" si="33"/>
        <v>48.769999999999996</v>
      </c>
      <c r="AB373" s="56">
        <v>1</v>
      </c>
      <c r="AC373" s="56" t="s">
        <v>57</v>
      </c>
      <c r="AD373" s="64">
        <v>44.91</v>
      </c>
      <c r="AE373" s="64">
        <v>17.28</v>
      </c>
      <c r="AF373" s="64">
        <f t="shared" si="34"/>
        <v>62.19</v>
      </c>
      <c r="AH373" s="65">
        <f t="shared" si="35"/>
        <v>-0.31284791805833889</v>
      </c>
      <c r="AI373" s="65">
        <f t="shared" si="35"/>
        <v>1.1574074074073959E-2</v>
      </c>
      <c r="AJ373" s="65">
        <f t="shared" si="35"/>
        <v>-0.2227046148898536</v>
      </c>
    </row>
    <row r="374" spans="1:36" x14ac:dyDescent="0.3">
      <c r="A374" s="57">
        <v>19127</v>
      </c>
      <c r="B374" s="81" t="s">
        <v>742</v>
      </c>
      <c r="C374" s="59">
        <v>84</v>
      </c>
      <c r="D374" s="60" t="s">
        <v>57</v>
      </c>
      <c r="E374" s="60">
        <v>81</v>
      </c>
      <c r="F374" s="60">
        <v>42.89</v>
      </c>
      <c r="G374" s="60">
        <v>123.89</v>
      </c>
      <c r="H374" s="61">
        <v>6804</v>
      </c>
      <c r="I374" s="61">
        <v>3602.76</v>
      </c>
      <c r="J374" s="62">
        <v>10406.76</v>
      </c>
      <c r="M374" s="75"/>
      <c r="N374" s="76"/>
      <c r="V374" s="56">
        <v>126</v>
      </c>
      <c r="W374" s="56" t="s">
        <v>57</v>
      </c>
      <c r="X374" s="64">
        <v>92.71</v>
      </c>
      <c r="Y374" s="64">
        <v>34.36</v>
      </c>
      <c r="Z374" s="64">
        <f t="shared" si="33"/>
        <v>127.07</v>
      </c>
      <c r="AB374" s="56">
        <v>126</v>
      </c>
      <c r="AC374" s="56" t="s">
        <v>57</v>
      </c>
      <c r="AD374" s="64">
        <v>118.21</v>
      </c>
      <c r="AE374" s="64">
        <v>43.81</v>
      </c>
      <c r="AF374" s="64">
        <f t="shared" si="34"/>
        <v>162.01999999999998</v>
      </c>
      <c r="AH374" s="65">
        <f t="shared" si="35"/>
        <v>-0.31477878352085265</v>
      </c>
      <c r="AI374" s="65">
        <f t="shared" si="35"/>
        <v>-2.0999771741611495E-2</v>
      </c>
      <c r="AJ374" s="65">
        <f t="shared" si="35"/>
        <v>-0.23534131588692742</v>
      </c>
    </row>
    <row r="375" spans="1:36" x14ac:dyDescent="0.3">
      <c r="A375" s="57">
        <v>19128</v>
      </c>
      <c r="B375" s="81" t="s">
        <v>743</v>
      </c>
      <c r="C375" s="59">
        <v>26</v>
      </c>
      <c r="D375" s="60" t="s">
        <v>57</v>
      </c>
      <c r="E375" s="60">
        <v>327.10000000000002</v>
      </c>
      <c r="F375" s="60">
        <v>42.89</v>
      </c>
      <c r="G375" s="60">
        <v>369.99</v>
      </c>
      <c r="H375" s="61">
        <v>8504.6</v>
      </c>
      <c r="I375" s="61">
        <v>1115.1400000000001</v>
      </c>
      <c r="J375" s="62">
        <v>9619.74</v>
      </c>
      <c r="M375" s="75"/>
      <c r="N375" s="76"/>
      <c r="V375" s="56">
        <v>21</v>
      </c>
      <c r="W375" s="56" t="s">
        <v>57</v>
      </c>
      <c r="X375" s="64">
        <v>373.61</v>
      </c>
      <c r="Y375" s="64">
        <v>34.36</v>
      </c>
      <c r="Z375" s="64">
        <f t="shared" si="33"/>
        <v>407.97</v>
      </c>
      <c r="AB375" s="56">
        <v>21</v>
      </c>
      <c r="AC375" s="56" t="s">
        <v>57</v>
      </c>
      <c r="AD375" s="64">
        <v>476.35</v>
      </c>
      <c r="AE375" s="64">
        <v>43.81</v>
      </c>
      <c r="AF375" s="64">
        <f t="shared" si="34"/>
        <v>520.16000000000008</v>
      </c>
      <c r="AH375" s="65">
        <f t="shared" si="35"/>
        <v>-0.31332003778734119</v>
      </c>
      <c r="AI375" s="65">
        <f t="shared" si="35"/>
        <v>-2.0999771741611495E-2</v>
      </c>
      <c r="AJ375" s="65">
        <f t="shared" si="35"/>
        <v>-0.28869963088280537</v>
      </c>
    </row>
    <row r="376" spans="1:36" x14ac:dyDescent="0.3">
      <c r="A376" s="57">
        <v>19129</v>
      </c>
      <c r="B376" s="81" t="s">
        <v>744</v>
      </c>
      <c r="C376" s="59">
        <v>1</v>
      </c>
      <c r="D376" s="60" t="s">
        <v>87</v>
      </c>
      <c r="E376" s="60">
        <v>6.2</v>
      </c>
      <c r="F376" s="60">
        <v>5.18</v>
      </c>
      <c r="G376" s="60">
        <v>11.379999999999999</v>
      </c>
      <c r="H376" s="61">
        <v>6.2</v>
      </c>
      <c r="I376" s="61">
        <v>5.18</v>
      </c>
      <c r="J376" s="62">
        <v>11.379999999999999</v>
      </c>
      <c r="M376" s="75"/>
      <c r="N376" s="76"/>
      <c r="V376" s="56">
        <v>1</v>
      </c>
      <c r="W376" s="56" t="s">
        <v>87</v>
      </c>
      <c r="X376" s="64">
        <v>5.46</v>
      </c>
      <c r="Y376" s="64">
        <v>4.1500000000000004</v>
      </c>
      <c r="Z376" s="64">
        <f t="shared" ref="Z376:Z378" si="36">SUM(X376:Y376)</f>
        <v>9.61</v>
      </c>
      <c r="AB376" s="56">
        <v>1</v>
      </c>
      <c r="AC376" s="56" t="s">
        <v>87</v>
      </c>
      <c r="AD376" s="64">
        <v>6.96</v>
      </c>
      <c r="AE376" s="64">
        <v>5.29</v>
      </c>
      <c r="AF376" s="64">
        <f t="shared" ref="AF376:AF378" si="37">SUM(AD376:AE376)</f>
        <v>12.25</v>
      </c>
      <c r="AH376" s="65">
        <f t="shared" si="35"/>
        <v>-0.1091954022988505</v>
      </c>
      <c r="AI376" s="65">
        <f t="shared" si="35"/>
        <v>-2.0793950850661713E-2</v>
      </c>
      <c r="AJ376" s="65">
        <f t="shared" si="35"/>
        <v>-7.1020408163265381E-2</v>
      </c>
    </row>
    <row r="377" spans="1:36" x14ac:dyDescent="0.3">
      <c r="A377" s="57">
        <v>19130</v>
      </c>
      <c r="B377" s="81" t="s">
        <v>745</v>
      </c>
      <c r="C377" s="59">
        <v>1</v>
      </c>
      <c r="D377" s="60" t="s">
        <v>87</v>
      </c>
      <c r="E377" s="60">
        <v>3.61</v>
      </c>
      <c r="F377" s="60">
        <v>5.18</v>
      </c>
      <c r="G377" s="60">
        <v>8.7899999999999991</v>
      </c>
      <c r="H377" s="61">
        <v>3.61</v>
      </c>
      <c r="I377" s="61">
        <v>5.18</v>
      </c>
      <c r="J377" s="62">
        <v>8.7899999999999991</v>
      </c>
      <c r="M377" s="75"/>
      <c r="N377" s="76"/>
      <c r="V377" s="56">
        <v>1</v>
      </c>
      <c r="W377" s="56" t="s">
        <v>87</v>
      </c>
      <c r="X377" s="64">
        <v>3.64</v>
      </c>
      <c r="Y377" s="64">
        <v>4.1500000000000004</v>
      </c>
      <c r="Z377" s="64">
        <f t="shared" si="36"/>
        <v>7.7900000000000009</v>
      </c>
      <c r="AB377" s="56">
        <v>1</v>
      </c>
      <c r="AC377" s="56" t="s">
        <v>87</v>
      </c>
      <c r="AD377" s="64">
        <v>4.6399999999999997</v>
      </c>
      <c r="AE377" s="64">
        <v>5.29</v>
      </c>
      <c r="AF377" s="64">
        <f t="shared" si="37"/>
        <v>9.93</v>
      </c>
      <c r="AH377" s="65">
        <f t="shared" si="35"/>
        <v>-0.22198275862068961</v>
      </c>
      <c r="AI377" s="65">
        <f t="shared" si="35"/>
        <v>-2.0793950850661713E-2</v>
      </c>
      <c r="AJ377" s="65">
        <f t="shared" si="35"/>
        <v>-0.11480362537764355</v>
      </c>
    </row>
    <row r="378" spans="1:36" x14ac:dyDescent="0.3">
      <c r="A378" s="57">
        <v>19131</v>
      </c>
      <c r="B378" s="81" t="s">
        <v>746</v>
      </c>
      <c r="C378" s="59">
        <v>1</v>
      </c>
      <c r="D378" s="60" t="s">
        <v>41</v>
      </c>
      <c r="E378" s="60">
        <v>292.85000000000002</v>
      </c>
      <c r="F378" s="60">
        <v>36.76</v>
      </c>
      <c r="G378" s="60">
        <v>329.61</v>
      </c>
      <c r="H378" s="61">
        <v>292.85000000000002</v>
      </c>
      <c r="I378" s="61">
        <v>36.76</v>
      </c>
      <c r="J378" s="62">
        <v>329.61</v>
      </c>
      <c r="M378" s="75"/>
      <c r="N378" s="76"/>
      <c r="V378" s="56">
        <v>1</v>
      </c>
      <c r="W378" s="56" t="s">
        <v>41</v>
      </c>
      <c r="X378" s="64">
        <v>334.26</v>
      </c>
      <c r="Y378" s="64">
        <v>29.45</v>
      </c>
      <c r="Z378" s="64">
        <f t="shared" si="36"/>
        <v>363.71</v>
      </c>
      <c r="AB378" s="56">
        <v>1</v>
      </c>
      <c r="AC378" s="56" t="s">
        <v>41</v>
      </c>
      <c r="AD378" s="64">
        <v>426.18</v>
      </c>
      <c r="AE378" s="64">
        <v>37.549999999999997</v>
      </c>
      <c r="AF378" s="64">
        <f t="shared" si="37"/>
        <v>463.73</v>
      </c>
      <c r="AH378" s="65">
        <f t="shared" si="35"/>
        <v>-0.31284903092589977</v>
      </c>
      <c r="AI378" s="65">
        <f t="shared" si="35"/>
        <v>-2.1038615179760245E-2</v>
      </c>
      <c r="AJ378" s="65">
        <f t="shared" si="35"/>
        <v>-0.28922002027041593</v>
      </c>
    </row>
    <row r="379" spans="1:36" x14ac:dyDescent="0.3">
      <c r="A379" s="82">
        <v>20</v>
      </c>
      <c r="B379" s="83" t="s">
        <v>747</v>
      </c>
      <c r="C379" s="71"/>
      <c r="D379" s="72"/>
      <c r="E379" s="72"/>
      <c r="F379" s="72"/>
      <c r="G379" s="72"/>
      <c r="H379" s="52">
        <v>81810.78</v>
      </c>
      <c r="I379" s="52">
        <v>90680.65</v>
      </c>
      <c r="J379" s="52">
        <v>172491.43</v>
      </c>
      <c r="M379" s="75"/>
      <c r="N379" s="76"/>
      <c r="V379" s="54"/>
      <c r="W379" s="54"/>
      <c r="X379" s="55"/>
      <c r="Y379" s="55"/>
      <c r="Z379" s="55"/>
      <c r="AB379" s="54"/>
      <c r="AC379" s="54"/>
      <c r="AD379" s="55"/>
      <c r="AE379" s="55"/>
      <c r="AF379" s="55"/>
      <c r="AH379" s="65">
        <f t="shared" si="35"/>
        <v>0</v>
      </c>
      <c r="AI379" s="65">
        <f t="shared" si="35"/>
        <v>0</v>
      </c>
      <c r="AJ379" s="65">
        <f t="shared" si="35"/>
        <v>0</v>
      </c>
    </row>
    <row r="380" spans="1:36" x14ac:dyDescent="0.3">
      <c r="A380" s="84" t="s">
        <v>748</v>
      </c>
      <c r="B380" s="58" t="s">
        <v>749</v>
      </c>
      <c r="C380" s="59">
        <v>1</v>
      </c>
      <c r="D380" s="60" t="s">
        <v>121</v>
      </c>
      <c r="E380" s="60">
        <v>24.21</v>
      </c>
      <c r="F380" s="60">
        <v>29.87</v>
      </c>
      <c r="G380" s="60">
        <v>54.08</v>
      </c>
      <c r="H380" s="61">
        <v>24.21</v>
      </c>
      <c r="I380" s="61">
        <v>29.87</v>
      </c>
      <c r="J380" s="62">
        <v>54.08</v>
      </c>
      <c r="M380" s="75"/>
      <c r="N380" s="76"/>
      <c r="V380" s="56">
        <v>1</v>
      </c>
      <c r="W380" s="56" t="s">
        <v>121</v>
      </c>
      <c r="X380" s="64">
        <v>47.89</v>
      </c>
      <c r="Y380" s="64">
        <v>25.35</v>
      </c>
      <c r="Z380" s="64">
        <f t="shared" ref="Z380:Z402" si="38">SUM(X380:Y380)</f>
        <v>73.240000000000009</v>
      </c>
      <c r="AB380" s="56">
        <v>1</v>
      </c>
      <c r="AC380" s="56" t="s">
        <v>121</v>
      </c>
      <c r="AD380" s="64">
        <v>61.06</v>
      </c>
      <c r="AE380" s="64">
        <v>32.32</v>
      </c>
      <c r="AF380" s="64">
        <f t="shared" ref="AF380:AF402" si="39">SUM(AD380:AE380)</f>
        <v>93.38</v>
      </c>
      <c r="AH380" s="65">
        <f t="shared" si="35"/>
        <v>-0.60350474942679333</v>
      </c>
      <c r="AI380" s="65">
        <f t="shared" si="35"/>
        <v>-7.5804455445544483E-2</v>
      </c>
      <c r="AJ380" s="65">
        <f t="shared" si="35"/>
        <v>-0.42086099807239241</v>
      </c>
    </row>
    <row r="381" spans="1:36" x14ac:dyDescent="0.3">
      <c r="A381" s="84" t="s">
        <v>750</v>
      </c>
      <c r="B381" s="58" t="s">
        <v>751</v>
      </c>
      <c r="C381" s="59">
        <v>20</v>
      </c>
      <c r="D381" s="60" t="s">
        <v>121</v>
      </c>
      <c r="E381" s="60">
        <v>25.7</v>
      </c>
      <c r="F381" s="60">
        <v>29.87</v>
      </c>
      <c r="G381" s="60">
        <v>55.57</v>
      </c>
      <c r="H381" s="61">
        <v>514</v>
      </c>
      <c r="I381" s="61">
        <v>597.4</v>
      </c>
      <c r="J381" s="62">
        <v>1111.4000000000001</v>
      </c>
      <c r="M381" s="75"/>
      <c r="N381" s="76"/>
      <c r="V381" s="56">
        <v>1</v>
      </c>
      <c r="W381" s="56" t="s">
        <v>121</v>
      </c>
      <c r="X381" s="64">
        <v>50.71</v>
      </c>
      <c r="Y381" s="64">
        <v>25.35</v>
      </c>
      <c r="Z381" s="64">
        <f t="shared" si="38"/>
        <v>76.06</v>
      </c>
      <c r="AB381" s="56">
        <v>1</v>
      </c>
      <c r="AC381" s="56" t="s">
        <v>121</v>
      </c>
      <c r="AD381" s="64">
        <v>64.66</v>
      </c>
      <c r="AE381" s="64">
        <v>32.32</v>
      </c>
      <c r="AF381" s="64">
        <f t="shared" si="39"/>
        <v>96.97999999999999</v>
      </c>
      <c r="AH381" s="65">
        <f t="shared" si="35"/>
        <v>-0.60253634395298483</v>
      </c>
      <c r="AI381" s="65">
        <f t="shared" si="35"/>
        <v>-7.5804455445544483E-2</v>
      </c>
      <c r="AJ381" s="65">
        <f t="shared" si="35"/>
        <v>-0.42699525675396988</v>
      </c>
    </row>
    <row r="382" spans="1:36" x14ac:dyDescent="0.3">
      <c r="A382" s="84" t="s">
        <v>752</v>
      </c>
      <c r="B382" s="58" t="s">
        <v>753</v>
      </c>
      <c r="C382" s="59">
        <v>4</v>
      </c>
      <c r="D382" s="60" t="s">
        <v>121</v>
      </c>
      <c r="E382" s="60">
        <v>83.62</v>
      </c>
      <c r="F382" s="60">
        <v>29.87</v>
      </c>
      <c r="G382" s="60">
        <v>113.49000000000001</v>
      </c>
      <c r="H382" s="61">
        <v>334.48</v>
      </c>
      <c r="I382" s="61">
        <v>119.48</v>
      </c>
      <c r="J382" s="62">
        <v>453.96000000000004</v>
      </c>
      <c r="M382" s="75"/>
      <c r="N382" s="76"/>
      <c r="V382" s="56">
        <v>1</v>
      </c>
      <c r="W382" s="56" t="s">
        <v>121</v>
      </c>
      <c r="X382" s="64">
        <v>166.74</v>
      </c>
      <c r="Y382" s="64">
        <v>25.35</v>
      </c>
      <c r="Z382" s="64">
        <f t="shared" si="38"/>
        <v>192.09</v>
      </c>
      <c r="AB382" s="56">
        <v>1</v>
      </c>
      <c r="AC382" s="56" t="s">
        <v>121</v>
      </c>
      <c r="AD382" s="64">
        <v>212.59</v>
      </c>
      <c r="AE382" s="64">
        <v>32.32</v>
      </c>
      <c r="AF382" s="64">
        <f t="shared" si="39"/>
        <v>244.91</v>
      </c>
      <c r="AH382" s="65">
        <f t="shared" si="35"/>
        <v>-0.60666070840585162</v>
      </c>
      <c r="AI382" s="65">
        <f t="shared" si="35"/>
        <v>-7.5804455445544483E-2</v>
      </c>
      <c r="AJ382" s="65">
        <f t="shared" si="35"/>
        <v>-0.53660528357355752</v>
      </c>
    </row>
    <row r="383" spans="1:36" x14ac:dyDescent="0.3">
      <c r="A383" s="84" t="s">
        <v>754</v>
      </c>
      <c r="B383" s="58" t="s">
        <v>755</v>
      </c>
      <c r="C383" s="59">
        <v>1</v>
      </c>
      <c r="D383" s="60" t="s">
        <v>121</v>
      </c>
      <c r="E383" s="60">
        <v>123.4</v>
      </c>
      <c r="F383" s="60">
        <v>47.02</v>
      </c>
      <c r="G383" s="60">
        <v>170.42000000000002</v>
      </c>
      <c r="H383" s="61">
        <v>123.4</v>
      </c>
      <c r="I383" s="61">
        <v>47.02</v>
      </c>
      <c r="J383" s="62">
        <v>170.42000000000002</v>
      </c>
      <c r="M383" s="75"/>
      <c r="N383" s="76"/>
      <c r="V383" s="56">
        <v>1</v>
      </c>
      <c r="W383" s="56" t="s">
        <v>121</v>
      </c>
      <c r="X383" s="64">
        <v>245.32</v>
      </c>
      <c r="Y383" s="64">
        <v>39.9</v>
      </c>
      <c r="Z383" s="64">
        <f t="shared" si="38"/>
        <v>285.21999999999997</v>
      </c>
      <c r="AB383" s="56">
        <v>1</v>
      </c>
      <c r="AC383" s="56" t="s">
        <v>121</v>
      </c>
      <c r="AD383" s="64">
        <v>312.77999999999997</v>
      </c>
      <c r="AE383" s="64">
        <v>50.87</v>
      </c>
      <c r="AF383" s="64">
        <f t="shared" si="39"/>
        <v>363.65</v>
      </c>
      <c r="AH383" s="65">
        <f t="shared" si="35"/>
        <v>-0.60547349574780984</v>
      </c>
      <c r="AI383" s="65">
        <f t="shared" si="35"/>
        <v>-7.5683113819539849E-2</v>
      </c>
      <c r="AJ383" s="65">
        <f t="shared" si="35"/>
        <v>-0.53136257390347852</v>
      </c>
    </row>
    <row r="384" spans="1:36" x14ac:dyDescent="0.3">
      <c r="A384" s="84" t="s">
        <v>756</v>
      </c>
      <c r="B384" s="58" t="s">
        <v>757</v>
      </c>
      <c r="C384" s="59">
        <v>1</v>
      </c>
      <c r="D384" s="60" t="s">
        <v>121</v>
      </c>
      <c r="E384" s="60">
        <v>48.72</v>
      </c>
      <c r="F384" s="60">
        <v>29.87</v>
      </c>
      <c r="G384" s="60">
        <v>78.59</v>
      </c>
      <c r="H384" s="61">
        <v>48.72</v>
      </c>
      <c r="I384" s="61">
        <v>29.87</v>
      </c>
      <c r="J384" s="62">
        <v>78.59</v>
      </c>
      <c r="M384" s="75"/>
      <c r="N384" s="76"/>
      <c r="V384" s="56">
        <v>1</v>
      </c>
      <c r="W384" s="56" t="s">
        <v>121</v>
      </c>
      <c r="X384" s="64">
        <v>96.85</v>
      </c>
      <c r="Y384" s="64">
        <v>25.35</v>
      </c>
      <c r="Z384" s="64">
        <f t="shared" si="38"/>
        <v>122.19999999999999</v>
      </c>
      <c r="AB384" s="56">
        <v>1</v>
      </c>
      <c r="AC384" s="56" t="s">
        <v>121</v>
      </c>
      <c r="AD384" s="64">
        <v>123.48</v>
      </c>
      <c r="AE384" s="64">
        <v>32.32</v>
      </c>
      <c r="AF384" s="64">
        <f t="shared" si="39"/>
        <v>155.80000000000001</v>
      </c>
      <c r="AH384" s="65">
        <f t="shared" si="35"/>
        <v>-0.60544217687074831</v>
      </c>
      <c r="AI384" s="65">
        <f t="shared" si="35"/>
        <v>-7.5804455445544483E-2</v>
      </c>
      <c r="AJ384" s="65">
        <f t="shared" si="35"/>
        <v>-0.49557124518613604</v>
      </c>
    </row>
    <row r="385" spans="1:36" x14ac:dyDescent="0.3">
      <c r="A385" s="84" t="s">
        <v>758</v>
      </c>
      <c r="B385" s="58" t="s">
        <v>759</v>
      </c>
      <c r="C385" s="59">
        <v>4</v>
      </c>
      <c r="D385" s="60" t="s">
        <v>121</v>
      </c>
      <c r="E385" s="60">
        <v>69.56</v>
      </c>
      <c r="F385" s="60">
        <v>47.02</v>
      </c>
      <c r="G385" s="60">
        <v>116.58000000000001</v>
      </c>
      <c r="H385" s="61">
        <v>278.24</v>
      </c>
      <c r="I385" s="61">
        <v>188.08</v>
      </c>
      <c r="J385" s="62">
        <v>466.32000000000005</v>
      </c>
      <c r="M385" s="75"/>
      <c r="N385" s="76"/>
      <c r="V385" s="56">
        <v>1</v>
      </c>
      <c r="W385" s="56" t="s">
        <v>121</v>
      </c>
      <c r="X385" s="64">
        <v>134.6</v>
      </c>
      <c r="Y385" s="64">
        <v>39.9</v>
      </c>
      <c r="Z385" s="64">
        <f t="shared" si="38"/>
        <v>174.5</v>
      </c>
      <c r="AB385" s="56">
        <v>1</v>
      </c>
      <c r="AC385" s="56" t="s">
        <v>121</v>
      </c>
      <c r="AD385" s="64">
        <v>171.62</v>
      </c>
      <c r="AE385" s="64">
        <v>50.87</v>
      </c>
      <c r="AF385" s="64">
        <f t="shared" si="39"/>
        <v>222.49</v>
      </c>
      <c r="AH385" s="65">
        <f t="shared" si="35"/>
        <v>-0.59468593404032166</v>
      </c>
      <c r="AI385" s="65">
        <f t="shared" si="35"/>
        <v>-7.5683113819539849E-2</v>
      </c>
      <c r="AJ385" s="65">
        <f t="shared" si="35"/>
        <v>-0.47602139421996492</v>
      </c>
    </row>
    <row r="386" spans="1:36" x14ac:dyDescent="0.3">
      <c r="A386" s="84" t="s">
        <v>760</v>
      </c>
      <c r="B386" s="58" t="s">
        <v>761</v>
      </c>
      <c r="C386" s="59">
        <v>1</v>
      </c>
      <c r="D386" s="60" t="s">
        <v>121</v>
      </c>
      <c r="E386" s="60">
        <v>112.44</v>
      </c>
      <c r="F386" s="60">
        <v>47.02</v>
      </c>
      <c r="G386" s="60">
        <v>159.46</v>
      </c>
      <c r="H386" s="61">
        <v>112.44</v>
      </c>
      <c r="I386" s="61">
        <v>47.02</v>
      </c>
      <c r="J386" s="62">
        <v>159.46</v>
      </c>
      <c r="M386" s="75"/>
      <c r="N386" s="76"/>
      <c r="V386" s="56">
        <v>1</v>
      </c>
      <c r="W386" s="56" t="s">
        <v>121</v>
      </c>
      <c r="X386" s="64">
        <v>220.78</v>
      </c>
      <c r="Y386" s="64">
        <v>39.9</v>
      </c>
      <c r="Z386" s="64">
        <f t="shared" si="38"/>
        <v>260.68</v>
      </c>
      <c r="AB386" s="56">
        <v>1</v>
      </c>
      <c r="AC386" s="56" t="s">
        <v>121</v>
      </c>
      <c r="AD386" s="64">
        <v>281.49</v>
      </c>
      <c r="AE386" s="64">
        <v>50.87</v>
      </c>
      <c r="AF386" s="64">
        <f t="shared" si="39"/>
        <v>332.36</v>
      </c>
      <c r="AH386" s="65">
        <f t="shared" si="35"/>
        <v>-0.60055419375466279</v>
      </c>
      <c r="AI386" s="65">
        <f t="shared" si="35"/>
        <v>-7.5683113819539849E-2</v>
      </c>
      <c r="AJ386" s="65">
        <f t="shared" si="35"/>
        <v>-0.52021903959561921</v>
      </c>
    </row>
    <row r="387" spans="1:36" x14ac:dyDescent="0.3">
      <c r="A387" s="84" t="s">
        <v>762</v>
      </c>
      <c r="B387" s="58" t="s">
        <v>763</v>
      </c>
      <c r="C387" s="59">
        <v>4</v>
      </c>
      <c r="D387" s="60" t="s">
        <v>121</v>
      </c>
      <c r="E387" s="60">
        <v>127.19</v>
      </c>
      <c r="F387" s="60">
        <v>47.02</v>
      </c>
      <c r="G387" s="60">
        <v>174.21</v>
      </c>
      <c r="H387" s="61">
        <v>508.76</v>
      </c>
      <c r="I387" s="61">
        <v>188.08</v>
      </c>
      <c r="J387" s="62">
        <v>696.84</v>
      </c>
      <c r="M387" s="75"/>
      <c r="N387" s="76"/>
      <c r="V387" s="56">
        <v>1</v>
      </c>
      <c r="W387" s="56" t="s">
        <v>121</v>
      </c>
      <c r="X387" s="64">
        <v>239.64</v>
      </c>
      <c r="Y387" s="64">
        <v>39.9</v>
      </c>
      <c r="Z387" s="64">
        <f t="shared" si="38"/>
        <v>279.53999999999996</v>
      </c>
      <c r="AB387" s="56">
        <v>1</v>
      </c>
      <c r="AC387" s="56" t="s">
        <v>121</v>
      </c>
      <c r="AD387" s="64">
        <v>305.54000000000002</v>
      </c>
      <c r="AE387" s="64">
        <v>50.87</v>
      </c>
      <c r="AF387" s="64">
        <f t="shared" si="39"/>
        <v>356.41</v>
      </c>
      <c r="AH387" s="65">
        <f t="shared" si="35"/>
        <v>-0.58372062577731232</v>
      </c>
      <c r="AI387" s="65">
        <f t="shared" si="35"/>
        <v>-7.5683113819539849E-2</v>
      </c>
      <c r="AJ387" s="65">
        <f t="shared" si="35"/>
        <v>-0.51120900086978482</v>
      </c>
    </row>
    <row r="388" spans="1:36" x14ac:dyDescent="0.3">
      <c r="A388" s="84" t="s">
        <v>764</v>
      </c>
      <c r="B388" s="58" t="s">
        <v>765</v>
      </c>
      <c r="C388" s="59">
        <v>5</v>
      </c>
      <c r="D388" s="60" t="s">
        <v>121</v>
      </c>
      <c r="E388" s="60">
        <v>242.22</v>
      </c>
      <c r="F388" s="60">
        <v>63.62</v>
      </c>
      <c r="G388" s="60">
        <v>305.83999999999997</v>
      </c>
      <c r="H388" s="61">
        <v>1211.0999999999999</v>
      </c>
      <c r="I388" s="61">
        <v>318.09999999999997</v>
      </c>
      <c r="J388" s="62">
        <v>1529.1999999999998</v>
      </c>
      <c r="M388" s="75"/>
      <c r="N388" s="79"/>
      <c r="V388" s="56">
        <v>1</v>
      </c>
      <c r="W388" s="56" t="s">
        <v>121</v>
      </c>
      <c r="X388" s="64">
        <v>460.85</v>
      </c>
      <c r="Y388" s="64">
        <v>53.98</v>
      </c>
      <c r="Z388" s="64">
        <f t="shared" si="38"/>
        <v>514.83000000000004</v>
      </c>
      <c r="AB388" s="56">
        <v>1</v>
      </c>
      <c r="AC388" s="56" t="s">
        <v>121</v>
      </c>
      <c r="AD388" s="64">
        <v>587.58000000000004</v>
      </c>
      <c r="AE388" s="64">
        <v>68.819999999999993</v>
      </c>
      <c r="AF388" s="64">
        <f t="shared" si="39"/>
        <v>656.40000000000009</v>
      </c>
      <c r="AH388" s="65">
        <f t="shared" si="35"/>
        <v>-0.58776677218421325</v>
      </c>
      <c r="AI388" s="65">
        <f t="shared" si="35"/>
        <v>-7.5559430398140059E-2</v>
      </c>
      <c r="AJ388" s="65">
        <f t="shared" si="35"/>
        <v>-0.53406459475929324</v>
      </c>
    </row>
    <row r="389" spans="1:36" x14ac:dyDescent="0.3">
      <c r="A389" s="84" t="s">
        <v>766</v>
      </c>
      <c r="B389" s="58" t="s">
        <v>767</v>
      </c>
      <c r="C389" s="59">
        <v>6</v>
      </c>
      <c r="D389" s="60" t="s">
        <v>121</v>
      </c>
      <c r="E389" s="60">
        <v>182.37</v>
      </c>
      <c r="F389" s="60">
        <v>33.74</v>
      </c>
      <c r="G389" s="60">
        <v>216.11</v>
      </c>
      <c r="H389" s="61">
        <v>1094.22</v>
      </c>
      <c r="I389" s="61">
        <v>202.44</v>
      </c>
      <c r="J389" s="62">
        <v>1296.6600000000001</v>
      </c>
      <c r="M389" s="75"/>
      <c r="N389" s="76"/>
      <c r="V389" s="56">
        <v>1</v>
      </c>
      <c r="W389" s="56" t="s">
        <v>121</v>
      </c>
      <c r="X389" s="64">
        <v>214.03</v>
      </c>
      <c r="Y389" s="64">
        <v>28.63</v>
      </c>
      <c r="Z389" s="64">
        <f t="shared" si="38"/>
        <v>242.66</v>
      </c>
      <c r="AB389" s="56">
        <v>1</v>
      </c>
      <c r="AC389" s="56" t="s">
        <v>121</v>
      </c>
      <c r="AD389" s="64">
        <v>272.89</v>
      </c>
      <c r="AE389" s="64">
        <v>36.5</v>
      </c>
      <c r="AF389" s="64">
        <f t="shared" si="39"/>
        <v>309.39</v>
      </c>
      <c r="AH389" s="65">
        <f t="shared" si="35"/>
        <v>-0.33170874711422182</v>
      </c>
      <c r="AI389" s="65">
        <f t="shared" si="35"/>
        <v>-7.5616438356164384E-2</v>
      </c>
      <c r="AJ389" s="65">
        <f t="shared" si="35"/>
        <v>-0.30149649309932436</v>
      </c>
    </row>
    <row r="390" spans="1:36" x14ac:dyDescent="0.3">
      <c r="A390" s="84" t="s">
        <v>768</v>
      </c>
      <c r="B390" s="58" t="s">
        <v>769</v>
      </c>
      <c r="C390" s="59">
        <v>29</v>
      </c>
      <c r="D390" s="60" t="s">
        <v>121</v>
      </c>
      <c r="E390" s="60">
        <v>141.22999999999999</v>
      </c>
      <c r="F390" s="60">
        <v>18.62</v>
      </c>
      <c r="G390" s="60">
        <v>159.85</v>
      </c>
      <c r="H390" s="61">
        <v>4095.6699999999996</v>
      </c>
      <c r="I390" s="61">
        <v>539.98</v>
      </c>
      <c r="J390" s="62">
        <v>4635.6499999999996</v>
      </c>
      <c r="M390" s="75"/>
      <c r="N390" s="76"/>
      <c r="V390" s="56">
        <v>1</v>
      </c>
      <c r="W390" s="56" t="s">
        <v>121</v>
      </c>
      <c r="X390" s="64">
        <v>109.12</v>
      </c>
      <c r="Y390" s="64">
        <v>15.8</v>
      </c>
      <c r="Z390" s="64">
        <f t="shared" si="38"/>
        <v>124.92</v>
      </c>
      <c r="AB390" s="56">
        <v>1</v>
      </c>
      <c r="AC390" s="56" t="s">
        <v>121</v>
      </c>
      <c r="AD390" s="64">
        <v>139.13</v>
      </c>
      <c r="AE390" s="64">
        <v>20.149999999999999</v>
      </c>
      <c r="AF390" s="64">
        <f t="shared" si="39"/>
        <v>159.28</v>
      </c>
      <c r="AH390" s="65">
        <f t="shared" si="35"/>
        <v>1.5093797168116208E-2</v>
      </c>
      <c r="AI390" s="65">
        <f t="shared" si="35"/>
        <v>-7.5930521091811309E-2</v>
      </c>
      <c r="AJ390" s="65">
        <f t="shared" si="35"/>
        <v>3.5786037167251372E-3</v>
      </c>
    </row>
    <row r="391" spans="1:36" x14ac:dyDescent="0.3">
      <c r="A391" s="84" t="s">
        <v>770</v>
      </c>
      <c r="B391" s="58" t="s">
        <v>771</v>
      </c>
      <c r="C391" s="59">
        <v>4</v>
      </c>
      <c r="D391" s="60" t="s">
        <v>121</v>
      </c>
      <c r="E391" s="60">
        <v>741.25</v>
      </c>
      <c r="F391" s="60">
        <v>425.97</v>
      </c>
      <c r="G391" s="60">
        <v>1167.22</v>
      </c>
      <c r="H391" s="61">
        <v>2965</v>
      </c>
      <c r="I391" s="61">
        <v>1703.88</v>
      </c>
      <c r="J391" s="62">
        <v>4668.88</v>
      </c>
      <c r="M391" s="75"/>
      <c r="N391" s="76"/>
      <c r="V391" s="56">
        <v>9</v>
      </c>
      <c r="W391" s="56" t="s">
        <v>121</v>
      </c>
      <c r="X391" s="64">
        <v>867.08</v>
      </c>
      <c r="Y391" s="64">
        <v>361.44</v>
      </c>
      <c r="Z391" s="64">
        <f t="shared" si="38"/>
        <v>1228.52</v>
      </c>
      <c r="AB391" s="56">
        <v>9</v>
      </c>
      <c r="AC391" s="56" t="s">
        <v>121</v>
      </c>
      <c r="AD391" s="64">
        <v>1105.53</v>
      </c>
      <c r="AE391" s="64">
        <v>460.84</v>
      </c>
      <c r="AF391" s="64">
        <f t="shared" si="39"/>
        <v>1566.37</v>
      </c>
      <c r="AH391" s="65">
        <f t="shared" si="35"/>
        <v>-0.32950711423480139</v>
      </c>
      <c r="AI391" s="65">
        <f t="shared" si="35"/>
        <v>-7.5666174811214182E-2</v>
      </c>
      <c r="AJ391" s="65">
        <f t="shared" si="35"/>
        <v>-0.25482484981198561</v>
      </c>
    </row>
    <row r="392" spans="1:36" x14ac:dyDescent="0.3">
      <c r="A392" s="84" t="s">
        <v>772</v>
      </c>
      <c r="B392" s="58" t="s">
        <v>773</v>
      </c>
      <c r="C392" s="59">
        <v>1</v>
      </c>
      <c r="D392" s="60" t="s">
        <v>121</v>
      </c>
      <c r="E392" s="60">
        <v>1251.17</v>
      </c>
      <c r="F392" s="60">
        <v>425.97</v>
      </c>
      <c r="G392" s="60">
        <v>1677.14</v>
      </c>
      <c r="H392" s="61">
        <v>1251.17</v>
      </c>
      <c r="I392" s="61">
        <v>425.97</v>
      </c>
      <c r="J392" s="62">
        <v>1677.14</v>
      </c>
      <c r="M392" s="75"/>
      <c r="N392" s="76"/>
      <c r="V392" s="56">
        <v>1</v>
      </c>
      <c r="W392" s="56" t="s">
        <v>121</v>
      </c>
      <c r="X392" s="64">
        <v>1498.64</v>
      </c>
      <c r="Y392" s="64">
        <v>361.44</v>
      </c>
      <c r="Z392" s="64">
        <f t="shared" si="38"/>
        <v>1860.0800000000002</v>
      </c>
      <c r="AB392" s="56">
        <v>1</v>
      </c>
      <c r="AC392" s="56" t="s">
        <v>121</v>
      </c>
      <c r="AD392" s="64">
        <v>1910.77</v>
      </c>
      <c r="AE392" s="64">
        <v>460.84</v>
      </c>
      <c r="AF392" s="64">
        <f t="shared" si="39"/>
        <v>2371.61</v>
      </c>
      <c r="AH392" s="65">
        <f t="shared" si="35"/>
        <v>-0.34520114927489964</v>
      </c>
      <c r="AI392" s="65">
        <f t="shared" si="35"/>
        <v>-7.5666174811214182E-2</v>
      </c>
      <c r="AJ392" s="65">
        <f t="shared" si="35"/>
        <v>-0.29282639219770534</v>
      </c>
    </row>
    <row r="393" spans="1:36" x14ac:dyDescent="0.3">
      <c r="A393" s="84" t="s">
        <v>774</v>
      </c>
      <c r="B393" s="58" t="s">
        <v>775</v>
      </c>
      <c r="C393" s="59">
        <v>390</v>
      </c>
      <c r="D393" s="60" t="s">
        <v>121</v>
      </c>
      <c r="E393" s="60">
        <v>30.03</v>
      </c>
      <c r="F393" s="60">
        <v>96.82</v>
      </c>
      <c r="G393" s="60">
        <v>126.85</v>
      </c>
      <c r="H393" s="61">
        <v>11711.7</v>
      </c>
      <c r="I393" s="61">
        <v>37759.799999999996</v>
      </c>
      <c r="J393" s="62">
        <v>49471.5</v>
      </c>
      <c r="M393" s="75"/>
      <c r="N393" s="76"/>
      <c r="V393" s="56">
        <v>301</v>
      </c>
      <c r="W393" s="56" t="s">
        <v>121</v>
      </c>
      <c r="X393" s="64">
        <v>34.380000000000003</v>
      </c>
      <c r="Y393" s="64">
        <v>82.15</v>
      </c>
      <c r="Z393" s="64">
        <f t="shared" si="38"/>
        <v>116.53</v>
      </c>
      <c r="AB393" s="56">
        <v>301</v>
      </c>
      <c r="AC393" s="56" t="s">
        <v>121</v>
      </c>
      <c r="AD393" s="64">
        <v>43.83</v>
      </c>
      <c r="AE393" s="64">
        <v>104.74</v>
      </c>
      <c r="AF393" s="64">
        <f t="shared" si="39"/>
        <v>148.57</v>
      </c>
      <c r="AH393" s="65">
        <f t="shared" si="35"/>
        <v>-0.31485284052019158</v>
      </c>
      <c r="AI393" s="65">
        <f t="shared" si="35"/>
        <v>-7.5615810578575582E-2</v>
      </c>
      <c r="AJ393" s="65">
        <f t="shared" si="35"/>
        <v>-0.14619371340109044</v>
      </c>
    </row>
    <row r="394" spans="1:36" ht="28.8" x14ac:dyDescent="0.3">
      <c r="A394" s="84" t="s">
        <v>776</v>
      </c>
      <c r="B394" s="58" t="s">
        <v>777</v>
      </c>
      <c r="C394" s="59">
        <v>459</v>
      </c>
      <c r="D394" s="60" t="s">
        <v>121</v>
      </c>
      <c r="E394" s="60">
        <v>12.57</v>
      </c>
      <c r="F394" s="60">
        <v>27.66</v>
      </c>
      <c r="G394" s="60">
        <v>40.230000000000004</v>
      </c>
      <c r="H394" s="61">
        <v>5769.63</v>
      </c>
      <c r="I394" s="61">
        <v>12695.94</v>
      </c>
      <c r="J394" s="62">
        <v>18465.570000000003</v>
      </c>
      <c r="M394" s="75"/>
      <c r="N394" s="76"/>
      <c r="V394" s="56">
        <v>74</v>
      </c>
      <c r="W394" s="56" t="s">
        <v>121</v>
      </c>
      <c r="X394" s="64">
        <v>18.71</v>
      </c>
      <c r="Y394" s="64">
        <v>23.47</v>
      </c>
      <c r="Z394" s="64">
        <f t="shared" si="38"/>
        <v>42.18</v>
      </c>
      <c r="AB394" s="56">
        <v>74</v>
      </c>
      <c r="AC394" s="56" t="s">
        <v>121</v>
      </c>
      <c r="AD394" s="64">
        <v>23.86</v>
      </c>
      <c r="AE394" s="64">
        <v>29.92</v>
      </c>
      <c r="AF394" s="64">
        <f t="shared" si="39"/>
        <v>53.78</v>
      </c>
      <c r="AH394" s="65">
        <f t="shared" si="35"/>
        <v>-0.47317686504610224</v>
      </c>
      <c r="AI394" s="65">
        <f t="shared" si="35"/>
        <v>-7.5534759358288794E-2</v>
      </c>
      <c r="AJ394" s="65">
        <f t="shared" si="35"/>
        <v>-0.25195239866121233</v>
      </c>
    </row>
    <row r="395" spans="1:36" x14ac:dyDescent="0.3">
      <c r="A395" s="84" t="s">
        <v>778</v>
      </c>
      <c r="B395" s="58" t="s">
        <v>779</v>
      </c>
      <c r="C395" s="59">
        <v>170</v>
      </c>
      <c r="D395" s="60" t="s">
        <v>121</v>
      </c>
      <c r="E395" s="60">
        <v>18.600000000000001</v>
      </c>
      <c r="F395" s="60">
        <v>44.26</v>
      </c>
      <c r="G395" s="60">
        <v>62.86</v>
      </c>
      <c r="H395" s="61">
        <v>3162.0000000000005</v>
      </c>
      <c r="I395" s="61">
        <v>7524.2</v>
      </c>
      <c r="J395" s="62">
        <v>10686.2</v>
      </c>
      <c r="M395" s="75"/>
      <c r="N395" s="76"/>
      <c r="V395" s="56">
        <v>174</v>
      </c>
      <c r="W395" s="56" t="s">
        <v>121</v>
      </c>
      <c r="X395" s="64">
        <v>25.94</v>
      </c>
      <c r="Y395" s="64">
        <v>37.549999999999997</v>
      </c>
      <c r="Z395" s="64">
        <f t="shared" si="38"/>
        <v>63.489999999999995</v>
      </c>
      <c r="AB395" s="56">
        <v>174</v>
      </c>
      <c r="AC395" s="56" t="s">
        <v>121</v>
      </c>
      <c r="AD395" s="64">
        <v>33.07</v>
      </c>
      <c r="AE395" s="64">
        <v>47.88</v>
      </c>
      <c r="AF395" s="64">
        <f t="shared" si="39"/>
        <v>80.95</v>
      </c>
      <c r="AH395" s="65">
        <f t="shared" si="35"/>
        <v>-0.4375566979135167</v>
      </c>
      <c r="AI395" s="65">
        <f t="shared" si="35"/>
        <v>-7.5605680868838898E-2</v>
      </c>
      <c r="AJ395" s="65">
        <f t="shared" si="35"/>
        <v>-0.22347127856701676</v>
      </c>
    </row>
    <row r="396" spans="1:36" x14ac:dyDescent="0.3">
      <c r="A396" s="84" t="s">
        <v>780</v>
      </c>
      <c r="B396" s="58" t="s">
        <v>781</v>
      </c>
      <c r="C396" s="59">
        <v>53</v>
      </c>
      <c r="D396" s="60" t="s">
        <v>782</v>
      </c>
      <c r="E396" s="60">
        <v>396.18</v>
      </c>
      <c r="F396" s="60">
        <v>55.32</v>
      </c>
      <c r="G396" s="60">
        <v>451.5</v>
      </c>
      <c r="H396" s="61">
        <v>20997.54</v>
      </c>
      <c r="I396" s="61">
        <v>2931.96</v>
      </c>
      <c r="J396" s="62">
        <v>23929.5</v>
      </c>
      <c r="M396" s="75"/>
      <c r="N396" s="76"/>
      <c r="V396" s="56">
        <v>19</v>
      </c>
      <c r="W396" s="56" t="s">
        <v>782</v>
      </c>
      <c r="X396" s="64">
        <v>435.89</v>
      </c>
      <c r="Y396" s="64">
        <v>46.94</v>
      </c>
      <c r="Z396" s="64">
        <f t="shared" si="38"/>
        <v>482.83</v>
      </c>
      <c r="AB396" s="56">
        <v>19</v>
      </c>
      <c r="AC396" s="56" t="s">
        <v>782</v>
      </c>
      <c r="AD396" s="64">
        <v>555.76</v>
      </c>
      <c r="AE396" s="64">
        <v>59.85</v>
      </c>
      <c r="AF396" s="64">
        <f t="shared" si="39"/>
        <v>615.61</v>
      </c>
      <c r="AH396" s="65">
        <f t="shared" si="35"/>
        <v>-0.28713833309342163</v>
      </c>
      <c r="AI396" s="65">
        <f t="shared" si="35"/>
        <v>-7.5689223057644139E-2</v>
      </c>
      <c r="AJ396" s="65">
        <f t="shared" si="35"/>
        <v>-0.26658111466675327</v>
      </c>
    </row>
    <row r="397" spans="1:36" x14ac:dyDescent="0.3">
      <c r="A397" s="84" t="s">
        <v>783</v>
      </c>
      <c r="B397" s="58" t="s">
        <v>784</v>
      </c>
      <c r="C397" s="59">
        <v>41</v>
      </c>
      <c r="D397" s="60" t="s">
        <v>121</v>
      </c>
      <c r="E397" s="60">
        <v>324.22000000000003</v>
      </c>
      <c r="F397" s="60">
        <v>43.65</v>
      </c>
      <c r="G397" s="60">
        <v>367.87</v>
      </c>
      <c r="H397" s="61">
        <v>13293.02</v>
      </c>
      <c r="I397" s="61">
        <v>1789.6499999999999</v>
      </c>
      <c r="J397" s="62">
        <v>15082.67</v>
      </c>
      <c r="M397" s="75"/>
      <c r="N397" s="76"/>
      <c r="V397" s="56">
        <v>26</v>
      </c>
      <c r="W397" s="56" t="s">
        <v>121</v>
      </c>
      <c r="X397" s="64">
        <v>349.39</v>
      </c>
      <c r="Y397" s="64">
        <v>37.04</v>
      </c>
      <c r="Z397" s="64">
        <f t="shared" si="38"/>
        <v>386.43</v>
      </c>
      <c r="AB397" s="56">
        <v>26</v>
      </c>
      <c r="AC397" s="56" t="s">
        <v>121</v>
      </c>
      <c r="AD397" s="64">
        <v>445.47</v>
      </c>
      <c r="AE397" s="64">
        <v>47.23</v>
      </c>
      <c r="AF397" s="64">
        <f t="shared" si="39"/>
        <v>492.70000000000005</v>
      </c>
      <c r="AH397" s="65">
        <f t="shared" si="35"/>
        <v>-0.27218443441758144</v>
      </c>
      <c r="AI397" s="65">
        <f t="shared" si="35"/>
        <v>-7.5799280118568624E-2</v>
      </c>
      <c r="AJ397" s="65">
        <f t="shared" si="35"/>
        <v>-0.25335904201339565</v>
      </c>
    </row>
    <row r="398" spans="1:36" x14ac:dyDescent="0.3">
      <c r="A398" s="84" t="s">
        <v>785</v>
      </c>
      <c r="B398" s="58" t="s">
        <v>786</v>
      </c>
      <c r="C398" s="59">
        <v>35</v>
      </c>
      <c r="D398" s="60" t="s">
        <v>121</v>
      </c>
      <c r="E398" s="60">
        <v>8.1999999999999993</v>
      </c>
      <c r="F398" s="60">
        <v>27.66</v>
      </c>
      <c r="G398" s="60">
        <v>35.86</v>
      </c>
      <c r="H398" s="61">
        <v>287</v>
      </c>
      <c r="I398" s="61">
        <v>968.1</v>
      </c>
      <c r="J398" s="62">
        <v>1255.0999999999999</v>
      </c>
      <c r="M398" s="75"/>
      <c r="N398" s="76"/>
      <c r="V398" s="56">
        <v>1</v>
      </c>
      <c r="W398" s="56" t="s">
        <v>121</v>
      </c>
      <c r="X398" s="64">
        <v>10.56</v>
      </c>
      <c r="Y398" s="64">
        <v>23.47</v>
      </c>
      <c r="Z398" s="64">
        <f t="shared" si="38"/>
        <v>34.03</v>
      </c>
      <c r="AB398" s="56">
        <v>1</v>
      </c>
      <c r="AC398" s="56" t="s">
        <v>121</v>
      </c>
      <c r="AD398" s="64">
        <v>13.46</v>
      </c>
      <c r="AE398" s="64">
        <v>29.92</v>
      </c>
      <c r="AF398" s="64">
        <f t="shared" si="39"/>
        <v>43.38</v>
      </c>
      <c r="AH398" s="65">
        <f t="shared" si="35"/>
        <v>-0.39078751857355132</v>
      </c>
      <c r="AI398" s="65">
        <f t="shared" si="35"/>
        <v>-7.5534759358288794E-2</v>
      </c>
      <c r="AJ398" s="65">
        <f t="shared" si="35"/>
        <v>-0.1733517750115261</v>
      </c>
    </row>
    <row r="399" spans="1:36" x14ac:dyDescent="0.3">
      <c r="A399" s="84" t="s">
        <v>787</v>
      </c>
      <c r="B399" s="58" t="s">
        <v>788</v>
      </c>
      <c r="C399" s="59">
        <v>133</v>
      </c>
      <c r="D399" s="60" t="s">
        <v>121</v>
      </c>
      <c r="E399" s="60">
        <v>100.07</v>
      </c>
      <c r="F399" s="60">
        <v>165.96</v>
      </c>
      <c r="G399" s="60">
        <v>266.02999999999997</v>
      </c>
      <c r="H399" s="61">
        <v>13309.31</v>
      </c>
      <c r="I399" s="61">
        <v>22072.68</v>
      </c>
      <c r="J399" s="62">
        <v>35381.99</v>
      </c>
      <c r="M399" s="75"/>
      <c r="N399" s="76"/>
      <c r="V399" s="56">
        <v>223</v>
      </c>
      <c r="W399" s="56" t="s">
        <v>121</v>
      </c>
      <c r="X399" s="64">
        <v>114.51</v>
      </c>
      <c r="Y399" s="64">
        <v>140.82</v>
      </c>
      <c r="Z399" s="64">
        <f t="shared" si="38"/>
        <v>255.32999999999998</v>
      </c>
      <c r="AB399" s="56">
        <v>223</v>
      </c>
      <c r="AC399" s="56" t="s">
        <v>121</v>
      </c>
      <c r="AD399" s="64">
        <v>146</v>
      </c>
      <c r="AE399" s="64">
        <v>179.55</v>
      </c>
      <c r="AF399" s="64">
        <f t="shared" si="39"/>
        <v>325.55</v>
      </c>
      <c r="AH399" s="65">
        <f t="shared" si="35"/>
        <v>-0.31458904109589048</v>
      </c>
      <c r="AI399" s="65">
        <f t="shared" si="35"/>
        <v>-7.5689223057644139E-2</v>
      </c>
      <c r="AJ399" s="65">
        <f t="shared" si="35"/>
        <v>-0.182829058516357</v>
      </c>
    </row>
    <row r="400" spans="1:36" x14ac:dyDescent="0.3">
      <c r="A400" s="84" t="s">
        <v>789</v>
      </c>
      <c r="B400" s="58" t="s">
        <v>790</v>
      </c>
      <c r="C400" s="59">
        <v>9</v>
      </c>
      <c r="D400" s="60" t="s">
        <v>121</v>
      </c>
      <c r="E400" s="60">
        <v>71.22</v>
      </c>
      <c r="F400" s="60">
        <v>41.85</v>
      </c>
      <c r="G400" s="60">
        <v>113.07</v>
      </c>
      <c r="H400" s="61">
        <v>640.98</v>
      </c>
      <c r="I400" s="61">
        <v>376.65000000000003</v>
      </c>
      <c r="J400" s="62">
        <v>1017.6299999999999</v>
      </c>
      <c r="M400" s="75"/>
      <c r="N400" s="76"/>
      <c r="V400" s="56">
        <v>1</v>
      </c>
      <c r="W400" s="56" t="s">
        <v>121</v>
      </c>
      <c r="X400" s="64">
        <v>71.02</v>
      </c>
      <c r="Y400" s="64">
        <v>35.26</v>
      </c>
      <c r="Z400" s="64">
        <f t="shared" si="38"/>
        <v>106.28</v>
      </c>
      <c r="AB400" s="56">
        <v>1</v>
      </c>
      <c r="AC400" s="56" t="s">
        <v>121</v>
      </c>
      <c r="AD400" s="64">
        <v>90.55</v>
      </c>
      <c r="AE400" s="64">
        <v>44.96</v>
      </c>
      <c r="AF400" s="64">
        <f t="shared" si="39"/>
        <v>135.51</v>
      </c>
      <c r="AH400" s="65">
        <f t="shared" si="35"/>
        <v>-0.21347321921590279</v>
      </c>
      <c r="AI400" s="65">
        <f t="shared" si="35"/>
        <v>-6.9172597864768703E-2</v>
      </c>
      <c r="AJ400" s="65">
        <f t="shared" si="35"/>
        <v>-0.16559663493469112</v>
      </c>
    </row>
    <row r="401" spans="1:36" x14ac:dyDescent="0.3">
      <c r="A401" s="84" t="s">
        <v>791</v>
      </c>
      <c r="B401" s="58" t="s">
        <v>792</v>
      </c>
      <c r="C401" s="59">
        <v>1</v>
      </c>
      <c r="D401" s="60" t="s">
        <v>121</v>
      </c>
      <c r="E401" s="60">
        <v>30.45</v>
      </c>
      <c r="F401" s="60">
        <v>27.66</v>
      </c>
      <c r="G401" s="60">
        <v>58.11</v>
      </c>
      <c r="H401" s="61">
        <v>30.45</v>
      </c>
      <c r="I401" s="61">
        <v>27.66</v>
      </c>
      <c r="J401" s="62">
        <v>58.11</v>
      </c>
      <c r="M401" s="75"/>
      <c r="N401" s="76"/>
      <c r="V401" s="56">
        <v>1</v>
      </c>
      <c r="W401" s="56" t="s">
        <v>121</v>
      </c>
      <c r="X401" s="64">
        <v>34.93</v>
      </c>
      <c r="Y401" s="64">
        <v>23.47</v>
      </c>
      <c r="Z401" s="64">
        <f t="shared" si="38"/>
        <v>58.4</v>
      </c>
      <c r="AB401" s="56">
        <v>1</v>
      </c>
      <c r="AC401" s="56" t="s">
        <v>121</v>
      </c>
      <c r="AD401" s="64">
        <v>44.54</v>
      </c>
      <c r="AE401" s="64">
        <v>29.92</v>
      </c>
      <c r="AF401" s="64">
        <f t="shared" si="39"/>
        <v>74.460000000000008</v>
      </c>
      <c r="AH401" s="65">
        <f t="shared" si="35"/>
        <v>-0.31634485855410865</v>
      </c>
      <c r="AI401" s="65">
        <f t="shared" si="35"/>
        <v>-7.5534759358288794E-2</v>
      </c>
      <c r="AJ401" s="65">
        <f t="shared" si="35"/>
        <v>-0.21958098307816287</v>
      </c>
    </row>
    <row r="402" spans="1:36" x14ac:dyDescent="0.3">
      <c r="A402" s="84" t="s">
        <v>793</v>
      </c>
      <c r="B402" s="58" t="s">
        <v>794</v>
      </c>
      <c r="C402" s="59">
        <v>1</v>
      </c>
      <c r="D402" s="60" t="s">
        <v>121</v>
      </c>
      <c r="E402" s="60">
        <v>47.74</v>
      </c>
      <c r="F402" s="60">
        <v>96.82</v>
      </c>
      <c r="G402" s="60">
        <v>144.56</v>
      </c>
      <c r="H402" s="61">
        <v>47.74</v>
      </c>
      <c r="I402" s="61">
        <v>96.82</v>
      </c>
      <c r="J402" s="62">
        <v>144.56</v>
      </c>
      <c r="M402" s="75"/>
      <c r="N402" s="76"/>
      <c r="V402" s="56">
        <v>1</v>
      </c>
      <c r="W402" s="56" t="s">
        <v>121</v>
      </c>
      <c r="X402" s="64">
        <v>54.74</v>
      </c>
      <c r="Y402" s="64">
        <v>82.15</v>
      </c>
      <c r="Z402" s="64">
        <f t="shared" si="38"/>
        <v>136.89000000000001</v>
      </c>
      <c r="AB402" s="56">
        <v>1</v>
      </c>
      <c r="AC402" s="56" t="s">
        <v>121</v>
      </c>
      <c r="AD402" s="64">
        <v>69.790000000000006</v>
      </c>
      <c r="AE402" s="64">
        <v>104.74</v>
      </c>
      <c r="AF402" s="64">
        <f t="shared" si="39"/>
        <v>174.53</v>
      </c>
      <c r="AH402" s="65">
        <f t="shared" si="35"/>
        <v>-0.3159478435305918</v>
      </c>
      <c r="AI402" s="65">
        <f t="shared" si="35"/>
        <v>-7.5615810578575582E-2</v>
      </c>
      <c r="AJ402" s="65">
        <f t="shared" si="35"/>
        <v>-0.17171832922706698</v>
      </c>
    </row>
    <row r="403" spans="1:36" x14ac:dyDescent="0.3">
      <c r="A403" s="82">
        <v>21</v>
      </c>
      <c r="B403" s="83" t="s">
        <v>795</v>
      </c>
      <c r="C403" s="71"/>
      <c r="D403" s="72"/>
      <c r="E403" s="72"/>
      <c r="F403" s="72"/>
      <c r="G403" s="72"/>
      <c r="H403" s="52">
        <v>27140.190000000002</v>
      </c>
      <c r="I403" s="52">
        <v>7551.1800000000021</v>
      </c>
      <c r="J403" s="52">
        <v>34691.369999999995</v>
      </c>
      <c r="M403" s="75"/>
      <c r="N403" s="76"/>
      <c r="V403" s="54"/>
      <c r="W403" s="54"/>
      <c r="X403" s="55"/>
      <c r="Y403" s="55"/>
      <c r="Z403" s="55"/>
      <c r="AB403" s="54"/>
      <c r="AC403" s="54"/>
      <c r="AD403" s="55"/>
      <c r="AE403" s="55"/>
      <c r="AF403" s="55"/>
      <c r="AH403" s="65">
        <f t="shared" si="35"/>
        <v>0</v>
      </c>
      <c r="AI403" s="65">
        <f t="shared" si="35"/>
        <v>0</v>
      </c>
      <c r="AJ403" s="65">
        <f t="shared" si="35"/>
        <v>0</v>
      </c>
    </row>
    <row r="404" spans="1:36" x14ac:dyDescent="0.3">
      <c r="A404" s="84" t="s">
        <v>796</v>
      </c>
      <c r="B404" s="58" t="s">
        <v>797</v>
      </c>
      <c r="C404" s="59">
        <v>478</v>
      </c>
      <c r="D404" s="60" t="s">
        <v>87</v>
      </c>
      <c r="E404" s="60">
        <v>31.14</v>
      </c>
      <c r="F404" s="60">
        <v>5.54</v>
      </c>
      <c r="G404" s="60">
        <v>36.68</v>
      </c>
      <c r="H404" s="61">
        <v>14884.92</v>
      </c>
      <c r="I404" s="61">
        <v>2648.12</v>
      </c>
      <c r="J404" s="62">
        <v>17533.04</v>
      </c>
      <c r="M404" s="75"/>
      <c r="N404" s="76"/>
      <c r="V404" s="56">
        <v>12</v>
      </c>
      <c r="W404" s="56" t="s">
        <v>87</v>
      </c>
      <c r="X404" s="64">
        <v>32.090000000000003</v>
      </c>
      <c r="Y404" s="64">
        <v>4.6900000000000004</v>
      </c>
      <c r="Z404" s="64">
        <f t="shared" ref="Z404:Z430" si="40">SUM(X404:Y404)</f>
        <v>36.78</v>
      </c>
      <c r="AB404" s="56">
        <v>12</v>
      </c>
      <c r="AC404" s="56" t="s">
        <v>87</v>
      </c>
      <c r="AD404" s="64">
        <v>40.909999999999997</v>
      </c>
      <c r="AE404" s="64">
        <v>5.98</v>
      </c>
      <c r="AF404" s="64">
        <f t="shared" ref="AF404:AF430" si="41">SUM(AD404:AE404)</f>
        <v>46.89</v>
      </c>
      <c r="AH404" s="65">
        <f t="shared" si="35"/>
        <v>-0.23881691517966264</v>
      </c>
      <c r="AI404" s="65">
        <f t="shared" si="35"/>
        <v>-7.3578595317725815E-2</v>
      </c>
      <c r="AJ404" s="65">
        <f t="shared" si="35"/>
        <v>-0.21774365536361695</v>
      </c>
    </row>
    <row r="405" spans="1:36" x14ac:dyDescent="0.3">
      <c r="A405" s="84" t="s">
        <v>798</v>
      </c>
      <c r="B405" s="58" t="s">
        <v>799</v>
      </c>
      <c r="C405" s="59">
        <v>9</v>
      </c>
      <c r="D405" s="60" t="s">
        <v>121</v>
      </c>
      <c r="E405" s="60">
        <v>171.09</v>
      </c>
      <c r="F405" s="60">
        <v>27.66</v>
      </c>
      <c r="G405" s="60">
        <v>198.75</v>
      </c>
      <c r="H405" s="61">
        <v>1539.81</v>
      </c>
      <c r="I405" s="61">
        <v>248.94</v>
      </c>
      <c r="J405" s="62">
        <v>1788.75</v>
      </c>
      <c r="M405" s="75"/>
      <c r="N405" s="76"/>
      <c r="V405" s="56">
        <v>1</v>
      </c>
      <c r="W405" s="56" t="s">
        <v>121</v>
      </c>
      <c r="X405" s="64">
        <v>88.57</v>
      </c>
      <c r="Y405" s="64">
        <v>23.47</v>
      </c>
      <c r="Z405" s="64">
        <f t="shared" si="40"/>
        <v>112.03999999999999</v>
      </c>
      <c r="AB405" s="56">
        <v>1</v>
      </c>
      <c r="AC405" s="56" t="s">
        <v>121</v>
      </c>
      <c r="AD405" s="64">
        <v>112.93</v>
      </c>
      <c r="AE405" s="64">
        <v>29.92</v>
      </c>
      <c r="AF405" s="64">
        <f t="shared" si="41"/>
        <v>142.85000000000002</v>
      </c>
      <c r="AH405" s="65">
        <f t="shared" si="35"/>
        <v>0.51500929779509419</v>
      </c>
      <c r="AI405" s="65">
        <f t="shared" si="35"/>
        <v>-7.5534759358288794E-2</v>
      </c>
      <c r="AJ405" s="65">
        <f t="shared" si="35"/>
        <v>0.39131956597829864</v>
      </c>
    </row>
    <row r="406" spans="1:36" x14ac:dyDescent="0.3">
      <c r="A406" s="84" t="s">
        <v>800</v>
      </c>
      <c r="B406" s="58" t="s">
        <v>801</v>
      </c>
      <c r="C406" s="59">
        <v>6</v>
      </c>
      <c r="D406" s="60" t="s">
        <v>121</v>
      </c>
      <c r="E406" s="60">
        <v>99.34</v>
      </c>
      <c r="F406" s="60">
        <v>27.66</v>
      </c>
      <c r="G406" s="60">
        <v>127</v>
      </c>
      <c r="H406" s="61">
        <v>596.04</v>
      </c>
      <c r="I406" s="61">
        <v>165.96</v>
      </c>
      <c r="J406" s="62">
        <v>762</v>
      </c>
      <c r="M406" s="75"/>
      <c r="N406" s="76"/>
      <c r="V406" s="56">
        <v>1</v>
      </c>
      <c r="W406" s="56" t="s">
        <v>121</v>
      </c>
      <c r="X406" s="64">
        <v>51.42</v>
      </c>
      <c r="Y406" s="64">
        <v>23.47</v>
      </c>
      <c r="Z406" s="64">
        <f t="shared" si="40"/>
        <v>74.89</v>
      </c>
      <c r="AB406" s="56">
        <v>1</v>
      </c>
      <c r="AC406" s="56" t="s">
        <v>121</v>
      </c>
      <c r="AD406" s="64">
        <v>65.56</v>
      </c>
      <c r="AE406" s="64">
        <v>29.92</v>
      </c>
      <c r="AF406" s="64">
        <f t="shared" si="41"/>
        <v>95.48</v>
      </c>
      <c r="AH406" s="65">
        <f t="shared" si="35"/>
        <v>0.51525320317266621</v>
      </c>
      <c r="AI406" s="65">
        <f t="shared" si="35"/>
        <v>-7.5534759358288794E-2</v>
      </c>
      <c r="AJ406" s="65">
        <f t="shared" si="35"/>
        <v>0.33012149141181402</v>
      </c>
    </row>
    <row r="407" spans="1:36" x14ac:dyDescent="0.3">
      <c r="A407" s="84" t="s">
        <v>802</v>
      </c>
      <c r="B407" s="58" t="s">
        <v>803</v>
      </c>
      <c r="C407" s="59">
        <v>1</v>
      </c>
      <c r="D407" s="60" t="s">
        <v>121</v>
      </c>
      <c r="E407" s="60">
        <v>579.46</v>
      </c>
      <c r="F407" s="60">
        <v>63.62</v>
      </c>
      <c r="G407" s="60">
        <v>643.08000000000004</v>
      </c>
      <c r="H407" s="61">
        <v>579.46</v>
      </c>
      <c r="I407" s="61">
        <v>63.62</v>
      </c>
      <c r="J407" s="62">
        <v>643.08000000000004</v>
      </c>
      <c r="M407" s="75"/>
      <c r="N407" s="76"/>
      <c r="V407" s="56">
        <v>1</v>
      </c>
      <c r="W407" s="56" t="s">
        <v>121</v>
      </c>
      <c r="X407" s="64">
        <v>315.60000000000002</v>
      </c>
      <c r="Y407" s="64">
        <v>53.98</v>
      </c>
      <c r="Z407" s="64">
        <f t="shared" si="40"/>
        <v>369.58000000000004</v>
      </c>
      <c r="AB407" s="56">
        <v>1</v>
      </c>
      <c r="AC407" s="56" t="s">
        <v>121</v>
      </c>
      <c r="AD407" s="64">
        <v>402.39</v>
      </c>
      <c r="AE407" s="64">
        <v>68.819999999999993</v>
      </c>
      <c r="AF407" s="64">
        <f t="shared" si="41"/>
        <v>471.21</v>
      </c>
      <c r="AH407" s="65">
        <f t="shared" si="35"/>
        <v>0.44004572678247489</v>
      </c>
      <c r="AI407" s="65">
        <f t="shared" si="35"/>
        <v>-7.5559430398140059E-2</v>
      </c>
      <c r="AJ407" s="65">
        <f t="shared" si="35"/>
        <v>0.36474183485070366</v>
      </c>
    </row>
    <row r="408" spans="1:36" x14ac:dyDescent="0.3">
      <c r="A408" s="84" t="s">
        <v>804</v>
      </c>
      <c r="B408" s="58" t="s">
        <v>805</v>
      </c>
      <c r="C408" s="59">
        <v>9</v>
      </c>
      <c r="D408" s="60" t="s">
        <v>121</v>
      </c>
      <c r="E408" s="60">
        <v>27.59</v>
      </c>
      <c r="F408" s="60">
        <v>5.54</v>
      </c>
      <c r="G408" s="60">
        <v>33.130000000000003</v>
      </c>
      <c r="H408" s="61">
        <v>248.31</v>
      </c>
      <c r="I408" s="61">
        <v>49.86</v>
      </c>
      <c r="J408" s="62">
        <v>298.17</v>
      </c>
      <c r="M408" s="75"/>
      <c r="N408" s="76"/>
      <c r="V408" s="56">
        <v>1</v>
      </c>
      <c r="W408" s="56" t="s">
        <v>121</v>
      </c>
      <c r="X408" s="64">
        <v>14.28</v>
      </c>
      <c r="Y408" s="64">
        <v>4.6900000000000004</v>
      </c>
      <c r="Z408" s="64">
        <f t="shared" si="40"/>
        <v>18.97</v>
      </c>
      <c r="AB408" s="56">
        <v>1</v>
      </c>
      <c r="AC408" s="56" t="s">
        <v>121</v>
      </c>
      <c r="AD408" s="64">
        <v>18.21</v>
      </c>
      <c r="AE408" s="64">
        <v>5.98</v>
      </c>
      <c r="AF408" s="64">
        <f t="shared" si="41"/>
        <v>24.19</v>
      </c>
      <c r="AH408" s="65">
        <f t="shared" si="35"/>
        <v>0.51510159253157606</v>
      </c>
      <c r="AI408" s="65">
        <f t="shared" si="35"/>
        <v>-7.3578595317725815E-2</v>
      </c>
      <c r="AJ408" s="65">
        <f t="shared" si="35"/>
        <v>0.36957420421661857</v>
      </c>
    </row>
    <row r="409" spans="1:36" x14ac:dyDescent="0.3">
      <c r="A409" s="84" t="s">
        <v>806</v>
      </c>
      <c r="B409" s="58" t="s">
        <v>807</v>
      </c>
      <c r="C409" s="59">
        <v>8</v>
      </c>
      <c r="D409" s="60" t="s">
        <v>121</v>
      </c>
      <c r="E409" s="60">
        <v>520.49</v>
      </c>
      <c r="F409" s="60">
        <v>5.54</v>
      </c>
      <c r="G409" s="60">
        <v>526.03</v>
      </c>
      <c r="H409" s="61">
        <v>4163.92</v>
      </c>
      <c r="I409" s="61">
        <v>44.32</v>
      </c>
      <c r="J409" s="62">
        <v>4208.24</v>
      </c>
      <c r="M409" s="75"/>
      <c r="N409" s="76"/>
      <c r="V409" s="56">
        <v>1</v>
      </c>
      <c r="W409" s="56" t="s">
        <v>121</v>
      </c>
      <c r="X409" s="64">
        <v>594.1</v>
      </c>
      <c r="Y409" s="64">
        <v>4.6900000000000004</v>
      </c>
      <c r="Z409" s="64">
        <f t="shared" si="40"/>
        <v>598.79000000000008</v>
      </c>
      <c r="AB409" s="56">
        <v>1</v>
      </c>
      <c r="AC409" s="56" t="s">
        <v>121</v>
      </c>
      <c r="AD409" s="64">
        <v>757.48</v>
      </c>
      <c r="AE409" s="64">
        <v>5.98</v>
      </c>
      <c r="AF409" s="64">
        <f t="shared" si="41"/>
        <v>763.46</v>
      </c>
      <c r="AH409" s="65">
        <f t="shared" si="35"/>
        <v>-0.31286634630617316</v>
      </c>
      <c r="AI409" s="65">
        <f t="shared" si="35"/>
        <v>-7.3578595317725815E-2</v>
      </c>
      <c r="AJ409" s="65">
        <f t="shared" si="35"/>
        <v>-0.31099206245251887</v>
      </c>
    </row>
    <row r="410" spans="1:36" x14ac:dyDescent="0.3">
      <c r="A410" s="84" t="s">
        <v>808</v>
      </c>
      <c r="B410" s="58" t="s">
        <v>809</v>
      </c>
      <c r="C410" s="59">
        <v>13</v>
      </c>
      <c r="D410" s="60" t="s">
        <v>121</v>
      </c>
      <c r="E410" s="60">
        <v>15.91</v>
      </c>
      <c r="F410" s="60">
        <v>20.58</v>
      </c>
      <c r="G410" s="60">
        <v>36.489999999999995</v>
      </c>
      <c r="H410" s="61">
        <v>206.83</v>
      </c>
      <c r="I410" s="61">
        <v>267.53999999999996</v>
      </c>
      <c r="J410" s="62">
        <v>474.36999999999995</v>
      </c>
      <c r="M410" s="75"/>
      <c r="N410" s="76"/>
      <c r="V410" s="56">
        <v>6</v>
      </c>
      <c r="W410" s="56" t="s">
        <v>121</v>
      </c>
      <c r="X410" s="64">
        <v>16.920000000000002</v>
      </c>
      <c r="Y410" s="64">
        <v>18.52</v>
      </c>
      <c r="Z410" s="64">
        <f t="shared" si="40"/>
        <v>35.44</v>
      </c>
      <c r="AB410" s="56">
        <v>6</v>
      </c>
      <c r="AC410" s="56" t="s">
        <v>121</v>
      </c>
      <c r="AD410" s="64">
        <v>21.57</v>
      </c>
      <c r="AE410" s="64">
        <v>23.61</v>
      </c>
      <c r="AF410" s="64">
        <f t="shared" si="41"/>
        <v>45.18</v>
      </c>
      <c r="AH410" s="65">
        <f t="shared" si="35"/>
        <v>-0.26240148354195647</v>
      </c>
      <c r="AI410" s="65">
        <f t="shared" si="35"/>
        <v>-0.12833545108005084</v>
      </c>
      <c r="AJ410" s="65">
        <f t="shared" si="35"/>
        <v>-0.19234174413457295</v>
      </c>
    </row>
    <row r="411" spans="1:36" x14ac:dyDescent="0.3">
      <c r="A411" s="84" t="s">
        <v>810</v>
      </c>
      <c r="B411" s="58" t="s">
        <v>811</v>
      </c>
      <c r="C411" s="59">
        <v>4</v>
      </c>
      <c r="D411" s="60" t="s">
        <v>121</v>
      </c>
      <c r="E411" s="60">
        <v>29.1</v>
      </c>
      <c r="F411" s="60">
        <v>2.39</v>
      </c>
      <c r="G411" s="60">
        <v>31.490000000000002</v>
      </c>
      <c r="H411" s="61">
        <v>116.4</v>
      </c>
      <c r="I411" s="61">
        <v>9.56</v>
      </c>
      <c r="J411" s="62">
        <v>125.96000000000001</v>
      </c>
      <c r="M411" s="75"/>
      <c r="N411" s="76"/>
      <c r="V411" s="56">
        <v>9</v>
      </c>
      <c r="W411" s="56" t="s">
        <v>121</v>
      </c>
      <c r="X411" s="64">
        <v>33.21</v>
      </c>
      <c r="Y411" s="64">
        <v>2.2799999999999998</v>
      </c>
      <c r="Z411" s="64">
        <f t="shared" si="40"/>
        <v>35.49</v>
      </c>
      <c r="AB411" s="56">
        <v>9</v>
      </c>
      <c r="AC411" s="56" t="s">
        <v>121</v>
      </c>
      <c r="AD411" s="64">
        <v>42.34</v>
      </c>
      <c r="AE411" s="64">
        <v>2.91</v>
      </c>
      <c r="AF411" s="64">
        <f t="shared" si="41"/>
        <v>45.25</v>
      </c>
      <c r="AH411" s="65">
        <f t="shared" si="35"/>
        <v>-0.31270666036844597</v>
      </c>
      <c r="AI411" s="65">
        <f t="shared" si="35"/>
        <v>-0.17869415807560141</v>
      </c>
      <c r="AJ411" s="65">
        <f t="shared" si="35"/>
        <v>-0.30408839779005525</v>
      </c>
    </row>
    <row r="412" spans="1:36" x14ac:dyDescent="0.3">
      <c r="A412" s="84" t="s">
        <v>812</v>
      </c>
      <c r="B412" s="58" t="s">
        <v>813</v>
      </c>
      <c r="C412" s="59">
        <v>151</v>
      </c>
      <c r="D412" s="60" t="s">
        <v>57</v>
      </c>
      <c r="E412" s="60">
        <v>21.85</v>
      </c>
      <c r="F412" s="60">
        <v>25.73</v>
      </c>
      <c r="G412" s="60">
        <v>47.58</v>
      </c>
      <c r="H412" s="61">
        <v>3299.3500000000004</v>
      </c>
      <c r="I412" s="61">
        <v>3885.23</v>
      </c>
      <c r="J412" s="62">
        <v>7184.58</v>
      </c>
      <c r="M412" s="75"/>
      <c r="N412" s="76"/>
      <c r="V412" s="56">
        <v>403</v>
      </c>
      <c r="W412" s="56" t="s">
        <v>57</v>
      </c>
      <c r="X412" s="64">
        <v>15.89</v>
      </c>
      <c r="Y412" s="64">
        <v>23.15</v>
      </c>
      <c r="Z412" s="64">
        <f t="shared" si="40"/>
        <v>39.04</v>
      </c>
      <c r="AB412" s="56">
        <v>403</v>
      </c>
      <c r="AC412" s="56" t="s">
        <v>57</v>
      </c>
      <c r="AD412" s="64">
        <v>20.260000000000002</v>
      </c>
      <c r="AE412" s="64">
        <v>29.52</v>
      </c>
      <c r="AF412" s="64">
        <f t="shared" si="41"/>
        <v>49.78</v>
      </c>
      <c r="AH412" s="65">
        <f t="shared" si="35"/>
        <v>7.8479763079960518E-2</v>
      </c>
      <c r="AI412" s="65">
        <f t="shared" si="35"/>
        <v>-0.12838753387533874</v>
      </c>
      <c r="AJ412" s="65">
        <f t="shared" si="35"/>
        <v>-4.419445560466051E-2</v>
      </c>
    </row>
    <row r="413" spans="1:36" x14ac:dyDescent="0.3">
      <c r="A413" s="84" t="s">
        <v>814</v>
      </c>
      <c r="B413" s="58" t="s">
        <v>815</v>
      </c>
      <c r="C413" s="59">
        <v>1</v>
      </c>
      <c r="D413" s="60" t="s">
        <v>121</v>
      </c>
      <c r="E413" s="60">
        <v>129.26</v>
      </c>
      <c r="F413" s="60">
        <v>25.92</v>
      </c>
      <c r="G413" s="60">
        <v>155.18</v>
      </c>
      <c r="H413" s="61">
        <v>129.26</v>
      </c>
      <c r="I413" s="61">
        <v>25.92</v>
      </c>
      <c r="J413" s="62">
        <v>155.18</v>
      </c>
      <c r="M413" s="75"/>
      <c r="N413" s="76"/>
      <c r="V413" s="56">
        <v>1</v>
      </c>
      <c r="W413" s="56" t="s">
        <v>121</v>
      </c>
      <c r="X413" s="64">
        <v>148.02000000000001</v>
      </c>
      <c r="Y413" s="64">
        <v>20.46</v>
      </c>
      <c r="Z413" s="64">
        <f t="shared" si="40"/>
        <v>168.48000000000002</v>
      </c>
      <c r="AB413" s="56">
        <v>1</v>
      </c>
      <c r="AC413" s="56" t="s">
        <v>121</v>
      </c>
      <c r="AD413" s="64">
        <v>188.73</v>
      </c>
      <c r="AE413" s="64">
        <v>26.09</v>
      </c>
      <c r="AF413" s="64">
        <f t="shared" si="41"/>
        <v>214.82</v>
      </c>
      <c r="AH413" s="65">
        <f t="shared" si="35"/>
        <v>-0.31510623642240243</v>
      </c>
      <c r="AI413" s="65">
        <f t="shared" si="35"/>
        <v>-6.5159064775774933E-3</v>
      </c>
      <c r="AJ413" s="65">
        <f t="shared" si="35"/>
        <v>-0.27762778139837996</v>
      </c>
    </row>
    <row r="414" spans="1:36" x14ac:dyDescent="0.3">
      <c r="A414" s="84" t="s">
        <v>816</v>
      </c>
      <c r="B414" s="58" t="s">
        <v>817</v>
      </c>
      <c r="C414" s="59">
        <v>1</v>
      </c>
      <c r="D414" s="60" t="s">
        <v>121</v>
      </c>
      <c r="E414" s="60">
        <v>150.83000000000001</v>
      </c>
      <c r="F414" s="60">
        <v>25.92</v>
      </c>
      <c r="G414" s="60">
        <v>176.75</v>
      </c>
      <c r="H414" s="61">
        <v>150.83000000000001</v>
      </c>
      <c r="I414" s="61">
        <v>25.92</v>
      </c>
      <c r="J414" s="62">
        <v>176.75</v>
      </c>
      <c r="M414" s="75"/>
      <c r="N414" s="79"/>
      <c r="V414" s="56">
        <v>1</v>
      </c>
      <c r="W414" s="56" t="s">
        <v>121</v>
      </c>
      <c r="X414" s="64">
        <v>172.64</v>
      </c>
      <c r="Y414" s="64">
        <v>20.46</v>
      </c>
      <c r="Z414" s="64">
        <f t="shared" si="40"/>
        <v>193.1</v>
      </c>
      <c r="AB414" s="56">
        <v>1</v>
      </c>
      <c r="AC414" s="56" t="s">
        <v>121</v>
      </c>
      <c r="AD414" s="64">
        <v>220.12</v>
      </c>
      <c r="AE414" s="64">
        <v>26.09</v>
      </c>
      <c r="AF414" s="64">
        <f t="shared" si="41"/>
        <v>246.21</v>
      </c>
      <c r="AH414" s="65">
        <f t="shared" si="35"/>
        <v>-0.31478284572051607</v>
      </c>
      <c r="AI414" s="65">
        <f t="shared" si="35"/>
        <v>-6.5159064775774933E-3</v>
      </c>
      <c r="AJ414" s="65">
        <f t="shared" si="35"/>
        <v>-0.28211689208399338</v>
      </c>
    </row>
    <row r="415" spans="1:36" x14ac:dyDescent="0.3">
      <c r="A415" s="84" t="s">
        <v>818</v>
      </c>
      <c r="B415" s="58" t="s">
        <v>819</v>
      </c>
      <c r="C415" s="59">
        <v>1</v>
      </c>
      <c r="D415" s="60" t="s">
        <v>121</v>
      </c>
      <c r="E415" s="60">
        <v>66.44</v>
      </c>
      <c r="F415" s="60">
        <v>25.92</v>
      </c>
      <c r="G415" s="60">
        <v>92.36</v>
      </c>
      <c r="H415" s="61">
        <v>66.44</v>
      </c>
      <c r="I415" s="61">
        <v>25.92</v>
      </c>
      <c r="J415" s="62">
        <v>92.36</v>
      </c>
      <c r="M415" s="75"/>
      <c r="N415" s="76"/>
      <c r="V415" s="56">
        <v>1</v>
      </c>
      <c r="W415" s="56" t="s">
        <v>121</v>
      </c>
      <c r="X415" s="64">
        <v>76.319999999999993</v>
      </c>
      <c r="Y415" s="64">
        <v>20.46</v>
      </c>
      <c r="Z415" s="64">
        <f t="shared" si="40"/>
        <v>96.78</v>
      </c>
      <c r="AB415" s="56">
        <v>1</v>
      </c>
      <c r="AC415" s="56" t="s">
        <v>121</v>
      </c>
      <c r="AD415" s="64">
        <v>97.31</v>
      </c>
      <c r="AE415" s="64">
        <v>26.09</v>
      </c>
      <c r="AF415" s="64">
        <f t="shared" si="41"/>
        <v>123.4</v>
      </c>
      <c r="AH415" s="65">
        <f t="shared" si="35"/>
        <v>-0.31723358339327923</v>
      </c>
      <c r="AI415" s="65">
        <f t="shared" si="35"/>
        <v>-6.5159064775774933E-3</v>
      </c>
      <c r="AJ415" s="65">
        <f t="shared" si="35"/>
        <v>-0.2515397082658023</v>
      </c>
    </row>
    <row r="416" spans="1:36" x14ac:dyDescent="0.3">
      <c r="A416" s="84" t="s">
        <v>820</v>
      </c>
      <c r="B416" s="58" t="s">
        <v>821</v>
      </c>
      <c r="C416" s="59">
        <v>1</v>
      </c>
      <c r="D416" s="60" t="s">
        <v>121</v>
      </c>
      <c r="E416" s="60">
        <v>110.07</v>
      </c>
      <c r="F416" s="60">
        <v>23.07</v>
      </c>
      <c r="G416" s="60">
        <v>133.13999999999999</v>
      </c>
      <c r="H416" s="61">
        <v>110.07</v>
      </c>
      <c r="I416" s="61">
        <v>23.07</v>
      </c>
      <c r="J416" s="62">
        <v>133.13999999999999</v>
      </c>
      <c r="M416" s="75"/>
      <c r="N416" s="76"/>
      <c r="V416" s="56">
        <v>1</v>
      </c>
      <c r="W416" s="56" t="s">
        <v>121</v>
      </c>
      <c r="X416" s="64">
        <v>126.12</v>
      </c>
      <c r="Y416" s="64">
        <v>18.78</v>
      </c>
      <c r="Z416" s="64">
        <f t="shared" si="40"/>
        <v>144.9</v>
      </c>
      <c r="AB416" s="56">
        <v>1</v>
      </c>
      <c r="AC416" s="56" t="s">
        <v>121</v>
      </c>
      <c r="AD416" s="64">
        <v>160.80000000000001</v>
      </c>
      <c r="AE416" s="64">
        <v>23.94</v>
      </c>
      <c r="AF416" s="64">
        <f t="shared" si="41"/>
        <v>184.74</v>
      </c>
      <c r="AH416" s="65">
        <f t="shared" si="35"/>
        <v>-0.31548507462686581</v>
      </c>
      <c r="AI416" s="65">
        <f t="shared" si="35"/>
        <v>-3.6340852130325896E-2</v>
      </c>
      <c r="AJ416" s="65">
        <f t="shared" si="35"/>
        <v>-0.27931146476128621</v>
      </c>
    </row>
    <row r="417" spans="1:36" x14ac:dyDescent="0.3">
      <c r="A417" s="84" t="s">
        <v>822</v>
      </c>
      <c r="B417" s="58" t="s">
        <v>823</v>
      </c>
      <c r="C417" s="59">
        <v>1</v>
      </c>
      <c r="D417" s="60" t="s">
        <v>121</v>
      </c>
      <c r="E417" s="60">
        <v>30.09</v>
      </c>
      <c r="F417" s="60">
        <v>4.8</v>
      </c>
      <c r="G417" s="60">
        <v>34.89</v>
      </c>
      <c r="H417" s="61">
        <v>30.09</v>
      </c>
      <c r="I417" s="61">
        <v>4.8</v>
      </c>
      <c r="J417" s="62">
        <v>34.89</v>
      </c>
      <c r="M417" s="75"/>
      <c r="N417" s="76"/>
      <c r="V417" s="56">
        <v>1</v>
      </c>
      <c r="W417" s="56" t="s">
        <v>121</v>
      </c>
      <c r="X417" s="64">
        <v>34.35</v>
      </c>
      <c r="Y417" s="64">
        <v>3.91</v>
      </c>
      <c r="Z417" s="64">
        <f t="shared" si="40"/>
        <v>38.260000000000005</v>
      </c>
      <c r="AB417" s="56">
        <v>1</v>
      </c>
      <c r="AC417" s="56" t="s">
        <v>121</v>
      </c>
      <c r="AD417" s="64">
        <v>43.8</v>
      </c>
      <c r="AE417" s="64">
        <v>4.99</v>
      </c>
      <c r="AF417" s="64">
        <f t="shared" si="41"/>
        <v>48.79</v>
      </c>
      <c r="AH417" s="65">
        <f t="shared" si="35"/>
        <v>-0.31301369863013695</v>
      </c>
      <c r="AI417" s="65">
        <f t="shared" si="35"/>
        <v>-3.8076152304609256E-2</v>
      </c>
      <c r="AJ417" s="65">
        <f t="shared" si="35"/>
        <v>-0.28489444558311128</v>
      </c>
    </row>
    <row r="418" spans="1:36" x14ac:dyDescent="0.3">
      <c r="A418" s="84" t="s">
        <v>824</v>
      </c>
      <c r="B418" s="58" t="s">
        <v>825</v>
      </c>
      <c r="C418" s="59">
        <v>1</v>
      </c>
      <c r="D418" s="60" t="s">
        <v>121</v>
      </c>
      <c r="E418" s="60">
        <v>66.209999999999994</v>
      </c>
      <c r="F418" s="60">
        <v>4.8</v>
      </c>
      <c r="G418" s="60">
        <v>71.009999999999991</v>
      </c>
      <c r="H418" s="61">
        <v>66.209999999999994</v>
      </c>
      <c r="I418" s="61">
        <v>4.8</v>
      </c>
      <c r="J418" s="62">
        <v>71.009999999999991</v>
      </c>
      <c r="M418" s="75"/>
      <c r="N418" s="76"/>
      <c r="V418" s="56">
        <v>1</v>
      </c>
      <c r="W418" s="56" t="s">
        <v>121</v>
      </c>
      <c r="X418" s="64">
        <v>75.569999999999993</v>
      </c>
      <c r="Y418" s="64">
        <v>3.91</v>
      </c>
      <c r="Z418" s="64">
        <f t="shared" si="40"/>
        <v>79.47999999999999</v>
      </c>
      <c r="AB418" s="56">
        <v>1</v>
      </c>
      <c r="AC418" s="56" t="s">
        <v>121</v>
      </c>
      <c r="AD418" s="64">
        <v>96.35</v>
      </c>
      <c r="AE418" s="64">
        <v>4.99</v>
      </c>
      <c r="AF418" s="64">
        <f t="shared" si="41"/>
        <v>101.33999999999999</v>
      </c>
      <c r="AH418" s="65">
        <f t="shared" si="35"/>
        <v>-0.3128178515827712</v>
      </c>
      <c r="AI418" s="65">
        <f t="shared" si="35"/>
        <v>-3.8076152304609256E-2</v>
      </c>
      <c r="AJ418" s="65">
        <f t="shared" si="35"/>
        <v>-0.29928952042628776</v>
      </c>
    </row>
    <row r="419" spans="1:36" x14ac:dyDescent="0.3">
      <c r="A419" s="84" t="s">
        <v>826</v>
      </c>
      <c r="B419" s="58" t="s">
        <v>827</v>
      </c>
      <c r="C419" s="59">
        <v>1</v>
      </c>
      <c r="D419" s="60" t="s">
        <v>121</v>
      </c>
      <c r="E419" s="60">
        <v>70.22</v>
      </c>
      <c r="F419" s="60">
        <v>4.8</v>
      </c>
      <c r="G419" s="60">
        <v>75.02</v>
      </c>
      <c r="H419" s="61">
        <v>70.22</v>
      </c>
      <c r="I419" s="61">
        <v>4.8</v>
      </c>
      <c r="J419" s="62">
        <v>75.02</v>
      </c>
      <c r="M419" s="75"/>
      <c r="N419" s="76"/>
      <c r="V419" s="56">
        <v>1</v>
      </c>
      <c r="W419" s="56" t="s">
        <v>121</v>
      </c>
      <c r="X419" s="64">
        <v>80.150000000000006</v>
      </c>
      <c r="Y419" s="64">
        <v>3.91</v>
      </c>
      <c r="Z419" s="64">
        <f t="shared" si="40"/>
        <v>84.06</v>
      </c>
      <c r="AB419" s="56">
        <v>1</v>
      </c>
      <c r="AC419" s="56" t="s">
        <v>121</v>
      </c>
      <c r="AD419" s="64">
        <v>102.19</v>
      </c>
      <c r="AE419" s="64">
        <v>4.99</v>
      </c>
      <c r="AF419" s="64">
        <f t="shared" si="41"/>
        <v>107.17999999999999</v>
      </c>
      <c r="AH419" s="65">
        <f t="shared" si="35"/>
        <v>-0.31284861532439578</v>
      </c>
      <c r="AI419" s="65">
        <f t="shared" si="35"/>
        <v>-3.8076152304609256E-2</v>
      </c>
      <c r="AJ419" s="65">
        <f t="shared" si="35"/>
        <v>-0.30005598059339433</v>
      </c>
    </row>
    <row r="420" spans="1:36" x14ac:dyDescent="0.3">
      <c r="A420" s="84" t="s">
        <v>828</v>
      </c>
      <c r="B420" s="58" t="s">
        <v>829</v>
      </c>
      <c r="C420" s="59">
        <v>1</v>
      </c>
      <c r="D420" s="60" t="s">
        <v>121</v>
      </c>
      <c r="E420" s="60">
        <v>56.18</v>
      </c>
      <c r="F420" s="60">
        <v>4.8</v>
      </c>
      <c r="G420" s="60">
        <v>60.98</v>
      </c>
      <c r="H420" s="61">
        <v>56.18</v>
      </c>
      <c r="I420" s="61">
        <v>4.8</v>
      </c>
      <c r="J420" s="62">
        <v>60.98</v>
      </c>
      <c r="M420" s="75"/>
      <c r="N420" s="76"/>
      <c r="V420" s="56">
        <v>1</v>
      </c>
      <c r="W420" s="56" t="s">
        <v>121</v>
      </c>
      <c r="X420" s="64">
        <v>64.12</v>
      </c>
      <c r="Y420" s="64">
        <v>3.91</v>
      </c>
      <c r="Z420" s="64">
        <f t="shared" si="40"/>
        <v>68.03</v>
      </c>
      <c r="AB420" s="56">
        <v>1</v>
      </c>
      <c r="AC420" s="56" t="s">
        <v>121</v>
      </c>
      <c r="AD420" s="64">
        <v>81.75</v>
      </c>
      <c r="AE420" s="64">
        <v>4.99</v>
      </c>
      <c r="AF420" s="64">
        <f t="shared" si="41"/>
        <v>86.74</v>
      </c>
      <c r="AH420" s="65">
        <f t="shared" si="35"/>
        <v>-0.31278287461773702</v>
      </c>
      <c r="AI420" s="65">
        <f t="shared" si="35"/>
        <v>-3.8076152304609256E-2</v>
      </c>
      <c r="AJ420" s="65">
        <f t="shared" si="35"/>
        <v>-0.29697947890246712</v>
      </c>
    </row>
    <row r="421" spans="1:36" x14ac:dyDescent="0.3">
      <c r="A421" s="84" t="s">
        <v>830</v>
      </c>
      <c r="B421" s="58" t="s">
        <v>831</v>
      </c>
      <c r="C421" s="59">
        <v>1</v>
      </c>
      <c r="D421" s="60" t="s">
        <v>121</v>
      </c>
      <c r="E421" s="60">
        <v>66.209999999999994</v>
      </c>
      <c r="F421" s="60">
        <v>4.8</v>
      </c>
      <c r="G421" s="60">
        <v>71.009999999999991</v>
      </c>
      <c r="H421" s="61">
        <v>66.209999999999994</v>
      </c>
      <c r="I421" s="61">
        <v>4.8</v>
      </c>
      <c r="J421" s="62">
        <v>71.009999999999991</v>
      </c>
      <c r="M421" s="75"/>
      <c r="N421" s="76"/>
      <c r="V421" s="56">
        <v>1</v>
      </c>
      <c r="W421" s="56" t="s">
        <v>121</v>
      </c>
      <c r="X421" s="64">
        <v>75.569999999999993</v>
      </c>
      <c r="Y421" s="64">
        <v>3.91</v>
      </c>
      <c r="Z421" s="64">
        <f t="shared" si="40"/>
        <v>79.47999999999999</v>
      </c>
      <c r="AB421" s="56">
        <v>1</v>
      </c>
      <c r="AC421" s="56" t="s">
        <v>121</v>
      </c>
      <c r="AD421" s="64">
        <v>96.35</v>
      </c>
      <c r="AE421" s="64">
        <v>4.99</v>
      </c>
      <c r="AF421" s="64">
        <f t="shared" si="41"/>
        <v>101.33999999999999</v>
      </c>
      <c r="AH421" s="65">
        <f t="shared" si="35"/>
        <v>-0.3128178515827712</v>
      </c>
      <c r="AI421" s="65">
        <f t="shared" si="35"/>
        <v>-3.8076152304609256E-2</v>
      </c>
      <c r="AJ421" s="65">
        <f t="shared" si="35"/>
        <v>-0.29928952042628776</v>
      </c>
    </row>
    <row r="422" spans="1:36" x14ac:dyDescent="0.3">
      <c r="A422" s="84" t="s">
        <v>832</v>
      </c>
      <c r="B422" s="58" t="s">
        <v>833</v>
      </c>
      <c r="C422" s="59">
        <v>1</v>
      </c>
      <c r="D422" s="60" t="s">
        <v>121</v>
      </c>
      <c r="E422" s="60">
        <v>70.22</v>
      </c>
      <c r="F422" s="60">
        <v>4.8</v>
      </c>
      <c r="G422" s="60">
        <v>75.02</v>
      </c>
      <c r="H422" s="61">
        <v>70.22</v>
      </c>
      <c r="I422" s="61">
        <v>4.8</v>
      </c>
      <c r="J422" s="62">
        <v>75.02</v>
      </c>
      <c r="M422" s="75"/>
      <c r="N422" s="76"/>
      <c r="V422" s="56">
        <v>1</v>
      </c>
      <c r="W422" s="56" t="s">
        <v>121</v>
      </c>
      <c r="X422" s="64">
        <v>80.150000000000006</v>
      </c>
      <c r="Y422" s="64">
        <v>3.91</v>
      </c>
      <c r="Z422" s="64">
        <f t="shared" si="40"/>
        <v>84.06</v>
      </c>
      <c r="AB422" s="56">
        <v>1</v>
      </c>
      <c r="AC422" s="56" t="s">
        <v>121</v>
      </c>
      <c r="AD422" s="64">
        <v>102.19</v>
      </c>
      <c r="AE422" s="64">
        <v>4.99</v>
      </c>
      <c r="AF422" s="64">
        <f t="shared" si="41"/>
        <v>107.17999999999999</v>
      </c>
      <c r="AH422" s="65">
        <f t="shared" ref="AH422:AJ437" si="42">IF(E422=0,0,(E422/AD422)-1)</f>
        <v>-0.31284861532439578</v>
      </c>
      <c r="AI422" s="65">
        <f t="shared" si="42"/>
        <v>-3.8076152304609256E-2</v>
      </c>
      <c r="AJ422" s="65">
        <f t="shared" si="42"/>
        <v>-0.30005598059339433</v>
      </c>
    </row>
    <row r="423" spans="1:36" x14ac:dyDescent="0.3">
      <c r="A423" s="84" t="s">
        <v>834</v>
      </c>
      <c r="B423" s="58" t="s">
        <v>835</v>
      </c>
      <c r="C423" s="59">
        <v>1</v>
      </c>
      <c r="D423" s="60" t="s">
        <v>121</v>
      </c>
      <c r="E423" s="60">
        <v>73.5</v>
      </c>
      <c r="F423" s="60">
        <v>4.8</v>
      </c>
      <c r="G423" s="60">
        <v>78.3</v>
      </c>
      <c r="H423" s="61">
        <v>73.5</v>
      </c>
      <c r="I423" s="61">
        <v>4.8</v>
      </c>
      <c r="J423" s="62">
        <v>78.3</v>
      </c>
      <c r="M423" s="75"/>
      <c r="N423" s="76"/>
      <c r="V423" s="56">
        <v>1</v>
      </c>
      <c r="W423" s="56" t="s">
        <v>121</v>
      </c>
      <c r="X423" s="64">
        <v>83.89</v>
      </c>
      <c r="Y423" s="64">
        <v>3.91</v>
      </c>
      <c r="Z423" s="64">
        <f t="shared" si="40"/>
        <v>87.8</v>
      </c>
      <c r="AB423" s="56">
        <v>1</v>
      </c>
      <c r="AC423" s="56" t="s">
        <v>121</v>
      </c>
      <c r="AD423" s="64">
        <v>106.96</v>
      </c>
      <c r="AE423" s="64">
        <v>4.99</v>
      </c>
      <c r="AF423" s="64">
        <f t="shared" si="41"/>
        <v>111.94999999999999</v>
      </c>
      <c r="AH423" s="65">
        <f t="shared" si="42"/>
        <v>-0.31282722513089001</v>
      </c>
      <c r="AI423" s="65">
        <f t="shared" si="42"/>
        <v>-3.8076152304609256E-2</v>
      </c>
      <c r="AJ423" s="65">
        <f t="shared" si="42"/>
        <v>-0.30058061634658328</v>
      </c>
    </row>
    <row r="424" spans="1:36" x14ac:dyDescent="0.3">
      <c r="A424" s="84" t="s">
        <v>836</v>
      </c>
      <c r="B424" s="58" t="s">
        <v>837</v>
      </c>
      <c r="C424" s="59">
        <v>1</v>
      </c>
      <c r="D424" s="60" t="s">
        <v>121</v>
      </c>
      <c r="E424" s="60">
        <v>30.09</v>
      </c>
      <c r="F424" s="60">
        <v>4.8</v>
      </c>
      <c r="G424" s="60">
        <v>34.89</v>
      </c>
      <c r="H424" s="61">
        <v>30.09</v>
      </c>
      <c r="I424" s="61">
        <v>4.8</v>
      </c>
      <c r="J424" s="62">
        <v>34.89</v>
      </c>
      <c r="M424" s="75"/>
      <c r="N424" s="76"/>
      <c r="V424" s="56">
        <v>1</v>
      </c>
      <c r="W424" s="56" t="s">
        <v>121</v>
      </c>
      <c r="X424" s="64">
        <v>34.35</v>
      </c>
      <c r="Y424" s="64">
        <v>3.91</v>
      </c>
      <c r="Z424" s="64">
        <f t="shared" si="40"/>
        <v>38.260000000000005</v>
      </c>
      <c r="AB424" s="56">
        <v>1</v>
      </c>
      <c r="AC424" s="56" t="s">
        <v>121</v>
      </c>
      <c r="AD424" s="64">
        <v>43.8</v>
      </c>
      <c r="AE424" s="64">
        <v>4.99</v>
      </c>
      <c r="AF424" s="64">
        <f t="shared" si="41"/>
        <v>48.79</v>
      </c>
      <c r="AH424" s="65">
        <f t="shared" si="42"/>
        <v>-0.31301369863013695</v>
      </c>
      <c r="AI424" s="65">
        <f t="shared" si="42"/>
        <v>-3.8076152304609256E-2</v>
      </c>
      <c r="AJ424" s="65">
        <f t="shared" si="42"/>
        <v>-0.28489444558311128</v>
      </c>
    </row>
    <row r="425" spans="1:36" x14ac:dyDescent="0.3">
      <c r="A425" s="84" t="s">
        <v>838</v>
      </c>
      <c r="B425" s="58" t="s">
        <v>839</v>
      </c>
      <c r="C425" s="59">
        <v>1</v>
      </c>
      <c r="D425" s="60" t="s">
        <v>121</v>
      </c>
      <c r="E425" s="60">
        <v>34.11</v>
      </c>
      <c r="F425" s="60">
        <v>4.8</v>
      </c>
      <c r="G425" s="60">
        <v>38.909999999999997</v>
      </c>
      <c r="H425" s="61">
        <v>34.11</v>
      </c>
      <c r="I425" s="61">
        <v>4.8</v>
      </c>
      <c r="J425" s="62">
        <v>38.909999999999997</v>
      </c>
      <c r="M425" s="75"/>
      <c r="N425" s="76"/>
      <c r="V425" s="56">
        <v>1</v>
      </c>
      <c r="W425" s="56" t="s">
        <v>121</v>
      </c>
      <c r="X425" s="64">
        <v>38.93</v>
      </c>
      <c r="Y425" s="64">
        <v>3.91</v>
      </c>
      <c r="Z425" s="64">
        <f t="shared" si="40"/>
        <v>42.84</v>
      </c>
      <c r="AB425" s="56">
        <v>1</v>
      </c>
      <c r="AC425" s="56" t="s">
        <v>121</v>
      </c>
      <c r="AD425" s="64">
        <v>49.64</v>
      </c>
      <c r="AE425" s="64">
        <v>4.99</v>
      </c>
      <c r="AF425" s="64">
        <f t="shared" si="41"/>
        <v>54.63</v>
      </c>
      <c r="AH425" s="65">
        <f t="shared" si="42"/>
        <v>-0.31285253827558424</v>
      </c>
      <c r="AI425" s="65">
        <f t="shared" si="42"/>
        <v>-3.8076152304609256E-2</v>
      </c>
      <c r="AJ425" s="65">
        <f t="shared" si="42"/>
        <v>-0.28775398132894026</v>
      </c>
    </row>
    <row r="426" spans="1:36" x14ac:dyDescent="0.3">
      <c r="A426" s="84" t="s">
        <v>840</v>
      </c>
      <c r="B426" s="58" t="s">
        <v>841</v>
      </c>
      <c r="C426" s="59">
        <v>1</v>
      </c>
      <c r="D426" s="60" t="s">
        <v>121</v>
      </c>
      <c r="E426" s="60">
        <v>52.16</v>
      </c>
      <c r="F426" s="60">
        <v>4.8</v>
      </c>
      <c r="G426" s="60">
        <v>56.959999999999994</v>
      </c>
      <c r="H426" s="61">
        <v>52.16</v>
      </c>
      <c r="I426" s="61">
        <v>4.8</v>
      </c>
      <c r="J426" s="62">
        <v>56.959999999999994</v>
      </c>
      <c r="M426" s="75"/>
      <c r="N426" s="79"/>
      <c r="V426" s="56">
        <v>1</v>
      </c>
      <c r="W426" s="56" t="s">
        <v>121</v>
      </c>
      <c r="X426" s="64">
        <v>59.54</v>
      </c>
      <c r="Y426" s="64">
        <v>3.91</v>
      </c>
      <c r="Z426" s="64">
        <f t="shared" si="40"/>
        <v>63.45</v>
      </c>
      <c r="AB426" s="56">
        <v>1</v>
      </c>
      <c r="AC426" s="56" t="s">
        <v>121</v>
      </c>
      <c r="AD426" s="64">
        <v>75.91</v>
      </c>
      <c r="AE426" s="64">
        <v>4.99</v>
      </c>
      <c r="AF426" s="64">
        <f t="shared" si="41"/>
        <v>80.899999999999991</v>
      </c>
      <c r="AH426" s="65">
        <f t="shared" si="42"/>
        <v>-0.31287050454485577</v>
      </c>
      <c r="AI426" s="65">
        <f t="shared" si="42"/>
        <v>-3.8076152304609256E-2</v>
      </c>
      <c r="AJ426" s="65">
        <f t="shared" si="42"/>
        <v>-0.2959208899876391</v>
      </c>
    </row>
    <row r="427" spans="1:36" x14ac:dyDescent="0.3">
      <c r="A427" s="84" t="s">
        <v>842</v>
      </c>
      <c r="B427" s="58" t="s">
        <v>843</v>
      </c>
      <c r="C427" s="59">
        <v>1</v>
      </c>
      <c r="D427" s="60" t="s">
        <v>121</v>
      </c>
      <c r="E427" s="60">
        <v>70.22</v>
      </c>
      <c r="F427" s="60">
        <v>4.8</v>
      </c>
      <c r="G427" s="60">
        <v>75.02</v>
      </c>
      <c r="H427" s="61">
        <v>70.22</v>
      </c>
      <c r="I427" s="61">
        <v>4.8</v>
      </c>
      <c r="J427" s="62">
        <v>75.02</v>
      </c>
      <c r="M427" s="75"/>
      <c r="N427" s="76"/>
      <c r="V427" s="56">
        <v>1</v>
      </c>
      <c r="W427" s="56" t="s">
        <v>121</v>
      </c>
      <c r="X427" s="64">
        <v>80.150000000000006</v>
      </c>
      <c r="Y427" s="64">
        <v>3.91</v>
      </c>
      <c r="Z427" s="64">
        <f t="shared" si="40"/>
        <v>84.06</v>
      </c>
      <c r="AB427" s="56">
        <v>1</v>
      </c>
      <c r="AC427" s="56" t="s">
        <v>121</v>
      </c>
      <c r="AD427" s="64">
        <v>102.19</v>
      </c>
      <c r="AE427" s="64">
        <v>4.99</v>
      </c>
      <c r="AF427" s="64">
        <f t="shared" si="41"/>
        <v>107.17999999999999</v>
      </c>
      <c r="AH427" s="65">
        <f t="shared" si="42"/>
        <v>-0.31284861532439578</v>
      </c>
      <c r="AI427" s="65">
        <f t="shared" si="42"/>
        <v>-3.8076152304609256E-2</v>
      </c>
      <c r="AJ427" s="65">
        <f t="shared" si="42"/>
        <v>-0.30005598059339433</v>
      </c>
    </row>
    <row r="428" spans="1:36" x14ac:dyDescent="0.3">
      <c r="A428" s="84" t="s">
        <v>844</v>
      </c>
      <c r="B428" s="58" t="s">
        <v>845</v>
      </c>
      <c r="C428" s="59">
        <v>1</v>
      </c>
      <c r="D428" s="60" t="s">
        <v>121</v>
      </c>
      <c r="E428" s="60">
        <v>132.41</v>
      </c>
      <c r="F428" s="60">
        <v>4.8</v>
      </c>
      <c r="G428" s="60">
        <v>137.21</v>
      </c>
      <c r="H428" s="61">
        <v>132.41</v>
      </c>
      <c r="I428" s="61">
        <v>4.8</v>
      </c>
      <c r="J428" s="62">
        <v>137.21</v>
      </c>
      <c r="M428" s="75"/>
      <c r="N428" s="76"/>
      <c r="V428" s="56">
        <v>1</v>
      </c>
      <c r="W428" s="56" t="s">
        <v>121</v>
      </c>
      <c r="X428" s="64">
        <v>151.13999999999999</v>
      </c>
      <c r="Y428" s="64">
        <v>3.91</v>
      </c>
      <c r="Z428" s="64">
        <f t="shared" si="40"/>
        <v>155.04999999999998</v>
      </c>
      <c r="AB428" s="56">
        <v>1</v>
      </c>
      <c r="AC428" s="56" t="s">
        <v>121</v>
      </c>
      <c r="AD428" s="64">
        <v>192.7</v>
      </c>
      <c r="AE428" s="64">
        <v>4.99</v>
      </c>
      <c r="AF428" s="64">
        <f t="shared" si="41"/>
        <v>197.69</v>
      </c>
      <c r="AH428" s="65">
        <f t="shared" si="42"/>
        <v>-0.31286974571873372</v>
      </c>
      <c r="AI428" s="65">
        <f t="shared" si="42"/>
        <v>-3.8076152304609256E-2</v>
      </c>
      <c r="AJ428" s="65">
        <f t="shared" si="42"/>
        <v>-0.30593353229804232</v>
      </c>
    </row>
    <row r="429" spans="1:36" x14ac:dyDescent="0.3">
      <c r="A429" s="84" t="s">
        <v>846</v>
      </c>
      <c r="B429" s="58" t="s">
        <v>847</v>
      </c>
      <c r="C429" s="59">
        <v>1</v>
      </c>
      <c r="D429" s="60" t="s">
        <v>121</v>
      </c>
      <c r="E429" s="60">
        <v>192.6</v>
      </c>
      <c r="F429" s="60">
        <v>4.8</v>
      </c>
      <c r="G429" s="60">
        <v>197.4</v>
      </c>
      <c r="H429" s="61">
        <v>192.6</v>
      </c>
      <c r="I429" s="61">
        <v>4.8</v>
      </c>
      <c r="J429" s="62">
        <v>197.4</v>
      </c>
      <c r="M429" s="75"/>
      <c r="N429" s="76"/>
      <c r="V429" s="56">
        <v>1</v>
      </c>
      <c r="W429" s="56" t="s">
        <v>121</v>
      </c>
      <c r="X429" s="64">
        <v>219.84</v>
      </c>
      <c r="Y429" s="64">
        <v>3.91</v>
      </c>
      <c r="Z429" s="64">
        <f t="shared" si="40"/>
        <v>223.75</v>
      </c>
      <c r="AB429" s="56">
        <v>1</v>
      </c>
      <c r="AC429" s="56" t="s">
        <v>121</v>
      </c>
      <c r="AD429" s="64">
        <v>280.3</v>
      </c>
      <c r="AE429" s="64">
        <v>4.99</v>
      </c>
      <c r="AF429" s="64">
        <f t="shared" si="41"/>
        <v>285.29000000000002</v>
      </c>
      <c r="AH429" s="65">
        <f t="shared" si="42"/>
        <v>-0.31287905815198003</v>
      </c>
      <c r="AI429" s="65">
        <f t="shared" si="42"/>
        <v>-3.8076152304609256E-2</v>
      </c>
      <c r="AJ429" s="65">
        <f t="shared" si="42"/>
        <v>-0.30807248764415163</v>
      </c>
    </row>
    <row r="430" spans="1:36" x14ac:dyDescent="0.3">
      <c r="A430" s="84" t="s">
        <v>848</v>
      </c>
      <c r="B430" s="58" t="s">
        <v>849</v>
      </c>
      <c r="C430" s="59">
        <v>1</v>
      </c>
      <c r="D430" s="60" t="s">
        <v>121</v>
      </c>
      <c r="E430" s="60">
        <v>104.33</v>
      </c>
      <c r="F430" s="60">
        <v>4.8</v>
      </c>
      <c r="G430" s="60">
        <v>109.13</v>
      </c>
      <c r="H430" s="61">
        <v>104.33</v>
      </c>
      <c r="I430" s="61">
        <v>4.8</v>
      </c>
      <c r="J430" s="62">
        <v>109.13</v>
      </c>
      <c r="M430" s="75"/>
      <c r="N430" s="76"/>
      <c r="V430" s="56">
        <v>1</v>
      </c>
      <c r="W430" s="56" t="s">
        <v>121</v>
      </c>
      <c r="X430" s="64">
        <v>119.08</v>
      </c>
      <c r="Y430" s="64">
        <v>3.91</v>
      </c>
      <c r="Z430" s="64">
        <f t="shared" si="40"/>
        <v>122.99</v>
      </c>
      <c r="AB430" s="56">
        <v>1</v>
      </c>
      <c r="AC430" s="56" t="s">
        <v>121</v>
      </c>
      <c r="AD430" s="64">
        <v>151.83000000000001</v>
      </c>
      <c r="AE430" s="64">
        <v>4.99</v>
      </c>
      <c r="AF430" s="64">
        <f t="shared" si="41"/>
        <v>156.82000000000002</v>
      </c>
      <c r="AH430" s="65">
        <f t="shared" si="42"/>
        <v>-0.31284989791213869</v>
      </c>
      <c r="AI430" s="65">
        <f t="shared" si="42"/>
        <v>-3.8076152304609256E-2</v>
      </c>
      <c r="AJ430" s="65">
        <f t="shared" si="42"/>
        <v>-0.3041066190536923</v>
      </c>
    </row>
    <row r="431" spans="1:36" x14ac:dyDescent="0.3">
      <c r="A431" s="82">
        <v>22</v>
      </c>
      <c r="B431" s="83" t="s">
        <v>850</v>
      </c>
      <c r="C431" s="71"/>
      <c r="D431" s="72"/>
      <c r="E431" s="72"/>
      <c r="F431" s="72"/>
      <c r="G431" s="72"/>
      <c r="H431" s="52">
        <v>58166.920000000006</v>
      </c>
      <c r="I431" s="52">
        <v>28349.61</v>
      </c>
      <c r="J431" s="52">
        <v>86516.53</v>
      </c>
      <c r="M431" s="75"/>
      <c r="N431" s="76"/>
      <c r="V431" s="54"/>
      <c r="W431" s="54"/>
      <c r="X431" s="55"/>
      <c r="Y431" s="55"/>
      <c r="Z431" s="55"/>
      <c r="AB431" s="54"/>
      <c r="AC431" s="54"/>
      <c r="AD431" s="55"/>
      <c r="AE431" s="55"/>
      <c r="AF431" s="55"/>
      <c r="AH431" s="65">
        <f t="shared" si="42"/>
        <v>0</v>
      </c>
      <c r="AI431" s="65">
        <f t="shared" si="42"/>
        <v>0</v>
      </c>
      <c r="AJ431" s="65">
        <f t="shared" si="42"/>
        <v>0</v>
      </c>
    </row>
    <row r="432" spans="1:36" x14ac:dyDescent="0.3">
      <c r="A432" s="84" t="s">
        <v>851</v>
      </c>
      <c r="B432" s="58" t="s">
        <v>852</v>
      </c>
      <c r="C432" s="59">
        <v>214</v>
      </c>
      <c r="D432" s="60" t="s">
        <v>121</v>
      </c>
      <c r="E432" s="60">
        <v>124.41</v>
      </c>
      <c r="F432" s="60">
        <v>27.66</v>
      </c>
      <c r="G432" s="60">
        <v>152.07</v>
      </c>
      <c r="H432" s="61">
        <v>26623.739999999998</v>
      </c>
      <c r="I432" s="61">
        <v>5919.24</v>
      </c>
      <c r="J432" s="62">
        <v>32542.98</v>
      </c>
      <c r="M432" s="75"/>
      <c r="N432" s="76"/>
      <c r="V432" s="56">
        <v>28</v>
      </c>
      <c r="W432" s="56" t="s">
        <v>121</v>
      </c>
      <c r="X432" s="64">
        <v>142</v>
      </c>
      <c r="Y432" s="64">
        <v>23.47</v>
      </c>
      <c r="Z432" s="64">
        <f t="shared" ref="Z432:Z443" si="43">SUM(X432:Y432)</f>
        <v>165.47</v>
      </c>
      <c r="AB432" s="56">
        <v>28</v>
      </c>
      <c r="AC432" s="56" t="s">
        <v>121</v>
      </c>
      <c r="AD432" s="64">
        <v>181.05</v>
      </c>
      <c r="AE432" s="64">
        <v>29.92</v>
      </c>
      <c r="AF432" s="64">
        <f t="shared" ref="AF432:AF443" si="44">SUM(AD432:AE432)</f>
        <v>210.97000000000003</v>
      </c>
      <c r="AH432" s="65">
        <f t="shared" si="42"/>
        <v>-0.3128417564208783</v>
      </c>
      <c r="AI432" s="65">
        <f t="shared" si="42"/>
        <v>-7.5534759358288794E-2</v>
      </c>
      <c r="AJ432" s="65">
        <f t="shared" si="42"/>
        <v>-0.27918661421055135</v>
      </c>
    </row>
    <row r="433" spans="1:36" x14ac:dyDescent="0.3">
      <c r="A433" s="84" t="s">
        <v>853</v>
      </c>
      <c r="B433" s="58" t="s">
        <v>854</v>
      </c>
      <c r="C433" s="59">
        <v>17</v>
      </c>
      <c r="D433" s="60" t="s">
        <v>121</v>
      </c>
      <c r="E433" s="60">
        <v>131.33000000000001</v>
      </c>
      <c r="F433" s="60">
        <v>16.600000000000001</v>
      </c>
      <c r="G433" s="60">
        <v>147.93</v>
      </c>
      <c r="H433" s="61">
        <v>2232.61</v>
      </c>
      <c r="I433" s="61">
        <v>282.20000000000005</v>
      </c>
      <c r="J433" s="62">
        <v>2514.81</v>
      </c>
      <c r="M433" s="75"/>
      <c r="N433" s="76"/>
      <c r="V433" s="56">
        <v>9</v>
      </c>
      <c r="W433" s="56" t="s">
        <v>121</v>
      </c>
      <c r="X433" s="64">
        <v>149.9</v>
      </c>
      <c r="Y433" s="64">
        <v>14.08</v>
      </c>
      <c r="Z433" s="64">
        <f t="shared" si="43"/>
        <v>163.98000000000002</v>
      </c>
      <c r="AB433" s="56">
        <v>9</v>
      </c>
      <c r="AC433" s="56" t="s">
        <v>121</v>
      </c>
      <c r="AD433" s="64">
        <v>191.12</v>
      </c>
      <c r="AE433" s="64">
        <v>17.95</v>
      </c>
      <c r="AF433" s="64">
        <f t="shared" si="44"/>
        <v>209.07</v>
      </c>
      <c r="AH433" s="65">
        <f t="shared" si="42"/>
        <v>-0.31284010046044364</v>
      </c>
      <c r="AI433" s="65">
        <f t="shared" si="42"/>
        <v>-7.5208913649024933E-2</v>
      </c>
      <c r="AJ433" s="65">
        <f t="shared" si="42"/>
        <v>-0.29243793944611851</v>
      </c>
    </row>
    <row r="434" spans="1:36" x14ac:dyDescent="0.3">
      <c r="A434" s="84" t="s">
        <v>855</v>
      </c>
      <c r="B434" s="58" t="s">
        <v>856</v>
      </c>
      <c r="C434" s="59">
        <v>92</v>
      </c>
      <c r="D434" s="60" t="s">
        <v>121</v>
      </c>
      <c r="E434" s="60">
        <v>49.59</v>
      </c>
      <c r="F434" s="60">
        <v>16.600000000000001</v>
      </c>
      <c r="G434" s="60">
        <v>66.19</v>
      </c>
      <c r="H434" s="61">
        <v>4562.2800000000007</v>
      </c>
      <c r="I434" s="61">
        <v>1527.2</v>
      </c>
      <c r="J434" s="62">
        <v>6089.48</v>
      </c>
      <c r="M434" s="75"/>
      <c r="N434" s="76"/>
      <c r="V434" s="56">
        <v>135</v>
      </c>
      <c r="W434" s="56" t="s">
        <v>121</v>
      </c>
      <c r="X434" s="64">
        <v>56.6</v>
      </c>
      <c r="Y434" s="64">
        <v>14.08</v>
      </c>
      <c r="Z434" s="64">
        <f t="shared" si="43"/>
        <v>70.680000000000007</v>
      </c>
      <c r="AB434" s="56">
        <v>135</v>
      </c>
      <c r="AC434" s="56" t="s">
        <v>121</v>
      </c>
      <c r="AD434" s="64">
        <v>72.17</v>
      </c>
      <c r="AE434" s="64">
        <v>17.95</v>
      </c>
      <c r="AF434" s="64">
        <f t="shared" si="44"/>
        <v>90.12</v>
      </c>
      <c r="AH434" s="65">
        <f t="shared" si="42"/>
        <v>-0.31287238464736034</v>
      </c>
      <c r="AI434" s="65">
        <f t="shared" si="42"/>
        <v>-7.5208913649024933E-2</v>
      </c>
      <c r="AJ434" s="65">
        <f t="shared" si="42"/>
        <v>-0.26553484243231251</v>
      </c>
    </row>
    <row r="435" spans="1:36" x14ac:dyDescent="0.3">
      <c r="A435" s="84" t="s">
        <v>857</v>
      </c>
      <c r="B435" s="58" t="s">
        <v>858</v>
      </c>
      <c r="C435" s="59">
        <v>71</v>
      </c>
      <c r="D435" s="60" t="s">
        <v>121</v>
      </c>
      <c r="E435" s="60">
        <v>46.64</v>
      </c>
      <c r="F435" s="60">
        <v>27.66</v>
      </c>
      <c r="G435" s="60">
        <v>74.3</v>
      </c>
      <c r="H435" s="61">
        <v>3311.44</v>
      </c>
      <c r="I435" s="61">
        <v>1963.86</v>
      </c>
      <c r="J435" s="62">
        <v>5275.3</v>
      </c>
      <c r="M435" s="75"/>
      <c r="N435" s="76"/>
      <c r="V435" s="56">
        <v>17</v>
      </c>
      <c r="W435" s="56" t="s">
        <v>121</v>
      </c>
      <c r="X435" s="64">
        <v>53.24</v>
      </c>
      <c r="Y435" s="64">
        <v>23.47</v>
      </c>
      <c r="Z435" s="64">
        <f t="shared" si="43"/>
        <v>76.710000000000008</v>
      </c>
      <c r="AB435" s="56">
        <v>17</v>
      </c>
      <c r="AC435" s="56" t="s">
        <v>121</v>
      </c>
      <c r="AD435" s="64">
        <v>67.88</v>
      </c>
      <c r="AE435" s="64">
        <v>29.92</v>
      </c>
      <c r="AF435" s="64">
        <f t="shared" si="44"/>
        <v>97.8</v>
      </c>
      <c r="AH435" s="65">
        <f t="shared" si="42"/>
        <v>-0.31290512669416615</v>
      </c>
      <c r="AI435" s="65">
        <f t="shared" si="42"/>
        <v>-7.5534759358288794E-2</v>
      </c>
      <c r="AJ435" s="65">
        <f t="shared" si="42"/>
        <v>-0.24028629856850714</v>
      </c>
    </row>
    <row r="436" spans="1:36" x14ac:dyDescent="0.3">
      <c r="A436" s="84" t="s">
        <v>859</v>
      </c>
      <c r="B436" s="58" t="s">
        <v>860</v>
      </c>
      <c r="C436" s="59">
        <v>59</v>
      </c>
      <c r="D436" s="60" t="s">
        <v>121</v>
      </c>
      <c r="E436" s="60">
        <v>33.6</v>
      </c>
      <c r="F436" s="60">
        <v>27.66</v>
      </c>
      <c r="G436" s="60">
        <v>61.260000000000005</v>
      </c>
      <c r="H436" s="61">
        <v>1982.4</v>
      </c>
      <c r="I436" s="61">
        <v>1631.94</v>
      </c>
      <c r="J436" s="62">
        <v>3614.34</v>
      </c>
      <c r="M436" s="75"/>
      <c r="N436" s="76"/>
      <c r="V436" s="56">
        <v>6</v>
      </c>
      <c r="W436" s="56" t="s">
        <v>121</v>
      </c>
      <c r="X436" s="64">
        <v>41.88</v>
      </c>
      <c r="Y436" s="64">
        <v>23.47</v>
      </c>
      <c r="Z436" s="64">
        <f t="shared" si="43"/>
        <v>65.349999999999994</v>
      </c>
      <c r="AB436" s="56">
        <v>6</v>
      </c>
      <c r="AC436" s="56" t="s">
        <v>121</v>
      </c>
      <c r="AD436" s="64">
        <v>53.4</v>
      </c>
      <c r="AE436" s="64">
        <v>29.92</v>
      </c>
      <c r="AF436" s="64">
        <f t="shared" si="44"/>
        <v>83.32</v>
      </c>
      <c r="AH436" s="65">
        <f t="shared" si="42"/>
        <v>-0.37078651685393249</v>
      </c>
      <c r="AI436" s="65">
        <f t="shared" si="42"/>
        <v>-7.5534759358288794E-2</v>
      </c>
      <c r="AJ436" s="65">
        <f t="shared" si="42"/>
        <v>-0.26476236197791636</v>
      </c>
    </row>
    <row r="437" spans="1:36" x14ac:dyDescent="0.3">
      <c r="A437" s="84" t="s">
        <v>861</v>
      </c>
      <c r="B437" s="58" t="s">
        <v>862</v>
      </c>
      <c r="C437" s="59">
        <v>1</v>
      </c>
      <c r="D437" s="60" t="s">
        <v>121</v>
      </c>
      <c r="E437" s="60">
        <v>82.66</v>
      </c>
      <c r="F437" s="60">
        <v>22.12</v>
      </c>
      <c r="G437" s="60">
        <v>104.78</v>
      </c>
      <c r="H437" s="61">
        <v>82.66</v>
      </c>
      <c r="I437" s="61">
        <v>22.12</v>
      </c>
      <c r="J437" s="62">
        <v>104.78</v>
      </c>
      <c r="M437" s="75"/>
      <c r="N437" s="76"/>
      <c r="V437" s="56">
        <v>7</v>
      </c>
      <c r="W437" s="56" t="s">
        <v>121</v>
      </c>
      <c r="X437" s="64">
        <v>94.35</v>
      </c>
      <c r="Y437" s="64">
        <v>18.78</v>
      </c>
      <c r="Z437" s="64">
        <f t="shared" si="43"/>
        <v>113.13</v>
      </c>
      <c r="AB437" s="56">
        <v>7</v>
      </c>
      <c r="AC437" s="56" t="s">
        <v>121</v>
      </c>
      <c r="AD437" s="64">
        <v>120.3</v>
      </c>
      <c r="AE437" s="64">
        <v>23.94</v>
      </c>
      <c r="AF437" s="64">
        <f t="shared" si="44"/>
        <v>144.24</v>
      </c>
      <c r="AH437" s="65">
        <f t="shared" si="42"/>
        <v>-0.31288445552784705</v>
      </c>
      <c r="AI437" s="65">
        <f t="shared" si="42"/>
        <v>-7.6023391812865548E-2</v>
      </c>
      <c r="AJ437" s="65">
        <f t="shared" si="42"/>
        <v>-0.27357182473655028</v>
      </c>
    </row>
    <row r="438" spans="1:36" x14ac:dyDescent="0.3">
      <c r="A438" s="84" t="s">
        <v>863</v>
      </c>
      <c r="B438" s="58" t="s">
        <v>864</v>
      </c>
      <c r="C438" s="59">
        <v>75</v>
      </c>
      <c r="D438" s="60" t="s">
        <v>121</v>
      </c>
      <c r="E438" s="60">
        <v>149.88</v>
      </c>
      <c r="F438" s="60">
        <v>193.62</v>
      </c>
      <c r="G438" s="60">
        <v>343.5</v>
      </c>
      <c r="H438" s="61">
        <v>11241</v>
      </c>
      <c r="I438" s="61">
        <v>14521.5</v>
      </c>
      <c r="J438" s="62">
        <v>25762.5</v>
      </c>
      <c r="M438" s="75"/>
      <c r="N438" s="76"/>
      <c r="V438" s="56">
        <v>84</v>
      </c>
      <c r="W438" s="56" t="s">
        <v>121</v>
      </c>
      <c r="X438" s="64">
        <v>163.66999999999999</v>
      </c>
      <c r="Y438" s="64">
        <v>164.29</v>
      </c>
      <c r="Z438" s="64">
        <f t="shared" si="43"/>
        <v>327.96</v>
      </c>
      <c r="AB438" s="56">
        <v>84</v>
      </c>
      <c r="AC438" s="56" t="s">
        <v>121</v>
      </c>
      <c r="AD438" s="64">
        <v>208.68</v>
      </c>
      <c r="AE438" s="64">
        <v>209.47</v>
      </c>
      <c r="AF438" s="64">
        <f t="shared" si="44"/>
        <v>418.15</v>
      </c>
      <c r="AH438" s="65">
        <f t="shared" ref="AH438:AJ502" si="45">IF(E438=0,0,(E438/AD438)-1)</f>
        <v>-0.28177113283496269</v>
      </c>
      <c r="AI438" s="65">
        <f t="shared" si="45"/>
        <v>-7.5667159975175369E-2</v>
      </c>
      <c r="AJ438" s="65">
        <f t="shared" si="45"/>
        <v>-0.17852445294750685</v>
      </c>
    </row>
    <row r="439" spans="1:36" x14ac:dyDescent="0.3">
      <c r="A439" s="84" t="s">
        <v>865</v>
      </c>
      <c r="B439" s="58" t="s">
        <v>866</v>
      </c>
      <c r="C439" s="59">
        <v>14</v>
      </c>
      <c r="D439" s="60" t="s">
        <v>121</v>
      </c>
      <c r="E439" s="60">
        <v>20.190000000000001</v>
      </c>
      <c r="F439" s="60">
        <v>8.85</v>
      </c>
      <c r="G439" s="60">
        <v>29.04</v>
      </c>
      <c r="H439" s="61">
        <v>282.66000000000003</v>
      </c>
      <c r="I439" s="61">
        <v>123.89999999999999</v>
      </c>
      <c r="J439" s="62">
        <v>406.56</v>
      </c>
      <c r="M439" s="75"/>
      <c r="N439" s="76"/>
      <c r="V439" s="56">
        <v>1</v>
      </c>
      <c r="W439" s="56" t="s">
        <v>121</v>
      </c>
      <c r="X439" s="64">
        <v>17.899999999999999</v>
      </c>
      <c r="Y439" s="64">
        <v>7.51</v>
      </c>
      <c r="Z439" s="64">
        <f t="shared" si="43"/>
        <v>25.409999999999997</v>
      </c>
      <c r="AB439" s="56">
        <v>1</v>
      </c>
      <c r="AC439" s="56" t="s">
        <v>121</v>
      </c>
      <c r="AD439" s="64">
        <v>22.82</v>
      </c>
      <c r="AE439" s="64">
        <v>9.58</v>
      </c>
      <c r="AF439" s="64">
        <f t="shared" si="44"/>
        <v>32.4</v>
      </c>
      <c r="AH439" s="65">
        <f t="shared" si="45"/>
        <v>-0.11524978089395266</v>
      </c>
      <c r="AI439" s="65">
        <f t="shared" si="45"/>
        <v>-7.6200417536534504E-2</v>
      </c>
      <c r="AJ439" s="65">
        <f t="shared" si="45"/>
        <v>-0.10370370370370374</v>
      </c>
    </row>
    <row r="440" spans="1:36" x14ac:dyDescent="0.3">
      <c r="A440" s="84" t="s">
        <v>867</v>
      </c>
      <c r="B440" s="58" t="s">
        <v>868</v>
      </c>
      <c r="C440" s="59">
        <v>33</v>
      </c>
      <c r="D440" s="60" t="s">
        <v>483</v>
      </c>
      <c r="E440" s="60">
        <v>37.590000000000003</v>
      </c>
      <c r="F440" s="60">
        <v>49.01</v>
      </c>
      <c r="G440" s="60">
        <v>86.6</v>
      </c>
      <c r="H440" s="61">
        <v>1240.47</v>
      </c>
      <c r="I440" s="61">
        <v>1617.33</v>
      </c>
      <c r="J440" s="62">
        <v>2857.7999999999997</v>
      </c>
      <c r="M440" s="75"/>
      <c r="N440" s="79"/>
      <c r="V440" s="56">
        <v>1</v>
      </c>
      <c r="W440" s="56" t="s">
        <v>483</v>
      </c>
      <c r="X440" s="64">
        <v>59.12</v>
      </c>
      <c r="Y440" s="64">
        <v>39.26</v>
      </c>
      <c r="Z440" s="64">
        <f t="shared" si="43"/>
        <v>98.38</v>
      </c>
      <c r="AB440" s="56">
        <v>1</v>
      </c>
      <c r="AC440" s="56" t="s">
        <v>483</v>
      </c>
      <c r="AD440" s="64">
        <v>75.38</v>
      </c>
      <c r="AE440" s="64">
        <v>50.06</v>
      </c>
      <c r="AF440" s="64">
        <f t="shared" si="44"/>
        <v>125.44</v>
      </c>
      <c r="AH440" s="65">
        <f t="shared" si="45"/>
        <v>-0.50132661183337746</v>
      </c>
      <c r="AI440" s="65">
        <f t="shared" si="45"/>
        <v>-2.0974830203755568E-2</v>
      </c>
      <c r="AJ440" s="65">
        <f t="shared" si="45"/>
        <v>-0.30963010204081631</v>
      </c>
    </row>
    <row r="441" spans="1:36" x14ac:dyDescent="0.3">
      <c r="A441" s="84" t="s">
        <v>869</v>
      </c>
      <c r="B441" s="58" t="s">
        <v>870</v>
      </c>
      <c r="C441" s="59">
        <v>25</v>
      </c>
      <c r="D441" s="60" t="s">
        <v>121</v>
      </c>
      <c r="E441" s="60">
        <v>14.61</v>
      </c>
      <c r="F441" s="60">
        <v>3.87</v>
      </c>
      <c r="G441" s="60">
        <v>18.48</v>
      </c>
      <c r="H441" s="61">
        <v>365.25</v>
      </c>
      <c r="I441" s="61">
        <v>96.75</v>
      </c>
      <c r="J441" s="62">
        <v>462</v>
      </c>
      <c r="M441" s="75"/>
      <c r="N441" s="76"/>
      <c r="V441" s="56">
        <v>1</v>
      </c>
      <c r="W441" s="56" t="s">
        <v>121</v>
      </c>
      <c r="X441" s="64">
        <v>17.03</v>
      </c>
      <c r="Y441" s="64">
        <v>3.29</v>
      </c>
      <c r="Z441" s="64">
        <f t="shared" si="43"/>
        <v>20.32</v>
      </c>
      <c r="AB441" s="56">
        <v>1</v>
      </c>
      <c r="AC441" s="56" t="s">
        <v>121</v>
      </c>
      <c r="AD441" s="64">
        <v>21.71</v>
      </c>
      <c r="AE441" s="64">
        <v>4.1900000000000004</v>
      </c>
      <c r="AF441" s="64">
        <f t="shared" si="44"/>
        <v>25.900000000000002</v>
      </c>
      <c r="AH441" s="65">
        <f t="shared" si="45"/>
        <v>-0.3270382312298481</v>
      </c>
      <c r="AI441" s="65">
        <f t="shared" si="45"/>
        <v>-7.6372315035799554E-2</v>
      </c>
      <c r="AJ441" s="65">
        <f t="shared" si="45"/>
        <v>-0.28648648648648656</v>
      </c>
    </row>
    <row r="442" spans="1:36" x14ac:dyDescent="0.3">
      <c r="A442" s="84" t="s">
        <v>871</v>
      </c>
      <c r="B442" s="58" t="s">
        <v>872</v>
      </c>
      <c r="C442" s="59">
        <v>13</v>
      </c>
      <c r="D442" s="60" t="s">
        <v>121</v>
      </c>
      <c r="E442" s="60">
        <v>467.21</v>
      </c>
      <c r="F442" s="60">
        <v>45.25</v>
      </c>
      <c r="G442" s="60">
        <v>512.46</v>
      </c>
      <c r="H442" s="61">
        <v>6073.73</v>
      </c>
      <c r="I442" s="61">
        <v>588.25</v>
      </c>
      <c r="J442" s="62">
        <v>6661.9800000000005</v>
      </c>
      <c r="M442" s="75"/>
      <c r="N442" s="76"/>
      <c r="V442" s="56">
        <v>1</v>
      </c>
      <c r="W442" s="56" t="s">
        <v>121</v>
      </c>
      <c r="X442" s="64">
        <v>464.4</v>
      </c>
      <c r="Y442" s="64">
        <v>38.4</v>
      </c>
      <c r="Z442" s="64">
        <f t="shared" si="43"/>
        <v>502.79999999999995</v>
      </c>
      <c r="AB442" s="56">
        <v>1</v>
      </c>
      <c r="AC442" s="56" t="s">
        <v>121</v>
      </c>
      <c r="AD442" s="64">
        <v>592.11</v>
      </c>
      <c r="AE442" s="64">
        <v>48.96</v>
      </c>
      <c r="AF442" s="64">
        <f t="shared" si="44"/>
        <v>641.07000000000005</v>
      </c>
      <c r="AH442" s="65">
        <f t="shared" si="45"/>
        <v>-0.21094053469794471</v>
      </c>
      <c r="AI442" s="65">
        <f t="shared" si="45"/>
        <v>-7.5776143790849737E-2</v>
      </c>
      <c r="AJ442" s="65">
        <f t="shared" si="45"/>
        <v>-0.20061771725396604</v>
      </c>
    </row>
    <row r="443" spans="1:36" x14ac:dyDescent="0.3">
      <c r="A443" s="84" t="s">
        <v>873</v>
      </c>
      <c r="B443" s="58" t="s">
        <v>874</v>
      </c>
      <c r="C443" s="59">
        <v>1</v>
      </c>
      <c r="D443" s="60" t="s">
        <v>121</v>
      </c>
      <c r="E443" s="60">
        <v>168.68</v>
      </c>
      <c r="F443" s="60">
        <v>55.32</v>
      </c>
      <c r="G443" s="60">
        <v>224</v>
      </c>
      <c r="H443" s="61">
        <v>168.68</v>
      </c>
      <c r="I443" s="61">
        <v>55.32</v>
      </c>
      <c r="J443" s="62">
        <v>224</v>
      </c>
      <c r="M443" s="75"/>
      <c r="N443" s="76"/>
      <c r="V443" s="56">
        <v>1</v>
      </c>
      <c r="W443" s="56" t="s">
        <v>121</v>
      </c>
      <c r="X443" s="64">
        <v>192.53</v>
      </c>
      <c r="Y443" s="64">
        <v>46.94</v>
      </c>
      <c r="Z443" s="64">
        <f t="shared" si="43"/>
        <v>239.47</v>
      </c>
      <c r="AB443" s="56">
        <v>1</v>
      </c>
      <c r="AC443" s="56" t="s">
        <v>121</v>
      </c>
      <c r="AD443" s="64">
        <v>245.48</v>
      </c>
      <c r="AE443" s="64">
        <v>59.85</v>
      </c>
      <c r="AF443" s="64">
        <f t="shared" si="44"/>
        <v>305.33</v>
      </c>
      <c r="AH443" s="65">
        <f t="shared" si="45"/>
        <v>-0.3128564445168649</v>
      </c>
      <c r="AI443" s="65">
        <f t="shared" si="45"/>
        <v>-7.5689223057644139E-2</v>
      </c>
      <c r="AJ443" s="65">
        <f t="shared" si="45"/>
        <v>-0.26636753676350178</v>
      </c>
    </row>
    <row r="444" spans="1:36" x14ac:dyDescent="0.3">
      <c r="A444" s="82">
        <v>23</v>
      </c>
      <c r="B444" s="83" t="s">
        <v>875</v>
      </c>
      <c r="C444" s="71"/>
      <c r="D444" s="72"/>
      <c r="E444" s="72"/>
      <c r="F444" s="72"/>
      <c r="G444" s="72"/>
      <c r="H444" s="77">
        <v>0</v>
      </c>
      <c r="I444" s="77">
        <v>0</v>
      </c>
      <c r="J444" s="52">
        <v>0</v>
      </c>
      <c r="M444" s="75"/>
      <c r="N444" s="76"/>
      <c r="V444" s="54"/>
      <c r="W444" s="54"/>
      <c r="X444" s="55"/>
      <c r="Y444" s="55"/>
      <c r="Z444" s="55"/>
      <c r="AB444" s="54"/>
      <c r="AC444" s="54"/>
      <c r="AD444" s="55"/>
      <c r="AE444" s="55"/>
      <c r="AF444" s="55"/>
      <c r="AH444" s="65">
        <f t="shared" si="45"/>
        <v>0</v>
      </c>
      <c r="AI444" s="65">
        <f t="shared" si="45"/>
        <v>0</v>
      </c>
      <c r="AJ444" s="65">
        <f t="shared" si="45"/>
        <v>0</v>
      </c>
    </row>
    <row r="445" spans="1:36" x14ac:dyDescent="0.3">
      <c r="A445" s="82">
        <v>24</v>
      </c>
      <c r="B445" s="83" t="s">
        <v>876</v>
      </c>
      <c r="C445" s="71"/>
      <c r="D445" s="72"/>
      <c r="E445" s="72"/>
      <c r="F445" s="72"/>
      <c r="G445" s="72"/>
      <c r="H445" s="77">
        <v>0</v>
      </c>
      <c r="I445" s="77">
        <v>0</v>
      </c>
      <c r="J445" s="52">
        <v>0</v>
      </c>
      <c r="M445" s="75"/>
      <c r="N445" s="76"/>
      <c r="V445" s="54"/>
      <c r="W445" s="54"/>
      <c r="X445" s="55"/>
      <c r="Y445" s="55"/>
      <c r="Z445" s="55"/>
      <c r="AB445" s="54"/>
      <c r="AC445" s="54"/>
      <c r="AD445" s="55"/>
      <c r="AE445" s="55"/>
      <c r="AF445" s="55"/>
      <c r="AH445" s="65">
        <f t="shared" si="45"/>
        <v>0</v>
      </c>
      <c r="AI445" s="65">
        <f t="shared" si="45"/>
        <v>0</v>
      </c>
      <c r="AJ445" s="65">
        <f t="shared" si="45"/>
        <v>0</v>
      </c>
    </row>
    <row r="446" spans="1:36" x14ac:dyDescent="0.3">
      <c r="A446" s="82">
        <v>25</v>
      </c>
      <c r="B446" s="83" t="s">
        <v>877</v>
      </c>
      <c r="C446" s="71"/>
      <c r="D446" s="72"/>
      <c r="E446" s="72"/>
      <c r="F446" s="72"/>
      <c r="G446" s="72"/>
      <c r="H446" s="77">
        <v>0</v>
      </c>
      <c r="I446" s="77">
        <v>0</v>
      </c>
      <c r="J446" s="52">
        <v>0</v>
      </c>
      <c r="M446" s="75"/>
      <c r="N446" s="76"/>
      <c r="V446" s="54"/>
      <c r="W446" s="54"/>
      <c r="X446" s="55"/>
      <c r="Y446" s="55"/>
      <c r="Z446" s="55"/>
      <c r="AB446" s="54"/>
      <c r="AC446" s="54"/>
      <c r="AD446" s="55"/>
      <c r="AE446" s="55"/>
      <c r="AF446" s="55"/>
      <c r="AH446" s="65">
        <f t="shared" si="45"/>
        <v>0</v>
      </c>
      <c r="AI446" s="65">
        <f t="shared" si="45"/>
        <v>0</v>
      </c>
      <c r="AJ446" s="65">
        <f t="shared" si="45"/>
        <v>0</v>
      </c>
    </row>
    <row r="447" spans="1:36" x14ac:dyDescent="0.3">
      <c r="A447" s="82">
        <v>26</v>
      </c>
      <c r="B447" s="85" t="s">
        <v>878</v>
      </c>
      <c r="C447" s="71"/>
      <c r="D447" s="72"/>
      <c r="E447" s="72"/>
      <c r="F447" s="72"/>
      <c r="G447" s="72"/>
      <c r="H447" s="77">
        <v>0</v>
      </c>
      <c r="I447" s="77">
        <v>0</v>
      </c>
      <c r="J447" s="52">
        <v>0</v>
      </c>
      <c r="M447" s="75"/>
      <c r="N447" s="76"/>
      <c r="V447" s="54"/>
      <c r="W447" s="54"/>
      <c r="X447" s="55"/>
      <c r="Y447" s="55"/>
      <c r="Z447" s="55"/>
      <c r="AB447" s="54"/>
      <c r="AC447" s="54"/>
      <c r="AD447" s="55"/>
      <c r="AE447" s="55"/>
      <c r="AF447" s="55"/>
      <c r="AH447" s="65">
        <f t="shared" si="45"/>
        <v>0</v>
      </c>
      <c r="AI447" s="65">
        <f t="shared" si="45"/>
        <v>0</v>
      </c>
      <c r="AJ447" s="65">
        <f t="shared" si="45"/>
        <v>0</v>
      </c>
    </row>
    <row r="448" spans="1:36" x14ac:dyDescent="0.3">
      <c r="A448" s="82">
        <v>27</v>
      </c>
      <c r="B448" s="83" t="s">
        <v>879</v>
      </c>
      <c r="C448" s="71"/>
      <c r="D448" s="72"/>
      <c r="E448" s="72"/>
      <c r="F448" s="72"/>
      <c r="G448" s="72"/>
      <c r="H448" s="77">
        <v>0</v>
      </c>
      <c r="I448" s="77">
        <v>0</v>
      </c>
      <c r="J448" s="52">
        <v>0</v>
      </c>
      <c r="M448" s="75"/>
      <c r="N448" s="76"/>
      <c r="V448" s="54"/>
      <c r="W448" s="54"/>
      <c r="X448" s="55"/>
      <c r="Y448" s="55"/>
      <c r="Z448" s="55"/>
      <c r="AB448" s="54"/>
      <c r="AC448" s="54"/>
      <c r="AD448" s="55"/>
      <c r="AE448" s="55"/>
      <c r="AF448" s="55"/>
      <c r="AH448" s="65">
        <f t="shared" si="45"/>
        <v>0</v>
      </c>
      <c r="AI448" s="65">
        <f t="shared" si="45"/>
        <v>0</v>
      </c>
      <c r="AJ448" s="65">
        <f t="shared" si="45"/>
        <v>0</v>
      </c>
    </row>
    <row r="449" spans="1:36" x14ac:dyDescent="0.3">
      <c r="A449" s="82">
        <v>28</v>
      </c>
      <c r="B449" s="83" t="s">
        <v>880</v>
      </c>
      <c r="C449" s="71"/>
      <c r="D449" s="72"/>
      <c r="E449" s="72"/>
      <c r="F449" s="72"/>
      <c r="G449" s="72"/>
      <c r="H449" s="52">
        <v>148160.54000000004</v>
      </c>
      <c r="I449" s="52">
        <v>26580.89</v>
      </c>
      <c r="J449" s="52">
        <v>174741.43000000002</v>
      </c>
      <c r="M449" s="75"/>
      <c r="N449" s="76"/>
      <c r="V449" s="54"/>
      <c r="W449" s="54"/>
      <c r="X449" s="55"/>
      <c r="Y449" s="55"/>
      <c r="Z449" s="55"/>
      <c r="AB449" s="54"/>
      <c r="AC449" s="54"/>
      <c r="AD449" s="55"/>
      <c r="AE449" s="55"/>
      <c r="AF449" s="55"/>
      <c r="AH449" s="65">
        <f t="shared" si="45"/>
        <v>0</v>
      </c>
      <c r="AI449" s="65">
        <f t="shared" si="45"/>
        <v>0</v>
      </c>
      <c r="AJ449" s="65">
        <f t="shared" si="45"/>
        <v>0</v>
      </c>
    </row>
    <row r="450" spans="1:36" x14ac:dyDescent="0.3">
      <c r="A450" s="84" t="s">
        <v>881</v>
      </c>
      <c r="B450" s="80" t="s">
        <v>882</v>
      </c>
      <c r="C450" s="59">
        <v>14</v>
      </c>
      <c r="D450" s="60" t="s">
        <v>483</v>
      </c>
      <c r="E450" s="60">
        <v>420.21</v>
      </c>
      <c r="F450" s="60">
        <v>33.99</v>
      </c>
      <c r="G450" s="60">
        <v>454.2</v>
      </c>
      <c r="H450" s="61">
        <v>5882.94</v>
      </c>
      <c r="I450" s="61">
        <v>475.86</v>
      </c>
      <c r="J450" s="62">
        <v>6358.8</v>
      </c>
      <c r="M450" s="75"/>
      <c r="N450" s="76"/>
      <c r="V450" s="56">
        <v>1</v>
      </c>
      <c r="W450" s="56" t="s">
        <v>483</v>
      </c>
      <c r="X450" s="64">
        <v>508.83</v>
      </c>
      <c r="Y450" s="64">
        <v>28.87</v>
      </c>
      <c r="Z450" s="64">
        <f t="shared" ref="Z450:Z483" si="46">SUM(X450:Y450)</f>
        <v>537.69999999999993</v>
      </c>
      <c r="AB450" s="56">
        <v>1</v>
      </c>
      <c r="AC450" s="56" t="s">
        <v>483</v>
      </c>
      <c r="AD450" s="64">
        <v>648.76</v>
      </c>
      <c r="AE450" s="64">
        <v>36.81</v>
      </c>
      <c r="AF450" s="64">
        <f t="shared" ref="AF450:AF483" si="47">SUM(AD450:AE450)</f>
        <v>685.56999999999994</v>
      </c>
      <c r="AH450" s="65">
        <f t="shared" si="45"/>
        <v>-0.35228744065602069</v>
      </c>
      <c r="AI450" s="65">
        <f t="shared" si="45"/>
        <v>-7.660961695191526E-2</v>
      </c>
      <c r="AJ450" s="65">
        <f t="shared" si="45"/>
        <v>-0.3374855959274764</v>
      </c>
    </row>
    <row r="451" spans="1:36" x14ac:dyDescent="0.3">
      <c r="A451" s="84" t="s">
        <v>883</v>
      </c>
      <c r="B451" s="58" t="s">
        <v>884</v>
      </c>
      <c r="C451" s="59">
        <v>1</v>
      </c>
      <c r="D451" s="60" t="s">
        <v>483</v>
      </c>
      <c r="E451" s="60">
        <v>188.94</v>
      </c>
      <c r="F451" s="60">
        <v>32.94</v>
      </c>
      <c r="G451" s="60">
        <v>221.88</v>
      </c>
      <c r="H451" s="61">
        <v>188.94</v>
      </c>
      <c r="I451" s="61">
        <v>32.94</v>
      </c>
      <c r="J451" s="62">
        <v>221.88</v>
      </c>
      <c r="M451" s="75"/>
      <c r="N451" s="76"/>
      <c r="V451" s="56">
        <v>1</v>
      </c>
      <c r="W451" s="56" t="s">
        <v>483</v>
      </c>
      <c r="X451" s="64">
        <v>208.3</v>
      </c>
      <c r="Y451" s="64">
        <v>27.78</v>
      </c>
      <c r="Z451" s="64">
        <f t="shared" si="46"/>
        <v>236.08</v>
      </c>
      <c r="AB451" s="56">
        <v>1</v>
      </c>
      <c r="AC451" s="56" t="s">
        <v>483</v>
      </c>
      <c r="AD451" s="64">
        <v>265.58</v>
      </c>
      <c r="AE451" s="64">
        <v>35.42</v>
      </c>
      <c r="AF451" s="64">
        <f t="shared" si="47"/>
        <v>301</v>
      </c>
      <c r="AH451" s="65">
        <f t="shared" si="45"/>
        <v>-0.28857594698395961</v>
      </c>
      <c r="AI451" s="65">
        <f t="shared" si="45"/>
        <v>-7.0016939582157045E-2</v>
      </c>
      <c r="AJ451" s="65">
        <f t="shared" si="45"/>
        <v>-0.2628571428571429</v>
      </c>
    </row>
    <row r="452" spans="1:36" x14ac:dyDescent="0.3">
      <c r="A452" s="84" t="s">
        <v>885</v>
      </c>
      <c r="B452" s="58" t="s">
        <v>886</v>
      </c>
      <c r="C452" s="59">
        <v>3</v>
      </c>
      <c r="D452" s="60" t="s">
        <v>483</v>
      </c>
      <c r="E452" s="60">
        <v>205.35</v>
      </c>
      <c r="F452" s="60">
        <v>51.46</v>
      </c>
      <c r="G452" s="60">
        <v>256.81</v>
      </c>
      <c r="H452" s="61">
        <v>616.04999999999995</v>
      </c>
      <c r="I452" s="61">
        <v>154.38</v>
      </c>
      <c r="J452" s="62">
        <v>770.43000000000006</v>
      </c>
      <c r="M452" s="75"/>
      <c r="N452" s="76"/>
      <c r="V452" s="56">
        <v>7</v>
      </c>
      <c r="W452" s="56" t="s">
        <v>483</v>
      </c>
      <c r="X452" s="64">
        <v>235.23</v>
      </c>
      <c r="Y452" s="64">
        <v>46.29</v>
      </c>
      <c r="Z452" s="64">
        <f t="shared" si="46"/>
        <v>281.52</v>
      </c>
      <c r="AB452" s="56">
        <v>7</v>
      </c>
      <c r="AC452" s="56" t="s">
        <v>483</v>
      </c>
      <c r="AD452" s="64">
        <v>299.92</v>
      </c>
      <c r="AE452" s="64">
        <v>59.02</v>
      </c>
      <c r="AF452" s="64">
        <f t="shared" si="47"/>
        <v>358.94</v>
      </c>
      <c r="AH452" s="65">
        <f t="shared" si="45"/>
        <v>-0.31531741797812751</v>
      </c>
      <c r="AI452" s="65">
        <f t="shared" si="45"/>
        <v>-0.12809217214503565</v>
      </c>
      <c r="AJ452" s="65">
        <f t="shared" si="45"/>
        <v>-0.28453223379952075</v>
      </c>
    </row>
    <row r="453" spans="1:36" x14ac:dyDescent="0.3">
      <c r="A453" s="84" t="s">
        <v>887</v>
      </c>
      <c r="B453" s="58" t="s">
        <v>888</v>
      </c>
      <c r="C453" s="59">
        <v>1</v>
      </c>
      <c r="D453" s="60" t="s">
        <v>483</v>
      </c>
      <c r="E453" s="60">
        <v>427.71</v>
      </c>
      <c r="F453" s="60">
        <v>51.46</v>
      </c>
      <c r="G453" s="60">
        <v>479.16999999999996</v>
      </c>
      <c r="H453" s="61">
        <v>427.71</v>
      </c>
      <c r="I453" s="61">
        <v>51.46</v>
      </c>
      <c r="J453" s="62">
        <v>479.16999999999996</v>
      </c>
      <c r="M453" s="75"/>
      <c r="N453" s="79"/>
      <c r="V453" s="56">
        <v>1</v>
      </c>
      <c r="W453" s="56" t="s">
        <v>483</v>
      </c>
      <c r="X453" s="64">
        <v>489.03</v>
      </c>
      <c r="Y453" s="64">
        <v>46.29</v>
      </c>
      <c r="Z453" s="64">
        <f t="shared" si="46"/>
        <v>535.31999999999994</v>
      </c>
      <c r="AB453" s="56">
        <v>1</v>
      </c>
      <c r="AC453" s="56" t="s">
        <v>483</v>
      </c>
      <c r="AD453" s="64">
        <v>623.51</v>
      </c>
      <c r="AE453" s="64">
        <v>59.02</v>
      </c>
      <c r="AF453" s="64">
        <f t="shared" si="47"/>
        <v>682.53</v>
      </c>
      <c r="AH453" s="65">
        <f t="shared" si="45"/>
        <v>-0.31402864428798261</v>
      </c>
      <c r="AI453" s="65">
        <f t="shared" si="45"/>
        <v>-0.12809217214503565</v>
      </c>
      <c r="AJ453" s="65">
        <f t="shared" si="45"/>
        <v>-0.29795027324806234</v>
      </c>
    </row>
    <row r="454" spans="1:36" x14ac:dyDescent="0.3">
      <c r="A454" s="84" t="s">
        <v>889</v>
      </c>
      <c r="B454" s="58" t="s">
        <v>890</v>
      </c>
      <c r="C454" s="59">
        <v>4</v>
      </c>
      <c r="D454" s="60" t="s">
        <v>483</v>
      </c>
      <c r="E454" s="60">
        <v>3.42</v>
      </c>
      <c r="F454" s="60">
        <v>51.46</v>
      </c>
      <c r="G454" s="60">
        <v>54.88</v>
      </c>
      <c r="H454" s="61">
        <v>13.68</v>
      </c>
      <c r="I454" s="61">
        <v>205.84</v>
      </c>
      <c r="J454" s="62">
        <v>219.52</v>
      </c>
      <c r="M454" s="75"/>
      <c r="N454" s="79"/>
      <c r="V454" s="56">
        <v>1</v>
      </c>
      <c r="W454" s="56" t="s">
        <v>483</v>
      </c>
      <c r="X454" s="64">
        <v>4.74</v>
      </c>
      <c r="Y454" s="64">
        <v>46.29</v>
      </c>
      <c r="Z454" s="64">
        <f t="shared" si="46"/>
        <v>51.03</v>
      </c>
      <c r="AB454" s="56">
        <v>1</v>
      </c>
      <c r="AC454" s="56" t="s">
        <v>483</v>
      </c>
      <c r="AD454" s="64">
        <v>6.04</v>
      </c>
      <c r="AE454" s="64">
        <v>59.02</v>
      </c>
      <c r="AF454" s="64">
        <f t="shared" si="47"/>
        <v>65.06</v>
      </c>
      <c r="AH454" s="65">
        <f t="shared" si="45"/>
        <v>-0.43377483443708609</v>
      </c>
      <c r="AI454" s="65">
        <f t="shared" si="45"/>
        <v>-0.12809217214503565</v>
      </c>
      <c r="AJ454" s="65">
        <f t="shared" si="45"/>
        <v>-0.15647094989240695</v>
      </c>
    </row>
    <row r="455" spans="1:36" ht="28.8" x14ac:dyDescent="0.3">
      <c r="A455" s="84" t="s">
        <v>891</v>
      </c>
      <c r="B455" s="58" t="s">
        <v>892</v>
      </c>
      <c r="C455" s="59">
        <v>1</v>
      </c>
      <c r="D455" s="60" t="s">
        <v>483</v>
      </c>
      <c r="E455" s="60">
        <v>1015.15</v>
      </c>
      <c r="F455" s="60">
        <v>143.84</v>
      </c>
      <c r="G455" s="60">
        <v>1158.99</v>
      </c>
      <c r="H455" s="61">
        <v>1015.15</v>
      </c>
      <c r="I455" s="61">
        <v>143.84</v>
      </c>
      <c r="J455" s="62">
        <v>1158.99</v>
      </c>
      <c r="M455" s="75"/>
      <c r="N455" s="79"/>
      <c r="V455" s="56">
        <v>1</v>
      </c>
      <c r="W455" s="56" t="s">
        <v>483</v>
      </c>
      <c r="X455" s="64">
        <v>1111.82</v>
      </c>
      <c r="Y455" s="64">
        <v>122.04</v>
      </c>
      <c r="Z455" s="64">
        <f t="shared" si="46"/>
        <v>1233.8599999999999</v>
      </c>
      <c r="AB455" s="56">
        <v>1</v>
      </c>
      <c r="AC455" s="56" t="s">
        <v>483</v>
      </c>
      <c r="AD455" s="64">
        <v>1417.57</v>
      </c>
      <c r="AE455" s="64">
        <v>155.6</v>
      </c>
      <c r="AF455" s="64">
        <f t="shared" si="47"/>
        <v>1573.1699999999998</v>
      </c>
      <c r="AH455" s="65">
        <f t="shared" si="45"/>
        <v>-0.28388016112079117</v>
      </c>
      <c r="AI455" s="65">
        <f t="shared" si="45"/>
        <v>-7.5578406169665713E-2</v>
      </c>
      <c r="AJ455" s="65">
        <f t="shared" si="45"/>
        <v>-0.26327733175689838</v>
      </c>
    </row>
    <row r="456" spans="1:36" x14ac:dyDescent="0.3">
      <c r="A456" s="84" t="s">
        <v>893</v>
      </c>
      <c r="B456" s="58" t="s">
        <v>894</v>
      </c>
      <c r="C456" s="59">
        <v>9</v>
      </c>
      <c r="D456" s="60" t="s">
        <v>483</v>
      </c>
      <c r="E456" s="60">
        <v>9.65</v>
      </c>
      <c r="F456" s="60">
        <v>17.03</v>
      </c>
      <c r="G456" s="60">
        <v>26.68</v>
      </c>
      <c r="H456" s="61">
        <v>86.850000000000009</v>
      </c>
      <c r="I456" s="61">
        <v>153.27000000000001</v>
      </c>
      <c r="J456" s="62">
        <v>240.12</v>
      </c>
      <c r="M456" s="75"/>
      <c r="N456" s="79"/>
      <c r="V456" s="56">
        <v>1</v>
      </c>
      <c r="W456" s="56" t="s">
        <v>483</v>
      </c>
      <c r="X456" s="64">
        <v>10.82</v>
      </c>
      <c r="Y456" s="64">
        <v>16.760000000000002</v>
      </c>
      <c r="Z456" s="64">
        <f t="shared" si="46"/>
        <v>27.580000000000002</v>
      </c>
      <c r="AB456" s="56">
        <v>1</v>
      </c>
      <c r="AC456" s="56" t="s">
        <v>483</v>
      </c>
      <c r="AD456" s="64">
        <v>13.8</v>
      </c>
      <c r="AE456" s="64">
        <v>21.37</v>
      </c>
      <c r="AF456" s="64">
        <f t="shared" si="47"/>
        <v>35.17</v>
      </c>
      <c r="AH456" s="65">
        <f t="shared" si="45"/>
        <v>-0.30072463768115942</v>
      </c>
      <c r="AI456" s="65">
        <f t="shared" si="45"/>
        <v>-0.20308844174075802</v>
      </c>
      <c r="AJ456" s="65">
        <f t="shared" si="45"/>
        <v>-0.24139891953369352</v>
      </c>
    </row>
    <row r="457" spans="1:36" x14ac:dyDescent="0.3">
      <c r="A457" s="84" t="s">
        <v>895</v>
      </c>
      <c r="B457" s="58" t="s">
        <v>896</v>
      </c>
      <c r="C457" s="59">
        <v>4</v>
      </c>
      <c r="D457" s="60" t="s">
        <v>483</v>
      </c>
      <c r="E457" s="60">
        <v>97.72</v>
      </c>
      <c r="F457" s="60">
        <v>30.29</v>
      </c>
      <c r="G457" s="60">
        <v>128.01</v>
      </c>
      <c r="H457" s="61">
        <v>390.88</v>
      </c>
      <c r="I457" s="61">
        <v>121.16</v>
      </c>
      <c r="J457" s="62">
        <v>512.04</v>
      </c>
      <c r="M457" s="75"/>
      <c r="N457" s="79"/>
      <c r="V457" s="56">
        <v>1</v>
      </c>
      <c r="W457" s="56" t="s">
        <v>483</v>
      </c>
      <c r="X457" s="64">
        <v>117.57</v>
      </c>
      <c r="Y457" s="64">
        <v>28.9</v>
      </c>
      <c r="Z457" s="64">
        <f t="shared" si="46"/>
        <v>146.47</v>
      </c>
      <c r="AB457" s="56">
        <v>1</v>
      </c>
      <c r="AC457" s="56" t="s">
        <v>483</v>
      </c>
      <c r="AD457" s="64">
        <v>149.9</v>
      </c>
      <c r="AE457" s="64">
        <v>36.85</v>
      </c>
      <c r="AF457" s="64">
        <f t="shared" si="47"/>
        <v>186.75</v>
      </c>
      <c r="AH457" s="65">
        <f t="shared" si="45"/>
        <v>-0.34809873248832557</v>
      </c>
      <c r="AI457" s="65">
        <f t="shared" si="45"/>
        <v>-0.1780189959294437</v>
      </c>
      <c r="AJ457" s="65">
        <f t="shared" si="45"/>
        <v>-0.31453815261044182</v>
      </c>
    </row>
    <row r="458" spans="1:36" x14ac:dyDescent="0.3">
      <c r="A458" s="84" t="s">
        <v>897</v>
      </c>
      <c r="B458" s="58" t="s">
        <v>898</v>
      </c>
      <c r="C458" s="59">
        <v>42</v>
      </c>
      <c r="D458" s="60" t="s">
        <v>483</v>
      </c>
      <c r="E458" s="60">
        <v>263.39</v>
      </c>
      <c r="F458" s="60">
        <v>27.66</v>
      </c>
      <c r="G458" s="60">
        <v>291.05</v>
      </c>
      <c r="H458" s="61">
        <v>11062.38</v>
      </c>
      <c r="I458" s="61">
        <v>1161.72</v>
      </c>
      <c r="J458" s="62">
        <v>12224.1</v>
      </c>
      <c r="M458" s="75"/>
      <c r="N458" s="79"/>
      <c r="V458" s="56">
        <v>77</v>
      </c>
      <c r="W458" s="56" t="s">
        <v>483</v>
      </c>
      <c r="X458" s="64">
        <v>301.12</v>
      </c>
      <c r="Y458" s="64">
        <v>23.47</v>
      </c>
      <c r="Z458" s="64">
        <f t="shared" si="46"/>
        <v>324.59000000000003</v>
      </c>
      <c r="AB458" s="56">
        <v>77</v>
      </c>
      <c r="AC458" s="56" t="s">
        <v>483</v>
      </c>
      <c r="AD458" s="64">
        <v>383.93</v>
      </c>
      <c r="AE458" s="64">
        <v>29.92</v>
      </c>
      <c r="AF458" s="64">
        <f t="shared" si="47"/>
        <v>413.85</v>
      </c>
      <c r="AH458" s="65">
        <f t="shared" si="45"/>
        <v>-0.31396348292657517</v>
      </c>
      <c r="AI458" s="65">
        <f t="shared" si="45"/>
        <v>-7.5534759358288794E-2</v>
      </c>
      <c r="AJ458" s="65">
        <f t="shared" si="45"/>
        <v>-0.29672586685997349</v>
      </c>
    </row>
    <row r="459" spans="1:36" x14ac:dyDescent="0.3">
      <c r="A459" s="84" t="s">
        <v>899</v>
      </c>
      <c r="B459" s="58" t="s">
        <v>900</v>
      </c>
      <c r="C459" s="59">
        <v>16</v>
      </c>
      <c r="D459" s="60" t="s">
        <v>483</v>
      </c>
      <c r="E459" s="60">
        <v>49.49</v>
      </c>
      <c r="F459" s="60">
        <v>27.66</v>
      </c>
      <c r="G459" s="60">
        <v>77.150000000000006</v>
      </c>
      <c r="H459" s="61">
        <v>791.84</v>
      </c>
      <c r="I459" s="61">
        <v>442.56</v>
      </c>
      <c r="J459" s="62">
        <v>1234.4000000000001</v>
      </c>
      <c r="M459" s="75"/>
      <c r="N459" s="76"/>
      <c r="V459" s="56">
        <v>1</v>
      </c>
      <c r="W459" s="56" t="s">
        <v>483</v>
      </c>
      <c r="X459" s="64">
        <v>56.97</v>
      </c>
      <c r="Y459" s="64">
        <v>23.47</v>
      </c>
      <c r="Z459" s="64">
        <f t="shared" si="46"/>
        <v>80.44</v>
      </c>
      <c r="AB459" s="56">
        <v>1</v>
      </c>
      <c r="AC459" s="56" t="s">
        <v>483</v>
      </c>
      <c r="AD459" s="64">
        <v>72.64</v>
      </c>
      <c r="AE459" s="64">
        <v>29.92</v>
      </c>
      <c r="AF459" s="64">
        <f t="shared" si="47"/>
        <v>102.56</v>
      </c>
      <c r="AH459" s="65">
        <f t="shared" si="45"/>
        <v>-0.3186949339207048</v>
      </c>
      <c r="AI459" s="65">
        <f t="shared" si="45"/>
        <v>-7.5534759358288794E-2</v>
      </c>
      <c r="AJ459" s="65">
        <f t="shared" si="45"/>
        <v>-0.24775741029641185</v>
      </c>
    </row>
    <row r="460" spans="1:36" x14ac:dyDescent="0.3">
      <c r="A460" s="84" t="s">
        <v>901</v>
      </c>
      <c r="B460" s="58" t="s">
        <v>902</v>
      </c>
      <c r="C460" s="59">
        <v>121</v>
      </c>
      <c r="D460" s="60" t="s">
        <v>483</v>
      </c>
      <c r="E460" s="60">
        <v>137.88999999999999</v>
      </c>
      <c r="F460" s="60">
        <v>27.66</v>
      </c>
      <c r="G460" s="60">
        <v>165.54999999999998</v>
      </c>
      <c r="H460" s="61">
        <v>16684.689999999999</v>
      </c>
      <c r="I460" s="61">
        <v>3346.86</v>
      </c>
      <c r="J460" s="62">
        <v>20031.55</v>
      </c>
      <c r="M460" s="75"/>
      <c r="N460" s="76"/>
      <c r="V460" s="56">
        <v>85</v>
      </c>
      <c r="W460" s="56" t="s">
        <v>483</v>
      </c>
      <c r="X460" s="64">
        <v>180.37</v>
      </c>
      <c r="Y460" s="64">
        <v>23.47</v>
      </c>
      <c r="Z460" s="64">
        <f t="shared" si="46"/>
        <v>203.84</v>
      </c>
      <c r="AB460" s="56">
        <v>85</v>
      </c>
      <c r="AC460" s="56" t="s">
        <v>483</v>
      </c>
      <c r="AD460" s="64">
        <v>229.97</v>
      </c>
      <c r="AE460" s="64">
        <v>29.92</v>
      </c>
      <c r="AF460" s="64">
        <f t="shared" si="47"/>
        <v>259.89</v>
      </c>
      <c r="AH460" s="65">
        <f t="shared" si="45"/>
        <v>-0.40040005218071928</v>
      </c>
      <c r="AI460" s="65">
        <f t="shared" si="45"/>
        <v>-7.5534759358288794E-2</v>
      </c>
      <c r="AJ460" s="65">
        <f t="shared" si="45"/>
        <v>-0.36299973065527724</v>
      </c>
    </row>
    <row r="461" spans="1:36" x14ac:dyDescent="0.3">
      <c r="A461" s="84" t="s">
        <v>903</v>
      </c>
      <c r="B461" s="58" t="s">
        <v>904</v>
      </c>
      <c r="C461" s="59">
        <v>15</v>
      </c>
      <c r="D461" s="60" t="s">
        <v>483</v>
      </c>
      <c r="E461" s="60">
        <v>63.47</v>
      </c>
      <c r="F461" s="60">
        <v>27.66</v>
      </c>
      <c r="G461" s="60">
        <v>91.13</v>
      </c>
      <c r="H461" s="61">
        <v>952.05</v>
      </c>
      <c r="I461" s="61">
        <v>414.9</v>
      </c>
      <c r="J461" s="62">
        <v>1366.9499999999998</v>
      </c>
      <c r="M461" s="75"/>
      <c r="N461" s="76"/>
      <c r="V461" s="56">
        <v>1</v>
      </c>
      <c r="W461" s="56" t="s">
        <v>483</v>
      </c>
      <c r="X461" s="64">
        <v>72.83</v>
      </c>
      <c r="Y461" s="64">
        <v>23.47</v>
      </c>
      <c r="Z461" s="64">
        <f t="shared" si="46"/>
        <v>96.3</v>
      </c>
      <c r="AB461" s="56">
        <v>1</v>
      </c>
      <c r="AC461" s="56" t="s">
        <v>483</v>
      </c>
      <c r="AD461" s="64">
        <v>92.86</v>
      </c>
      <c r="AE461" s="64">
        <v>29.92</v>
      </c>
      <c r="AF461" s="64">
        <f t="shared" si="47"/>
        <v>122.78</v>
      </c>
      <c r="AH461" s="65">
        <f t="shared" si="45"/>
        <v>-0.31649795390911051</v>
      </c>
      <c r="AI461" s="65">
        <f t="shared" si="45"/>
        <v>-7.5534759358288794E-2</v>
      </c>
      <c r="AJ461" s="65">
        <f t="shared" si="45"/>
        <v>-0.25777813976217634</v>
      </c>
    </row>
    <row r="462" spans="1:36" x14ac:dyDescent="0.3">
      <c r="A462" s="84" t="s">
        <v>905</v>
      </c>
      <c r="B462" s="58" t="s">
        <v>906</v>
      </c>
      <c r="C462" s="59">
        <v>81</v>
      </c>
      <c r="D462" s="60" t="s">
        <v>483</v>
      </c>
      <c r="E462" s="60">
        <v>38.82</v>
      </c>
      <c r="F462" s="60">
        <v>14.07</v>
      </c>
      <c r="G462" s="60">
        <v>52.89</v>
      </c>
      <c r="H462" s="61">
        <v>3144.42</v>
      </c>
      <c r="I462" s="61">
        <v>1139.67</v>
      </c>
      <c r="J462" s="62">
        <v>4284.09</v>
      </c>
      <c r="M462" s="75"/>
      <c r="N462" s="76"/>
      <c r="V462" s="56">
        <v>6</v>
      </c>
      <c r="W462" s="56" t="s">
        <v>483</v>
      </c>
      <c r="X462" s="64">
        <v>62.72</v>
      </c>
      <c r="Y462" s="64">
        <v>11.99</v>
      </c>
      <c r="Z462" s="64">
        <f t="shared" si="46"/>
        <v>74.709999999999994</v>
      </c>
      <c r="AB462" s="56">
        <v>6</v>
      </c>
      <c r="AC462" s="56" t="s">
        <v>483</v>
      </c>
      <c r="AD462" s="64">
        <v>79.97</v>
      </c>
      <c r="AE462" s="64">
        <v>15.29</v>
      </c>
      <c r="AF462" s="64">
        <f t="shared" si="47"/>
        <v>95.259999999999991</v>
      </c>
      <c r="AH462" s="65">
        <f t="shared" si="45"/>
        <v>-0.51456796298611973</v>
      </c>
      <c r="AI462" s="65">
        <f t="shared" si="45"/>
        <v>-7.9790712884238002E-2</v>
      </c>
      <c r="AJ462" s="65">
        <f t="shared" si="45"/>
        <v>-0.44478269997900477</v>
      </c>
    </row>
    <row r="463" spans="1:36" x14ac:dyDescent="0.3">
      <c r="A463" s="84" t="s">
        <v>907</v>
      </c>
      <c r="B463" s="58" t="s">
        <v>908</v>
      </c>
      <c r="C463" s="59">
        <v>1</v>
      </c>
      <c r="D463" s="60" t="s">
        <v>483</v>
      </c>
      <c r="E463" s="60">
        <v>620.14</v>
      </c>
      <c r="F463" s="60">
        <v>36.99</v>
      </c>
      <c r="G463" s="60">
        <v>657.13</v>
      </c>
      <c r="H463" s="61">
        <v>620.14</v>
      </c>
      <c r="I463" s="61">
        <v>36.99</v>
      </c>
      <c r="J463" s="62">
        <v>657.13</v>
      </c>
      <c r="M463" s="75"/>
      <c r="N463" s="76"/>
      <c r="V463" s="56">
        <v>1</v>
      </c>
      <c r="W463" s="56" t="s">
        <v>483</v>
      </c>
      <c r="X463" s="64">
        <v>728.78</v>
      </c>
      <c r="Y463" s="64">
        <v>31.46</v>
      </c>
      <c r="Z463" s="64">
        <f t="shared" si="46"/>
        <v>760.24</v>
      </c>
      <c r="AB463" s="56">
        <v>1</v>
      </c>
      <c r="AC463" s="56" t="s">
        <v>483</v>
      </c>
      <c r="AD463" s="64">
        <v>929.19</v>
      </c>
      <c r="AE463" s="64">
        <v>40.11</v>
      </c>
      <c r="AF463" s="64">
        <f t="shared" si="47"/>
        <v>969.30000000000007</v>
      </c>
      <c r="AH463" s="65">
        <f t="shared" si="45"/>
        <v>-0.33260151314585829</v>
      </c>
      <c r="AI463" s="65">
        <f t="shared" si="45"/>
        <v>-7.7786088257292385E-2</v>
      </c>
      <c r="AJ463" s="65">
        <f t="shared" si="45"/>
        <v>-0.32205715464768392</v>
      </c>
    </row>
    <row r="464" spans="1:36" x14ac:dyDescent="0.3">
      <c r="A464" s="84" t="s">
        <v>909</v>
      </c>
      <c r="B464" s="58" t="s">
        <v>910</v>
      </c>
      <c r="C464" s="59">
        <v>17</v>
      </c>
      <c r="D464" s="60" t="s">
        <v>483</v>
      </c>
      <c r="E464" s="60">
        <v>38.21</v>
      </c>
      <c r="F464" s="60">
        <v>4.5599999999999996</v>
      </c>
      <c r="G464" s="60">
        <v>42.77</v>
      </c>
      <c r="H464" s="61">
        <v>649.57000000000005</v>
      </c>
      <c r="I464" s="61">
        <v>77.52</v>
      </c>
      <c r="J464" s="62">
        <v>727.09</v>
      </c>
      <c r="M464" s="75"/>
      <c r="N464" s="76"/>
      <c r="V464" s="56">
        <v>1</v>
      </c>
      <c r="W464" s="56" t="s">
        <v>483</v>
      </c>
      <c r="X464" s="64">
        <v>61.56</v>
      </c>
      <c r="Y464" s="64">
        <v>3.9</v>
      </c>
      <c r="Z464" s="64">
        <f t="shared" si="46"/>
        <v>65.460000000000008</v>
      </c>
      <c r="AB464" s="56">
        <v>1</v>
      </c>
      <c r="AC464" s="56" t="s">
        <v>483</v>
      </c>
      <c r="AD464" s="64">
        <v>78.489999999999995</v>
      </c>
      <c r="AE464" s="64">
        <v>4.97</v>
      </c>
      <c r="AF464" s="64">
        <f t="shared" si="47"/>
        <v>83.46</v>
      </c>
      <c r="AH464" s="65">
        <f t="shared" si="45"/>
        <v>-0.51318639317110448</v>
      </c>
      <c r="AI464" s="65">
        <f t="shared" si="45"/>
        <v>-8.2494969818913466E-2</v>
      </c>
      <c r="AJ464" s="65">
        <f t="shared" si="45"/>
        <v>-0.48753894080996873</v>
      </c>
    </row>
    <row r="465" spans="1:36" x14ac:dyDescent="0.3">
      <c r="A465" s="84" t="s">
        <v>911</v>
      </c>
      <c r="B465" s="58" t="s">
        <v>912</v>
      </c>
      <c r="C465" s="59">
        <v>1</v>
      </c>
      <c r="D465" s="60" t="s">
        <v>483</v>
      </c>
      <c r="E465" s="60">
        <v>206.59</v>
      </c>
      <c r="F465" s="60">
        <v>16.52</v>
      </c>
      <c r="G465" s="60">
        <v>223.11</v>
      </c>
      <c r="H465" s="61">
        <v>206.59</v>
      </c>
      <c r="I465" s="61">
        <v>16.52</v>
      </c>
      <c r="J465" s="62">
        <v>223.11</v>
      </c>
      <c r="M465" s="75"/>
      <c r="N465" s="76"/>
      <c r="V465" s="56">
        <v>1</v>
      </c>
      <c r="W465" s="56" t="s">
        <v>483</v>
      </c>
      <c r="X465" s="64">
        <v>273.64</v>
      </c>
      <c r="Y465" s="64">
        <v>14.11</v>
      </c>
      <c r="Z465" s="64">
        <f t="shared" si="46"/>
        <v>287.75</v>
      </c>
      <c r="AB465" s="56">
        <v>1</v>
      </c>
      <c r="AC465" s="56" t="s">
        <v>483</v>
      </c>
      <c r="AD465" s="64">
        <v>348.89</v>
      </c>
      <c r="AE465" s="64">
        <v>17.989999999999998</v>
      </c>
      <c r="AF465" s="64">
        <f t="shared" si="47"/>
        <v>366.88</v>
      </c>
      <c r="AH465" s="65">
        <f t="shared" si="45"/>
        <v>-0.40786494310527666</v>
      </c>
      <c r="AI465" s="65">
        <f t="shared" si="45"/>
        <v>-8.171206225680927E-2</v>
      </c>
      <c r="AJ465" s="65">
        <f t="shared" si="45"/>
        <v>-0.39187200174443959</v>
      </c>
    </row>
    <row r="466" spans="1:36" x14ac:dyDescent="0.3">
      <c r="A466" s="84" t="s">
        <v>913</v>
      </c>
      <c r="B466" s="58" t="s">
        <v>914</v>
      </c>
      <c r="C466" s="59">
        <v>14</v>
      </c>
      <c r="D466" s="60" t="s">
        <v>483</v>
      </c>
      <c r="E466" s="60">
        <v>354.5</v>
      </c>
      <c r="F466" s="60">
        <v>160.43</v>
      </c>
      <c r="G466" s="60">
        <v>514.93000000000006</v>
      </c>
      <c r="H466" s="61">
        <v>4963</v>
      </c>
      <c r="I466" s="61">
        <v>2246.02</v>
      </c>
      <c r="J466" s="62">
        <v>7209.02</v>
      </c>
      <c r="M466" s="75"/>
      <c r="N466" s="76"/>
      <c r="V466" s="56">
        <v>12</v>
      </c>
      <c r="W466" s="56" t="s">
        <v>483</v>
      </c>
      <c r="X466" s="64">
        <v>450.43</v>
      </c>
      <c r="Y466" s="64">
        <v>136.13</v>
      </c>
      <c r="Z466" s="64">
        <f t="shared" si="46"/>
        <v>586.55999999999995</v>
      </c>
      <c r="AB466" s="56">
        <v>12</v>
      </c>
      <c r="AC466" s="56" t="s">
        <v>483</v>
      </c>
      <c r="AD466" s="64">
        <v>574.29999999999995</v>
      </c>
      <c r="AE466" s="64">
        <v>173.57</v>
      </c>
      <c r="AF466" s="64">
        <f t="shared" si="47"/>
        <v>747.86999999999989</v>
      </c>
      <c r="AH466" s="65">
        <f t="shared" si="45"/>
        <v>-0.38272679784084973</v>
      </c>
      <c r="AI466" s="65">
        <f t="shared" si="45"/>
        <v>-7.5704326784582499E-2</v>
      </c>
      <c r="AJ466" s="65">
        <f t="shared" si="45"/>
        <v>-0.31147124500247347</v>
      </c>
    </row>
    <row r="467" spans="1:36" x14ac:dyDescent="0.3">
      <c r="A467" s="84" t="s">
        <v>915</v>
      </c>
      <c r="B467" s="58" t="s">
        <v>916</v>
      </c>
      <c r="C467" s="59">
        <v>17</v>
      </c>
      <c r="D467" s="60" t="s">
        <v>483</v>
      </c>
      <c r="E467" s="60">
        <v>56.78</v>
      </c>
      <c r="F467" s="60">
        <v>25.62</v>
      </c>
      <c r="G467" s="60">
        <v>82.4</v>
      </c>
      <c r="H467" s="61">
        <v>965.26</v>
      </c>
      <c r="I467" s="61">
        <v>435.54</v>
      </c>
      <c r="J467" s="62">
        <v>1400.8000000000002</v>
      </c>
      <c r="M467" s="75"/>
      <c r="N467" s="76"/>
      <c r="V467" s="56">
        <v>1</v>
      </c>
      <c r="W467" s="56" t="s">
        <v>483</v>
      </c>
      <c r="X467" s="64">
        <v>42.54</v>
      </c>
      <c r="Y467" s="64">
        <v>25.56</v>
      </c>
      <c r="Z467" s="64">
        <f t="shared" si="46"/>
        <v>68.099999999999994</v>
      </c>
      <c r="AB467" s="56">
        <v>1</v>
      </c>
      <c r="AC467" s="56" t="s">
        <v>483</v>
      </c>
      <c r="AD467" s="64">
        <v>54.24</v>
      </c>
      <c r="AE467" s="64">
        <v>32.590000000000003</v>
      </c>
      <c r="AF467" s="64">
        <f t="shared" si="47"/>
        <v>86.830000000000013</v>
      </c>
      <c r="AH467" s="65">
        <f t="shared" si="45"/>
        <v>4.6828908554572335E-2</v>
      </c>
      <c r="AI467" s="65">
        <f t="shared" si="45"/>
        <v>-0.21386928505676595</v>
      </c>
      <c r="AJ467" s="65">
        <f t="shared" si="45"/>
        <v>-5.1019232983991802E-2</v>
      </c>
    </row>
    <row r="468" spans="1:36" x14ac:dyDescent="0.3">
      <c r="A468" s="84" t="s">
        <v>917</v>
      </c>
      <c r="B468" s="58" t="s">
        <v>918</v>
      </c>
      <c r="C468" s="59">
        <v>37</v>
      </c>
      <c r="D468" s="60" t="s">
        <v>483</v>
      </c>
      <c r="E468" s="60">
        <v>56.78</v>
      </c>
      <c r="F468" s="60">
        <v>25.62</v>
      </c>
      <c r="G468" s="60">
        <v>82.4</v>
      </c>
      <c r="H468" s="61">
        <v>2100.86</v>
      </c>
      <c r="I468" s="61">
        <v>947.94</v>
      </c>
      <c r="J468" s="62">
        <v>3048.8</v>
      </c>
      <c r="M468" s="75"/>
      <c r="N468" s="76"/>
      <c r="V468" s="56">
        <v>58</v>
      </c>
      <c r="W468" s="56" t="s">
        <v>483</v>
      </c>
      <c r="X468" s="64">
        <v>42.54</v>
      </c>
      <c r="Y468" s="64">
        <v>25.56</v>
      </c>
      <c r="Z468" s="64">
        <f t="shared" si="46"/>
        <v>68.099999999999994</v>
      </c>
      <c r="AB468" s="56">
        <v>58</v>
      </c>
      <c r="AC468" s="56" t="s">
        <v>483</v>
      </c>
      <c r="AD468" s="64">
        <v>54.24</v>
      </c>
      <c r="AE468" s="64">
        <v>32.590000000000003</v>
      </c>
      <c r="AF468" s="64">
        <f t="shared" si="47"/>
        <v>86.830000000000013</v>
      </c>
      <c r="AH468" s="65">
        <f t="shared" si="45"/>
        <v>4.6828908554572335E-2</v>
      </c>
      <c r="AI468" s="65">
        <f t="shared" si="45"/>
        <v>-0.21386928505676595</v>
      </c>
      <c r="AJ468" s="65">
        <f t="shared" si="45"/>
        <v>-5.1019232983991802E-2</v>
      </c>
    </row>
    <row r="469" spans="1:36" x14ac:dyDescent="0.3">
      <c r="A469" s="84" t="s">
        <v>919</v>
      </c>
      <c r="B469" s="58" t="s">
        <v>920</v>
      </c>
      <c r="C469" s="59">
        <v>114</v>
      </c>
      <c r="D469" s="60" t="s">
        <v>483</v>
      </c>
      <c r="E469" s="60">
        <v>13.04</v>
      </c>
      <c r="F469" s="60">
        <v>13.83</v>
      </c>
      <c r="G469" s="60">
        <v>26.869999999999997</v>
      </c>
      <c r="H469" s="61">
        <v>1486.56</v>
      </c>
      <c r="I469" s="61">
        <v>1576.6200000000001</v>
      </c>
      <c r="J469" s="62">
        <v>3063.18</v>
      </c>
      <c r="M469" s="75"/>
      <c r="N469" s="76"/>
      <c r="V469" s="56">
        <v>38</v>
      </c>
      <c r="W469" s="56" t="s">
        <v>483</v>
      </c>
      <c r="X469" s="64">
        <v>13.06</v>
      </c>
      <c r="Y469" s="64">
        <v>11.74</v>
      </c>
      <c r="Z469" s="64">
        <f t="shared" si="46"/>
        <v>24.8</v>
      </c>
      <c r="AB469" s="56">
        <v>38</v>
      </c>
      <c r="AC469" s="56" t="s">
        <v>483</v>
      </c>
      <c r="AD469" s="64">
        <v>16.649999999999999</v>
      </c>
      <c r="AE469" s="64">
        <v>14.97</v>
      </c>
      <c r="AF469" s="64">
        <f t="shared" si="47"/>
        <v>31.619999999999997</v>
      </c>
      <c r="AH469" s="65">
        <f t="shared" si="45"/>
        <v>-0.21681681681681675</v>
      </c>
      <c r="AI469" s="65">
        <f t="shared" si="45"/>
        <v>-7.6152304609218513E-2</v>
      </c>
      <c r="AJ469" s="65">
        <f t="shared" si="45"/>
        <v>-0.15022137887413034</v>
      </c>
    </row>
    <row r="470" spans="1:36" x14ac:dyDescent="0.3">
      <c r="A470" s="84" t="s">
        <v>921</v>
      </c>
      <c r="B470" s="58" t="s">
        <v>922</v>
      </c>
      <c r="C470" s="59">
        <v>28</v>
      </c>
      <c r="D470" s="60" t="s">
        <v>483</v>
      </c>
      <c r="E470" s="60">
        <v>151.66999999999999</v>
      </c>
      <c r="F470" s="60">
        <v>10.38</v>
      </c>
      <c r="G470" s="60">
        <v>162.04999999999998</v>
      </c>
      <c r="H470" s="61">
        <v>4246.7599999999993</v>
      </c>
      <c r="I470" s="61">
        <v>290.64000000000004</v>
      </c>
      <c r="J470" s="62">
        <v>4537.3999999999996</v>
      </c>
      <c r="M470" s="75"/>
      <c r="N470" s="76"/>
      <c r="V470" s="56">
        <v>11</v>
      </c>
      <c r="W470" s="56" t="s">
        <v>483</v>
      </c>
      <c r="X470" s="64">
        <v>244.07</v>
      </c>
      <c r="Y470" s="64">
        <v>8.9</v>
      </c>
      <c r="Z470" s="64">
        <f t="shared" si="46"/>
        <v>252.97</v>
      </c>
      <c r="AB470" s="56">
        <v>11</v>
      </c>
      <c r="AC470" s="56" t="s">
        <v>483</v>
      </c>
      <c r="AD470" s="64">
        <v>311.19</v>
      </c>
      <c r="AE470" s="64">
        <v>11.35</v>
      </c>
      <c r="AF470" s="64">
        <f t="shared" si="47"/>
        <v>322.54000000000002</v>
      </c>
      <c r="AH470" s="65">
        <f t="shared" si="45"/>
        <v>-0.51261287316430482</v>
      </c>
      <c r="AI470" s="65">
        <f t="shared" si="45"/>
        <v>-8.5462555066079249E-2</v>
      </c>
      <c r="AJ470" s="65">
        <f t="shared" si="45"/>
        <v>-0.49758169529360707</v>
      </c>
    </row>
    <row r="471" spans="1:36" x14ac:dyDescent="0.3">
      <c r="A471" s="84" t="s">
        <v>923</v>
      </c>
      <c r="B471" s="58" t="s">
        <v>924</v>
      </c>
      <c r="C471" s="59">
        <v>64</v>
      </c>
      <c r="D471" s="60" t="s">
        <v>483</v>
      </c>
      <c r="E471" s="60">
        <v>279</v>
      </c>
      <c r="F471" s="60">
        <v>43.65</v>
      </c>
      <c r="G471" s="60">
        <v>322.64999999999998</v>
      </c>
      <c r="H471" s="61">
        <v>17856</v>
      </c>
      <c r="I471" s="61">
        <v>2793.6</v>
      </c>
      <c r="J471" s="62">
        <v>20649.599999999999</v>
      </c>
      <c r="M471" s="75"/>
      <c r="N471" s="76"/>
      <c r="V471" s="56">
        <v>33</v>
      </c>
      <c r="W471" s="56" t="s">
        <v>483</v>
      </c>
      <c r="X471" s="64">
        <v>300.58999999999997</v>
      </c>
      <c r="Y471" s="64">
        <v>37.04</v>
      </c>
      <c r="Z471" s="64">
        <f t="shared" si="46"/>
        <v>337.63</v>
      </c>
      <c r="AB471" s="56">
        <v>33</v>
      </c>
      <c r="AC471" s="56" t="s">
        <v>483</v>
      </c>
      <c r="AD471" s="64">
        <v>383.25</v>
      </c>
      <c r="AE471" s="64">
        <v>47.23</v>
      </c>
      <c r="AF471" s="64">
        <f t="shared" si="47"/>
        <v>430.48</v>
      </c>
      <c r="AH471" s="65">
        <f t="shared" si="45"/>
        <v>-0.27201565557729945</v>
      </c>
      <c r="AI471" s="65">
        <f t="shared" si="45"/>
        <v>-7.5799280118568624E-2</v>
      </c>
      <c r="AJ471" s="65">
        <f t="shared" si="45"/>
        <v>-0.25048782754134924</v>
      </c>
    </row>
    <row r="472" spans="1:36" x14ac:dyDescent="0.3">
      <c r="A472" s="84" t="s">
        <v>925</v>
      </c>
      <c r="B472" s="58" t="s">
        <v>926</v>
      </c>
      <c r="C472" s="59">
        <v>3</v>
      </c>
      <c r="D472" s="60" t="s">
        <v>483</v>
      </c>
      <c r="E472" s="60">
        <v>1960.02</v>
      </c>
      <c r="F472" s="60">
        <v>34.549999999999997</v>
      </c>
      <c r="G472" s="60">
        <v>1994.57</v>
      </c>
      <c r="H472" s="61">
        <v>5880.0599999999995</v>
      </c>
      <c r="I472" s="61">
        <v>103.64999999999999</v>
      </c>
      <c r="J472" s="62">
        <v>5983.71</v>
      </c>
      <c r="M472" s="75"/>
      <c r="N472" s="76"/>
      <c r="V472" s="56">
        <v>1</v>
      </c>
      <c r="W472" s="56" t="s">
        <v>483</v>
      </c>
      <c r="X472" s="64">
        <v>2288.61</v>
      </c>
      <c r="Y472" s="64">
        <v>29.49</v>
      </c>
      <c r="Z472" s="64">
        <f t="shared" si="46"/>
        <v>2318.1</v>
      </c>
      <c r="AB472" s="56">
        <v>1</v>
      </c>
      <c r="AC472" s="56" t="s">
        <v>483</v>
      </c>
      <c r="AD472" s="64">
        <v>2917.98</v>
      </c>
      <c r="AE472" s="64">
        <v>37.6</v>
      </c>
      <c r="AF472" s="64">
        <f t="shared" si="47"/>
        <v>2955.58</v>
      </c>
      <c r="AH472" s="65">
        <f t="shared" si="45"/>
        <v>-0.32829560175189687</v>
      </c>
      <c r="AI472" s="65">
        <f t="shared" si="45"/>
        <v>-8.1117021276595813E-2</v>
      </c>
      <c r="AJ472" s="65">
        <f t="shared" si="45"/>
        <v>-0.32515107017911882</v>
      </c>
    </row>
    <row r="473" spans="1:36" x14ac:dyDescent="0.3">
      <c r="A473" s="84" t="s">
        <v>927</v>
      </c>
      <c r="B473" s="58" t="s">
        <v>928</v>
      </c>
      <c r="C473" s="59">
        <v>13</v>
      </c>
      <c r="D473" s="60" t="s">
        <v>483</v>
      </c>
      <c r="E473" s="60">
        <v>1357.63</v>
      </c>
      <c r="F473" s="60">
        <v>11.06</v>
      </c>
      <c r="G473" s="60">
        <v>1368.69</v>
      </c>
      <c r="H473" s="61">
        <v>17649.190000000002</v>
      </c>
      <c r="I473" s="61">
        <v>143.78</v>
      </c>
      <c r="J473" s="62">
        <v>17792.97</v>
      </c>
      <c r="M473" s="75"/>
      <c r="N473" s="76"/>
      <c r="V473" s="56">
        <v>9</v>
      </c>
      <c r="W473" s="56" t="s">
        <v>483</v>
      </c>
      <c r="X473" s="64">
        <v>1549.62</v>
      </c>
      <c r="Y473" s="64">
        <v>9.39</v>
      </c>
      <c r="Z473" s="64">
        <f t="shared" si="46"/>
        <v>1559.01</v>
      </c>
      <c r="AB473" s="56">
        <v>9</v>
      </c>
      <c r="AC473" s="56" t="s">
        <v>483</v>
      </c>
      <c r="AD473" s="64">
        <v>1975.77</v>
      </c>
      <c r="AE473" s="64">
        <v>11.97</v>
      </c>
      <c r="AF473" s="64">
        <f t="shared" si="47"/>
        <v>1987.74</v>
      </c>
      <c r="AH473" s="65">
        <f t="shared" si="45"/>
        <v>-0.31286030256558195</v>
      </c>
      <c r="AI473" s="65">
        <f t="shared" si="45"/>
        <v>-7.6023391812865548E-2</v>
      </c>
      <c r="AJ473" s="65">
        <f t="shared" si="45"/>
        <v>-0.31143409097769326</v>
      </c>
    </row>
    <row r="474" spans="1:36" x14ac:dyDescent="0.3">
      <c r="A474" s="84" t="s">
        <v>929</v>
      </c>
      <c r="B474" s="80" t="s">
        <v>930</v>
      </c>
      <c r="C474" s="59">
        <v>177</v>
      </c>
      <c r="D474" s="60" t="s">
        <v>483</v>
      </c>
      <c r="E474" s="60">
        <v>36.619999999999997</v>
      </c>
      <c r="F474" s="60">
        <v>11.06</v>
      </c>
      <c r="G474" s="60">
        <v>47.68</v>
      </c>
      <c r="H474" s="61">
        <v>6481.74</v>
      </c>
      <c r="I474" s="61">
        <v>1957.6200000000001</v>
      </c>
      <c r="J474" s="62">
        <v>8439.36</v>
      </c>
      <c r="M474" s="75"/>
      <c r="N474" s="76"/>
      <c r="V474" s="56">
        <v>91</v>
      </c>
      <c r="W474" s="56" t="s">
        <v>483</v>
      </c>
      <c r="X474" s="64">
        <v>36.9</v>
      </c>
      <c r="Y474" s="64">
        <v>9.39</v>
      </c>
      <c r="Z474" s="64">
        <f t="shared" si="46"/>
        <v>46.29</v>
      </c>
      <c r="AB474" s="56">
        <v>91</v>
      </c>
      <c r="AC474" s="56" t="s">
        <v>483</v>
      </c>
      <c r="AD474" s="64">
        <v>47.05</v>
      </c>
      <c r="AE474" s="64">
        <v>11.97</v>
      </c>
      <c r="AF474" s="64">
        <f t="shared" si="47"/>
        <v>59.019999999999996</v>
      </c>
      <c r="AH474" s="65">
        <f t="shared" si="45"/>
        <v>-0.2216790648246546</v>
      </c>
      <c r="AI474" s="65">
        <f t="shared" si="45"/>
        <v>-7.6023391812865548E-2</v>
      </c>
      <c r="AJ474" s="65">
        <f t="shared" si="45"/>
        <v>-0.19213825821755337</v>
      </c>
    </row>
    <row r="475" spans="1:36" x14ac:dyDescent="0.3">
      <c r="A475" s="84" t="s">
        <v>931</v>
      </c>
      <c r="B475" s="58" t="s">
        <v>932</v>
      </c>
      <c r="C475" s="59">
        <v>89</v>
      </c>
      <c r="D475" s="60" t="s">
        <v>483</v>
      </c>
      <c r="E475" s="60">
        <v>46.8</v>
      </c>
      <c r="F475" s="60">
        <v>5.77</v>
      </c>
      <c r="G475" s="60">
        <v>52.569999999999993</v>
      </c>
      <c r="H475" s="61">
        <v>4165.2</v>
      </c>
      <c r="I475" s="61">
        <v>513.53</v>
      </c>
      <c r="J475" s="62">
        <v>4678.7299999999996</v>
      </c>
      <c r="M475" s="75"/>
      <c r="N475" s="76"/>
      <c r="V475" s="56">
        <v>9</v>
      </c>
      <c r="W475" s="56" t="s">
        <v>483</v>
      </c>
      <c r="X475" s="64">
        <v>61.16</v>
      </c>
      <c r="Y475" s="64">
        <v>4.95</v>
      </c>
      <c r="Z475" s="64">
        <f t="shared" si="46"/>
        <v>66.11</v>
      </c>
      <c r="AB475" s="56">
        <v>9</v>
      </c>
      <c r="AC475" s="56" t="s">
        <v>483</v>
      </c>
      <c r="AD475" s="64">
        <v>77.98</v>
      </c>
      <c r="AE475" s="64">
        <v>6.31</v>
      </c>
      <c r="AF475" s="64">
        <f t="shared" si="47"/>
        <v>84.29</v>
      </c>
      <c r="AH475" s="65">
        <f t="shared" si="45"/>
        <v>-0.39984611438830475</v>
      </c>
      <c r="AI475" s="65">
        <f t="shared" si="45"/>
        <v>-8.5578446909667205E-2</v>
      </c>
      <c r="AJ475" s="65">
        <f t="shared" si="45"/>
        <v>-0.37631984814331487</v>
      </c>
    </row>
    <row r="476" spans="1:36" x14ac:dyDescent="0.3">
      <c r="A476" s="84" t="s">
        <v>933</v>
      </c>
      <c r="B476" s="58" t="s">
        <v>934</v>
      </c>
      <c r="C476" s="59">
        <v>41</v>
      </c>
      <c r="D476" s="60" t="s">
        <v>483</v>
      </c>
      <c r="E476" s="60">
        <v>116.93</v>
      </c>
      <c r="F476" s="60">
        <v>4.62</v>
      </c>
      <c r="G476" s="60">
        <v>121.55000000000001</v>
      </c>
      <c r="H476" s="61">
        <v>4794.13</v>
      </c>
      <c r="I476" s="61">
        <v>189.42000000000002</v>
      </c>
      <c r="J476" s="62">
        <v>4983.55</v>
      </c>
      <c r="M476" s="75"/>
      <c r="N476" s="76"/>
      <c r="V476" s="56">
        <v>29</v>
      </c>
      <c r="W476" s="56" t="s">
        <v>483</v>
      </c>
      <c r="X476" s="64">
        <v>152.72999999999999</v>
      </c>
      <c r="Y476" s="64">
        <v>3.96</v>
      </c>
      <c r="Z476" s="64">
        <f t="shared" si="46"/>
        <v>156.69</v>
      </c>
      <c r="AB476" s="56">
        <v>29</v>
      </c>
      <c r="AC476" s="56" t="s">
        <v>483</v>
      </c>
      <c r="AD476" s="64">
        <v>194.73</v>
      </c>
      <c r="AE476" s="64">
        <v>5.05</v>
      </c>
      <c r="AF476" s="64">
        <f t="shared" si="47"/>
        <v>199.78</v>
      </c>
      <c r="AH476" s="65">
        <f t="shared" si="45"/>
        <v>-0.39952755096800696</v>
      </c>
      <c r="AI476" s="65">
        <f t="shared" si="45"/>
        <v>-8.5148514851485113E-2</v>
      </c>
      <c r="AJ476" s="65">
        <f t="shared" si="45"/>
        <v>-0.39158073881269395</v>
      </c>
    </row>
    <row r="477" spans="1:36" x14ac:dyDescent="0.3">
      <c r="A477" s="84" t="s">
        <v>935</v>
      </c>
      <c r="B477" s="58" t="s">
        <v>936</v>
      </c>
      <c r="C477" s="59">
        <v>154</v>
      </c>
      <c r="D477" s="60" t="s">
        <v>483</v>
      </c>
      <c r="E477" s="60">
        <v>151.68</v>
      </c>
      <c r="F477" s="60">
        <v>3.43</v>
      </c>
      <c r="G477" s="60">
        <v>155.11000000000001</v>
      </c>
      <c r="H477" s="61">
        <v>23358.720000000001</v>
      </c>
      <c r="I477" s="61">
        <v>528.22</v>
      </c>
      <c r="J477" s="62">
        <v>23886.940000000002</v>
      </c>
      <c r="M477" s="75"/>
      <c r="N477" s="76"/>
      <c r="V477" s="56">
        <v>57</v>
      </c>
      <c r="W477" s="56" t="s">
        <v>483</v>
      </c>
      <c r="X477" s="64">
        <v>208.65</v>
      </c>
      <c r="Y477" s="64">
        <v>2.88</v>
      </c>
      <c r="Z477" s="64">
        <f t="shared" si="46"/>
        <v>211.53</v>
      </c>
      <c r="AB477" s="56">
        <v>57</v>
      </c>
      <c r="AC477" s="56" t="s">
        <v>483</v>
      </c>
      <c r="AD477" s="64">
        <v>266.02999999999997</v>
      </c>
      <c r="AE477" s="64">
        <v>3.67</v>
      </c>
      <c r="AF477" s="64">
        <f t="shared" si="47"/>
        <v>269.7</v>
      </c>
      <c r="AH477" s="65">
        <f t="shared" si="45"/>
        <v>-0.42983873999173017</v>
      </c>
      <c r="AI477" s="65">
        <f t="shared" si="45"/>
        <v>-6.5395095367847378E-2</v>
      </c>
      <c r="AJ477" s="65">
        <f t="shared" si="45"/>
        <v>-0.42487949573600292</v>
      </c>
    </row>
    <row r="478" spans="1:36" x14ac:dyDescent="0.3">
      <c r="A478" s="84" t="s">
        <v>937</v>
      </c>
      <c r="B478" s="58" t="s">
        <v>938</v>
      </c>
      <c r="C478" s="59">
        <v>1</v>
      </c>
      <c r="D478" s="60" t="s">
        <v>71</v>
      </c>
      <c r="E478" s="60">
        <v>676.09</v>
      </c>
      <c r="F478" s="60">
        <v>65.260000000000005</v>
      </c>
      <c r="G478" s="60">
        <v>741.35</v>
      </c>
      <c r="H478" s="61">
        <v>676.09</v>
      </c>
      <c r="I478" s="61">
        <v>65.260000000000005</v>
      </c>
      <c r="J478" s="62">
        <v>741.35</v>
      </c>
      <c r="M478" s="75"/>
      <c r="N478" s="76"/>
      <c r="V478" s="56">
        <v>1</v>
      </c>
      <c r="W478" s="56" t="s">
        <v>71</v>
      </c>
      <c r="X478" s="64">
        <v>536.86</v>
      </c>
      <c r="Y478" s="64">
        <v>60.57</v>
      </c>
      <c r="Z478" s="64">
        <f t="shared" si="46"/>
        <v>597.43000000000006</v>
      </c>
      <c r="AB478" s="56">
        <v>1</v>
      </c>
      <c r="AC478" s="56" t="s">
        <v>71</v>
      </c>
      <c r="AD478" s="64">
        <v>684.5</v>
      </c>
      <c r="AE478" s="64">
        <v>77.23</v>
      </c>
      <c r="AF478" s="64">
        <f t="shared" si="47"/>
        <v>761.73</v>
      </c>
      <c r="AH478" s="65">
        <f t="shared" si="45"/>
        <v>-1.2286340394448425E-2</v>
      </c>
      <c r="AI478" s="65">
        <f t="shared" si="45"/>
        <v>-0.15499158358150977</v>
      </c>
      <c r="AJ478" s="65">
        <f t="shared" si="45"/>
        <v>-2.6754886902183195E-2</v>
      </c>
    </row>
    <row r="479" spans="1:36" x14ac:dyDescent="0.3">
      <c r="A479" s="84" t="s">
        <v>939</v>
      </c>
      <c r="B479" s="58" t="s">
        <v>940</v>
      </c>
      <c r="C479" s="59">
        <v>34</v>
      </c>
      <c r="D479" s="60" t="s">
        <v>121</v>
      </c>
      <c r="E479" s="60">
        <v>33.4</v>
      </c>
      <c r="F479" s="60">
        <v>55.32</v>
      </c>
      <c r="G479" s="60">
        <v>88.72</v>
      </c>
      <c r="H479" s="61">
        <v>1135.5999999999999</v>
      </c>
      <c r="I479" s="61">
        <v>1880.88</v>
      </c>
      <c r="J479" s="62">
        <v>3016.48</v>
      </c>
      <c r="M479" s="75"/>
      <c r="N479" s="76"/>
      <c r="V479" s="56">
        <v>21</v>
      </c>
      <c r="W479" s="56" t="s">
        <v>121</v>
      </c>
      <c r="X479" s="64">
        <v>34.11</v>
      </c>
      <c r="Y479" s="64">
        <v>46.94</v>
      </c>
      <c r="Z479" s="64">
        <f t="shared" si="46"/>
        <v>81.05</v>
      </c>
      <c r="AB479" s="56">
        <v>21</v>
      </c>
      <c r="AC479" s="56" t="s">
        <v>121</v>
      </c>
      <c r="AD479" s="64">
        <v>43.49</v>
      </c>
      <c r="AE479" s="64">
        <v>59.85</v>
      </c>
      <c r="AF479" s="64">
        <f t="shared" si="47"/>
        <v>103.34</v>
      </c>
      <c r="AH479" s="65">
        <f t="shared" si="45"/>
        <v>-0.2320073580133365</v>
      </c>
      <c r="AI479" s="65">
        <f t="shared" si="45"/>
        <v>-7.5689223057644139E-2</v>
      </c>
      <c r="AJ479" s="65">
        <f t="shared" si="45"/>
        <v>-0.14147474356493128</v>
      </c>
    </row>
    <row r="480" spans="1:36" x14ac:dyDescent="0.3">
      <c r="A480" s="84" t="s">
        <v>941</v>
      </c>
      <c r="B480" s="58" t="s">
        <v>942</v>
      </c>
      <c r="C480" s="59">
        <v>177</v>
      </c>
      <c r="D480" s="60" t="s">
        <v>121</v>
      </c>
      <c r="E480" s="60">
        <v>52.91</v>
      </c>
      <c r="F480" s="60">
        <v>27.66</v>
      </c>
      <c r="G480" s="60">
        <v>80.569999999999993</v>
      </c>
      <c r="H480" s="61">
        <v>9365.07</v>
      </c>
      <c r="I480" s="61">
        <v>4895.82</v>
      </c>
      <c r="J480" s="62">
        <v>14260.89</v>
      </c>
      <c r="M480" s="75"/>
      <c r="N480" s="76"/>
      <c r="V480" s="56">
        <v>28</v>
      </c>
      <c r="W480" s="56" t="s">
        <v>121</v>
      </c>
      <c r="X480" s="64">
        <v>70.87</v>
      </c>
      <c r="Y480" s="64">
        <v>23.47</v>
      </c>
      <c r="Z480" s="64">
        <f t="shared" si="46"/>
        <v>94.34</v>
      </c>
      <c r="AB480" s="56">
        <v>28</v>
      </c>
      <c r="AC480" s="56" t="s">
        <v>121</v>
      </c>
      <c r="AD480" s="64">
        <v>90.36</v>
      </c>
      <c r="AE480" s="64">
        <v>29.92</v>
      </c>
      <c r="AF480" s="64">
        <f t="shared" si="47"/>
        <v>120.28</v>
      </c>
      <c r="AH480" s="65">
        <f t="shared" si="45"/>
        <v>-0.41445329791943342</v>
      </c>
      <c r="AI480" s="65">
        <f t="shared" si="45"/>
        <v>-7.5534759358288794E-2</v>
      </c>
      <c r="AJ480" s="65">
        <f t="shared" si="45"/>
        <v>-0.3301463252411041</v>
      </c>
    </row>
    <row r="481" spans="1:36" x14ac:dyDescent="0.3">
      <c r="A481" s="84" t="s">
        <v>943</v>
      </c>
      <c r="B481" s="80" t="s">
        <v>944</v>
      </c>
      <c r="C481" s="59">
        <v>1</v>
      </c>
      <c r="D481" s="60" t="s">
        <v>121</v>
      </c>
      <c r="E481" s="60">
        <v>148.66999999999999</v>
      </c>
      <c r="F481" s="60">
        <v>3.43</v>
      </c>
      <c r="G481" s="60">
        <v>152.1</v>
      </c>
      <c r="H481" s="61">
        <v>148.66999999999999</v>
      </c>
      <c r="I481" s="61">
        <v>3.43</v>
      </c>
      <c r="J481" s="62">
        <v>152.1</v>
      </c>
      <c r="M481" s="75"/>
      <c r="N481" s="76"/>
      <c r="V481" s="56">
        <v>1</v>
      </c>
      <c r="W481" s="56" t="s">
        <v>121</v>
      </c>
      <c r="X481" s="64">
        <v>185.99</v>
      </c>
      <c r="Y481" s="64">
        <v>2.88</v>
      </c>
      <c r="Z481" s="64">
        <f t="shared" si="46"/>
        <v>188.87</v>
      </c>
      <c r="AB481" s="56">
        <v>1</v>
      </c>
      <c r="AC481" s="56" t="s">
        <v>121</v>
      </c>
      <c r="AD481" s="64">
        <v>237.14</v>
      </c>
      <c r="AE481" s="64">
        <v>3.67</v>
      </c>
      <c r="AF481" s="64">
        <f t="shared" si="47"/>
        <v>240.80999999999997</v>
      </c>
      <c r="AH481" s="65">
        <f t="shared" si="45"/>
        <v>-0.37307075988867333</v>
      </c>
      <c r="AI481" s="65">
        <f t="shared" si="45"/>
        <v>-6.5395095367847378E-2</v>
      </c>
      <c r="AJ481" s="65">
        <f t="shared" si="45"/>
        <v>-0.3683817117229351</v>
      </c>
    </row>
    <row r="482" spans="1:36" x14ac:dyDescent="0.3">
      <c r="A482" s="84" t="s">
        <v>945</v>
      </c>
      <c r="B482" s="58" t="s">
        <v>946</v>
      </c>
      <c r="C482" s="59">
        <v>1</v>
      </c>
      <c r="D482" s="60" t="s">
        <v>483</v>
      </c>
      <c r="E482" s="60">
        <v>98.91</v>
      </c>
      <c r="F482" s="60">
        <v>5.77</v>
      </c>
      <c r="G482" s="60">
        <v>104.67999999999999</v>
      </c>
      <c r="H482" s="61">
        <v>98.91</v>
      </c>
      <c r="I482" s="61">
        <v>5.77</v>
      </c>
      <c r="J482" s="62">
        <v>104.67999999999999</v>
      </c>
      <c r="M482" s="75"/>
      <c r="N482" s="76"/>
      <c r="V482" s="56">
        <v>1</v>
      </c>
      <c r="W482" s="56" t="s">
        <v>483</v>
      </c>
      <c r="X482" s="64">
        <v>129.22</v>
      </c>
      <c r="Y482" s="64">
        <v>4.95</v>
      </c>
      <c r="Z482" s="64">
        <f t="shared" si="46"/>
        <v>134.16999999999999</v>
      </c>
      <c r="AB482" s="56">
        <v>1</v>
      </c>
      <c r="AC482" s="56" t="s">
        <v>483</v>
      </c>
      <c r="AD482" s="64">
        <v>164.76</v>
      </c>
      <c r="AE482" s="64">
        <v>6.31</v>
      </c>
      <c r="AF482" s="64">
        <f t="shared" si="47"/>
        <v>171.07</v>
      </c>
      <c r="AH482" s="65">
        <f t="shared" si="45"/>
        <v>-0.39967225054624911</v>
      </c>
      <c r="AI482" s="65">
        <f t="shared" si="45"/>
        <v>-8.5578446909667205E-2</v>
      </c>
      <c r="AJ482" s="65">
        <f t="shared" si="45"/>
        <v>-0.38808674811480681</v>
      </c>
    </row>
    <row r="483" spans="1:36" x14ac:dyDescent="0.3">
      <c r="A483" s="84" t="s">
        <v>947</v>
      </c>
      <c r="B483" s="80" t="s">
        <v>948</v>
      </c>
      <c r="C483" s="59">
        <v>1</v>
      </c>
      <c r="D483" s="60" t="s">
        <v>483</v>
      </c>
      <c r="E483" s="60">
        <v>54.84</v>
      </c>
      <c r="F483" s="60">
        <v>27.66</v>
      </c>
      <c r="G483" s="60">
        <v>82.5</v>
      </c>
      <c r="H483" s="61">
        <v>54.84</v>
      </c>
      <c r="I483" s="61">
        <v>27.66</v>
      </c>
      <c r="J483" s="62">
        <v>82.5</v>
      </c>
      <c r="M483" s="75"/>
      <c r="N483" s="76"/>
      <c r="V483" s="56">
        <v>1</v>
      </c>
      <c r="W483" s="56" t="s">
        <v>483</v>
      </c>
      <c r="X483" s="64">
        <v>41.45</v>
      </c>
      <c r="Y483" s="64">
        <v>23.47</v>
      </c>
      <c r="Z483" s="64">
        <f t="shared" si="46"/>
        <v>64.92</v>
      </c>
      <c r="AB483" s="56">
        <v>1</v>
      </c>
      <c r="AC483" s="56" t="s">
        <v>483</v>
      </c>
      <c r="AD483" s="64">
        <v>52.85</v>
      </c>
      <c r="AE483" s="64">
        <v>29.92</v>
      </c>
      <c r="AF483" s="64">
        <f t="shared" si="47"/>
        <v>82.77000000000001</v>
      </c>
      <c r="AH483" s="65">
        <f t="shared" si="45"/>
        <v>3.7653736991485331E-2</v>
      </c>
      <c r="AI483" s="65">
        <f t="shared" si="45"/>
        <v>-7.5534759358288794E-2</v>
      </c>
      <c r="AJ483" s="65">
        <f t="shared" si="45"/>
        <v>-3.2620514679232437E-3</v>
      </c>
    </row>
    <row r="484" spans="1:36" x14ac:dyDescent="0.3">
      <c r="A484" s="82">
        <v>29</v>
      </c>
      <c r="B484" s="83" t="s">
        <v>949</v>
      </c>
      <c r="C484" s="71"/>
      <c r="D484" s="72"/>
      <c r="E484" s="72"/>
      <c r="F484" s="72"/>
      <c r="G484" s="72"/>
      <c r="H484" s="52">
        <v>426137.75999999995</v>
      </c>
      <c r="I484" s="52">
        <v>320393.33999999991</v>
      </c>
      <c r="J484" s="52">
        <v>746531.10000000009</v>
      </c>
      <c r="M484" s="75"/>
      <c r="N484" s="76"/>
      <c r="V484" s="54"/>
      <c r="W484" s="54"/>
      <c r="X484" s="55"/>
      <c r="Y484" s="55"/>
      <c r="Z484" s="55"/>
      <c r="AB484" s="54"/>
      <c r="AC484" s="54"/>
      <c r="AD484" s="55"/>
      <c r="AE484" s="55"/>
      <c r="AF484" s="55"/>
      <c r="AH484" s="65">
        <f t="shared" si="45"/>
        <v>0</v>
      </c>
      <c r="AI484" s="65">
        <f t="shared" si="45"/>
        <v>0</v>
      </c>
      <c r="AJ484" s="65">
        <f t="shared" si="45"/>
        <v>0</v>
      </c>
    </row>
    <row r="485" spans="1:36" x14ac:dyDescent="0.3">
      <c r="A485" s="84" t="s">
        <v>950</v>
      </c>
      <c r="B485" s="58" t="s">
        <v>951</v>
      </c>
      <c r="C485" s="59">
        <v>15</v>
      </c>
      <c r="D485" s="60" t="s">
        <v>57</v>
      </c>
      <c r="E485" s="60">
        <v>27.82</v>
      </c>
      <c r="F485" s="60">
        <v>7.85</v>
      </c>
      <c r="G485" s="60">
        <v>35.67</v>
      </c>
      <c r="H485" s="61">
        <v>417.3</v>
      </c>
      <c r="I485" s="61">
        <v>117.75</v>
      </c>
      <c r="J485" s="62">
        <v>535.05000000000007</v>
      </c>
      <c r="M485" s="75"/>
      <c r="N485" s="76"/>
      <c r="V485" s="56">
        <v>43</v>
      </c>
      <c r="W485" s="56" t="s">
        <v>57</v>
      </c>
      <c r="X485" s="64">
        <v>31.75</v>
      </c>
      <c r="Y485" s="64">
        <v>7.43</v>
      </c>
      <c r="Z485" s="64">
        <f t="shared" ref="Z485:Z535" si="48">SUM(X485:Y485)</f>
        <v>39.18</v>
      </c>
      <c r="AB485" s="56">
        <v>43</v>
      </c>
      <c r="AC485" s="56" t="s">
        <v>57</v>
      </c>
      <c r="AD485" s="64">
        <v>40.479999999999997</v>
      </c>
      <c r="AE485" s="64">
        <v>9.4700000000000006</v>
      </c>
      <c r="AF485" s="64">
        <f t="shared" ref="AF485:AF535" si="49">SUM(AD485:AE485)</f>
        <v>49.949999999999996</v>
      </c>
      <c r="AH485" s="65">
        <f t="shared" si="45"/>
        <v>-0.31274703557312244</v>
      </c>
      <c r="AI485" s="65">
        <f t="shared" si="45"/>
        <v>-0.17106652587117221</v>
      </c>
      <c r="AJ485" s="65">
        <f t="shared" si="45"/>
        <v>-0.28588588588588582</v>
      </c>
    </row>
    <row r="486" spans="1:36" ht="28.8" x14ac:dyDescent="0.3">
      <c r="A486" s="84" t="s">
        <v>952</v>
      </c>
      <c r="B486" s="58" t="s">
        <v>953</v>
      </c>
      <c r="C486" s="59">
        <v>146</v>
      </c>
      <c r="D486" s="60" t="s">
        <v>954</v>
      </c>
      <c r="E486" s="60">
        <v>10.93</v>
      </c>
      <c r="F486" s="60">
        <v>13.03</v>
      </c>
      <c r="G486" s="60">
        <v>23.96</v>
      </c>
      <c r="H486" s="61">
        <v>1595.78</v>
      </c>
      <c r="I486" s="61">
        <v>1902.3799999999999</v>
      </c>
      <c r="J486" s="62">
        <v>3498.1600000000003</v>
      </c>
      <c r="M486" s="75"/>
      <c r="N486" s="76"/>
      <c r="V486" s="56">
        <v>45</v>
      </c>
      <c r="W486" s="56" t="s">
        <v>954</v>
      </c>
      <c r="X486" s="64">
        <v>12.48</v>
      </c>
      <c r="Y486" s="64">
        <v>12.27</v>
      </c>
      <c r="Z486" s="64">
        <f t="shared" si="48"/>
        <v>24.75</v>
      </c>
      <c r="AB486" s="56">
        <v>45</v>
      </c>
      <c r="AC486" s="56" t="s">
        <v>954</v>
      </c>
      <c r="AD486" s="64">
        <v>15.91</v>
      </c>
      <c r="AE486" s="64">
        <v>15.64</v>
      </c>
      <c r="AF486" s="64">
        <f t="shared" si="49"/>
        <v>31.55</v>
      </c>
      <c r="AH486" s="65">
        <f t="shared" si="45"/>
        <v>-0.31301068510370833</v>
      </c>
      <c r="AI486" s="65">
        <f t="shared" si="45"/>
        <v>-0.16687979539641951</v>
      </c>
      <c r="AJ486" s="65">
        <f t="shared" si="45"/>
        <v>-0.24057052297939774</v>
      </c>
    </row>
    <row r="487" spans="1:36" x14ac:dyDescent="0.3">
      <c r="A487" s="84" t="s">
        <v>955</v>
      </c>
      <c r="B487" s="58" t="s">
        <v>956</v>
      </c>
      <c r="C487" s="59">
        <v>16</v>
      </c>
      <c r="D487" s="60" t="s">
        <v>57</v>
      </c>
      <c r="E487" s="60">
        <v>193.86</v>
      </c>
      <c r="F487" s="60">
        <v>14.63</v>
      </c>
      <c r="G487" s="60">
        <v>208.49</v>
      </c>
      <c r="H487" s="61">
        <v>3101.76</v>
      </c>
      <c r="I487" s="61">
        <v>234.08</v>
      </c>
      <c r="J487" s="62">
        <v>3335.84</v>
      </c>
      <c r="M487" s="75"/>
      <c r="N487" s="76"/>
      <c r="V487" s="56">
        <v>38</v>
      </c>
      <c r="W487" s="56" t="s">
        <v>57</v>
      </c>
      <c r="X487" s="64">
        <v>221.27</v>
      </c>
      <c r="Y487" s="64">
        <v>13.28</v>
      </c>
      <c r="Z487" s="64">
        <f t="shared" si="48"/>
        <v>234.55</v>
      </c>
      <c r="AB487" s="56">
        <v>38</v>
      </c>
      <c r="AC487" s="56" t="s">
        <v>57</v>
      </c>
      <c r="AD487" s="64">
        <v>282.12</v>
      </c>
      <c r="AE487" s="64">
        <v>16.93</v>
      </c>
      <c r="AF487" s="64">
        <f t="shared" si="49"/>
        <v>299.05</v>
      </c>
      <c r="AH487" s="65">
        <f t="shared" si="45"/>
        <v>-0.31284559761803488</v>
      </c>
      <c r="AI487" s="65">
        <f t="shared" si="45"/>
        <v>-0.13585351447135252</v>
      </c>
      <c r="AJ487" s="65">
        <f t="shared" si="45"/>
        <v>-0.30282561444574485</v>
      </c>
    </row>
    <row r="488" spans="1:36" ht="28.8" x14ac:dyDescent="0.3">
      <c r="A488" s="84" t="s">
        <v>957</v>
      </c>
      <c r="B488" s="58" t="s">
        <v>958</v>
      </c>
      <c r="C488" s="59">
        <v>273</v>
      </c>
      <c r="D488" s="60" t="s">
        <v>954</v>
      </c>
      <c r="E488" s="60">
        <v>11.55</v>
      </c>
      <c r="F488" s="60">
        <v>7.82</v>
      </c>
      <c r="G488" s="60">
        <v>19.37</v>
      </c>
      <c r="H488" s="61">
        <v>3153.15</v>
      </c>
      <c r="I488" s="61">
        <v>2134.86</v>
      </c>
      <c r="J488" s="62">
        <v>5288.01</v>
      </c>
      <c r="M488" s="75"/>
      <c r="N488" s="76"/>
      <c r="V488" s="56">
        <v>6</v>
      </c>
      <c r="W488" s="56" t="s">
        <v>954</v>
      </c>
      <c r="X488" s="64">
        <v>13.18</v>
      </c>
      <c r="Y488" s="64">
        <v>7.36</v>
      </c>
      <c r="Z488" s="64">
        <f t="shared" si="48"/>
        <v>20.54</v>
      </c>
      <c r="AB488" s="56">
        <v>6</v>
      </c>
      <c r="AC488" s="56" t="s">
        <v>954</v>
      </c>
      <c r="AD488" s="64">
        <v>16.8</v>
      </c>
      <c r="AE488" s="64">
        <v>9.3800000000000008</v>
      </c>
      <c r="AF488" s="64">
        <f t="shared" si="49"/>
        <v>26.18</v>
      </c>
      <c r="AH488" s="65">
        <f t="shared" si="45"/>
        <v>-0.3125</v>
      </c>
      <c r="AI488" s="65">
        <f t="shared" si="45"/>
        <v>-0.16631130063965893</v>
      </c>
      <c r="AJ488" s="65">
        <f t="shared" si="45"/>
        <v>-0.26012223071046592</v>
      </c>
    </row>
    <row r="489" spans="1:36" x14ac:dyDescent="0.3">
      <c r="A489" s="84" t="s">
        <v>959</v>
      </c>
      <c r="B489" s="58" t="s">
        <v>960</v>
      </c>
      <c r="C489" s="59">
        <v>13</v>
      </c>
      <c r="D489" s="60" t="s">
        <v>961</v>
      </c>
      <c r="E489" s="60">
        <v>366.65</v>
      </c>
      <c r="F489" s="60">
        <v>122.53</v>
      </c>
      <c r="G489" s="60">
        <v>489.17999999999995</v>
      </c>
      <c r="H489" s="61">
        <v>4766.45</v>
      </c>
      <c r="I489" s="61">
        <v>1592.89</v>
      </c>
      <c r="J489" s="62">
        <v>6359.3399999999992</v>
      </c>
      <c r="M489" s="75"/>
      <c r="N489" s="76"/>
      <c r="V489" s="56">
        <v>1</v>
      </c>
      <c r="W489" s="56" t="s">
        <v>961</v>
      </c>
      <c r="X489" s="64">
        <v>418.5</v>
      </c>
      <c r="Y489" s="64">
        <v>98.16</v>
      </c>
      <c r="Z489" s="64">
        <f t="shared" si="48"/>
        <v>516.66</v>
      </c>
      <c r="AB489" s="56">
        <v>1</v>
      </c>
      <c r="AC489" s="56" t="s">
        <v>961</v>
      </c>
      <c r="AD489" s="64">
        <v>533.59</v>
      </c>
      <c r="AE489" s="64">
        <v>125.15</v>
      </c>
      <c r="AF489" s="64">
        <f t="shared" si="49"/>
        <v>658.74</v>
      </c>
      <c r="AH489" s="65">
        <f t="shared" si="45"/>
        <v>-0.3128619351936881</v>
      </c>
      <c r="AI489" s="65">
        <f t="shared" si="45"/>
        <v>-2.0934878146224523E-2</v>
      </c>
      <c r="AJ489" s="65">
        <f t="shared" si="45"/>
        <v>-0.25740049184807368</v>
      </c>
    </row>
    <row r="490" spans="1:36" x14ac:dyDescent="0.3">
      <c r="A490" s="84" t="s">
        <v>962</v>
      </c>
      <c r="B490" s="58" t="s">
        <v>963</v>
      </c>
      <c r="C490" s="59">
        <v>4595</v>
      </c>
      <c r="D490" s="60" t="s">
        <v>57</v>
      </c>
      <c r="E490" s="60">
        <v>14.63</v>
      </c>
      <c r="F490" s="60">
        <v>1.78</v>
      </c>
      <c r="G490" s="60">
        <v>16.41</v>
      </c>
      <c r="H490" s="61">
        <v>67224.850000000006</v>
      </c>
      <c r="I490" s="61">
        <v>8179.1</v>
      </c>
      <c r="J490" s="62">
        <v>75403.95</v>
      </c>
      <c r="M490" s="75"/>
      <c r="N490" s="76"/>
      <c r="V490" s="56">
        <v>4371</v>
      </c>
      <c r="W490" s="56" t="s">
        <v>57</v>
      </c>
      <c r="X490" s="64">
        <v>16.350000000000001</v>
      </c>
      <c r="Y490" s="64">
        <v>1.61</v>
      </c>
      <c r="Z490" s="64">
        <f t="shared" si="48"/>
        <v>17.96</v>
      </c>
      <c r="AB490" s="56">
        <v>4371</v>
      </c>
      <c r="AC490" s="56" t="s">
        <v>57</v>
      </c>
      <c r="AD490" s="64">
        <v>20.85</v>
      </c>
      <c r="AE490" s="64">
        <v>2.0499999999999998</v>
      </c>
      <c r="AF490" s="64">
        <f t="shared" si="49"/>
        <v>22.900000000000002</v>
      </c>
      <c r="AH490" s="65">
        <f t="shared" si="45"/>
        <v>-0.29832134292565948</v>
      </c>
      <c r="AI490" s="65">
        <f t="shared" si="45"/>
        <v>-0.13170731707317063</v>
      </c>
      <c r="AJ490" s="65">
        <f t="shared" si="45"/>
        <v>-0.28340611353711798</v>
      </c>
    </row>
    <row r="491" spans="1:36" x14ac:dyDescent="0.3">
      <c r="A491" s="84" t="s">
        <v>964</v>
      </c>
      <c r="B491" s="58" t="s">
        <v>965</v>
      </c>
      <c r="C491" s="59">
        <v>482</v>
      </c>
      <c r="D491" s="60" t="s">
        <v>954</v>
      </c>
      <c r="E491" s="60">
        <v>7.84</v>
      </c>
      <c r="F491" s="60">
        <v>12.2</v>
      </c>
      <c r="G491" s="60">
        <v>20.04</v>
      </c>
      <c r="H491" s="61">
        <v>3778.88</v>
      </c>
      <c r="I491" s="61">
        <v>5880.4</v>
      </c>
      <c r="J491" s="62">
        <v>9659.2799999999988</v>
      </c>
      <c r="M491" s="75"/>
      <c r="N491" s="76"/>
      <c r="V491" s="56">
        <v>456</v>
      </c>
      <c r="W491" s="56" t="s">
        <v>954</v>
      </c>
      <c r="X491" s="64">
        <v>8.9499999999999993</v>
      </c>
      <c r="Y491" s="64">
        <v>11.07</v>
      </c>
      <c r="Z491" s="64">
        <f t="shared" si="48"/>
        <v>20.02</v>
      </c>
      <c r="AB491" s="56">
        <v>456</v>
      </c>
      <c r="AC491" s="56" t="s">
        <v>954</v>
      </c>
      <c r="AD491" s="64">
        <v>11.41</v>
      </c>
      <c r="AE491" s="64">
        <v>14.11</v>
      </c>
      <c r="AF491" s="64">
        <f t="shared" si="49"/>
        <v>25.52</v>
      </c>
      <c r="AH491" s="65">
        <f t="shared" si="45"/>
        <v>-0.31288343558282206</v>
      </c>
      <c r="AI491" s="65">
        <f t="shared" si="45"/>
        <v>-0.13536498936924168</v>
      </c>
      <c r="AJ491" s="65">
        <f t="shared" si="45"/>
        <v>-0.21473354231974928</v>
      </c>
    </row>
    <row r="492" spans="1:36" x14ac:dyDescent="0.3">
      <c r="A492" s="84" t="s">
        <v>966</v>
      </c>
      <c r="B492" s="58" t="s">
        <v>967</v>
      </c>
      <c r="C492" s="59">
        <v>17</v>
      </c>
      <c r="D492" s="60" t="s">
        <v>57</v>
      </c>
      <c r="E492" s="60">
        <v>19.37</v>
      </c>
      <c r="F492" s="60">
        <v>97.57</v>
      </c>
      <c r="G492" s="60">
        <v>116.94</v>
      </c>
      <c r="H492" s="61">
        <v>329.29</v>
      </c>
      <c r="I492" s="61">
        <v>1658.6899999999998</v>
      </c>
      <c r="J492" s="62">
        <v>1987.98</v>
      </c>
      <c r="M492" s="75"/>
      <c r="N492" s="76"/>
      <c r="V492" s="56">
        <v>126</v>
      </c>
      <c r="W492" s="56" t="s">
        <v>57</v>
      </c>
      <c r="X492" s="64">
        <v>22.11</v>
      </c>
      <c r="Y492" s="64">
        <v>88.56</v>
      </c>
      <c r="Z492" s="64">
        <f t="shared" si="48"/>
        <v>110.67</v>
      </c>
      <c r="AB492" s="56">
        <v>126</v>
      </c>
      <c r="AC492" s="56" t="s">
        <v>57</v>
      </c>
      <c r="AD492" s="64">
        <v>28.19</v>
      </c>
      <c r="AE492" s="64">
        <v>112.91</v>
      </c>
      <c r="AF492" s="64">
        <f t="shared" si="49"/>
        <v>141.1</v>
      </c>
      <c r="AH492" s="65">
        <f t="shared" si="45"/>
        <v>-0.31287690670450519</v>
      </c>
      <c r="AI492" s="65">
        <f t="shared" si="45"/>
        <v>-0.13586041980338326</v>
      </c>
      <c r="AJ492" s="65">
        <f t="shared" si="45"/>
        <v>-0.17122608079376322</v>
      </c>
    </row>
    <row r="493" spans="1:36" ht="28.8" x14ac:dyDescent="0.3">
      <c r="A493" s="84" t="s">
        <v>968</v>
      </c>
      <c r="B493" s="58" t="s">
        <v>969</v>
      </c>
      <c r="C493" s="59">
        <v>18</v>
      </c>
      <c r="D493" s="60" t="s">
        <v>57</v>
      </c>
      <c r="E493" s="60">
        <v>76.819999999999993</v>
      </c>
      <c r="F493" s="60">
        <v>48.78</v>
      </c>
      <c r="G493" s="60">
        <v>125.6</v>
      </c>
      <c r="H493" s="61">
        <v>1382.7599999999998</v>
      </c>
      <c r="I493" s="61">
        <v>878.04</v>
      </c>
      <c r="J493" s="62">
        <v>2260.7999999999997</v>
      </c>
      <c r="M493" s="75"/>
      <c r="N493" s="79"/>
      <c r="V493" s="56">
        <v>1</v>
      </c>
      <c r="W493" s="56" t="s">
        <v>57</v>
      </c>
      <c r="X493" s="64">
        <v>105.04</v>
      </c>
      <c r="Y493" s="64">
        <v>44.28</v>
      </c>
      <c r="Z493" s="64">
        <f t="shared" si="48"/>
        <v>149.32</v>
      </c>
      <c r="AB493" s="56">
        <v>1</v>
      </c>
      <c r="AC493" s="56" t="s">
        <v>57</v>
      </c>
      <c r="AD493" s="64">
        <v>133.93</v>
      </c>
      <c r="AE493" s="64">
        <v>56.46</v>
      </c>
      <c r="AF493" s="64">
        <f t="shared" si="49"/>
        <v>190.39000000000001</v>
      </c>
      <c r="AH493" s="65">
        <f t="shared" si="45"/>
        <v>-0.42641678488762791</v>
      </c>
      <c r="AI493" s="65">
        <f t="shared" si="45"/>
        <v>-0.1360255047821467</v>
      </c>
      <c r="AJ493" s="65">
        <f t="shared" si="45"/>
        <v>-0.34030148642260627</v>
      </c>
    </row>
    <row r="494" spans="1:36" ht="28.8" x14ac:dyDescent="0.3">
      <c r="A494" s="84" t="s">
        <v>970</v>
      </c>
      <c r="B494" s="58" t="s">
        <v>971</v>
      </c>
      <c r="C494" s="59">
        <v>58</v>
      </c>
      <c r="D494" s="60" t="s">
        <v>57</v>
      </c>
      <c r="E494" s="60">
        <v>76.98</v>
      </c>
      <c r="F494" s="60">
        <v>48.78</v>
      </c>
      <c r="G494" s="60">
        <v>125.76</v>
      </c>
      <c r="H494" s="61">
        <v>4464.84</v>
      </c>
      <c r="I494" s="61">
        <v>2829.2400000000002</v>
      </c>
      <c r="J494" s="62">
        <v>7294.08</v>
      </c>
      <c r="M494" s="75"/>
      <c r="N494" s="76"/>
      <c r="V494" s="56">
        <v>176</v>
      </c>
      <c r="W494" s="56" t="s">
        <v>57</v>
      </c>
      <c r="X494" s="64">
        <v>105.23</v>
      </c>
      <c r="Y494" s="64">
        <v>44.28</v>
      </c>
      <c r="Z494" s="64">
        <f t="shared" si="48"/>
        <v>149.51</v>
      </c>
      <c r="AB494" s="56">
        <v>176</v>
      </c>
      <c r="AC494" s="56" t="s">
        <v>57</v>
      </c>
      <c r="AD494" s="64">
        <v>134.16999999999999</v>
      </c>
      <c r="AE494" s="64">
        <v>56.46</v>
      </c>
      <c r="AF494" s="64">
        <f t="shared" si="49"/>
        <v>190.63</v>
      </c>
      <c r="AH494" s="65">
        <f t="shared" si="45"/>
        <v>-0.42625027949616145</v>
      </c>
      <c r="AI494" s="65">
        <f t="shared" si="45"/>
        <v>-0.1360255047821467</v>
      </c>
      <c r="AJ494" s="65">
        <f t="shared" si="45"/>
        <v>-0.3402927136337407</v>
      </c>
    </row>
    <row r="495" spans="1:36" x14ac:dyDescent="0.3">
      <c r="A495" s="84" t="s">
        <v>972</v>
      </c>
      <c r="B495" s="80" t="s">
        <v>973</v>
      </c>
      <c r="C495" s="59">
        <v>6233</v>
      </c>
      <c r="D495" s="60" t="s">
        <v>954</v>
      </c>
      <c r="E495" s="60">
        <v>1.1599999999999999</v>
      </c>
      <c r="F495" s="60">
        <v>7.82</v>
      </c>
      <c r="G495" s="60">
        <v>8.98</v>
      </c>
      <c r="H495" s="61">
        <v>7230.28</v>
      </c>
      <c r="I495" s="61">
        <v>48742.060000000005</v>
      </c>
      <c r="J495" s="62">
        <v>55972.340000000004</v>
      </c>
      <c r="M495" s="75"/>
      <c r="N495" s="76"/>
      <c r="V495" s="56">
        <v>4744</v>
      </c>
      <c r="W495" s="56" t="s">
        <v>954</v>
      </c>
      <c r="X495" s="64">
        <v>1.32</v>
      </c>
      <c r="Y495" s="64">
        <v>7.36</v>
      </c>
      <c r="Z495" s="64">
        <f t="shared" si="48"/>
        <v>8.68</v>
      </c>
      <c r="AB495" s="56">
        <v>4744</v>
      </c>
      <c r="AC495" s="56" t="s">
        <v>954</v>
      </c>
      <c r="AD495" s="64">
        <v>1.68</v>
      </c>
      <c r="AE495" s="64">
        <v>9.3800000000000008</v>
      </c>
      <c r="AF495" s="64">
        <f t="shared" si="49"/>
        <v>11.06</v>
      </c>
      <c r="AH495" s="65">
        <f t="shared" si="45"/>
        <v>-0.30952380952380953</v>
      </c>
      <c r="AI495" s="65">
        <f t="shared" si="45"/>
        <v>-0.16631130063965893</v>
      </c>
      <c r="AJ495" s="65">
        <f t="shared" si="45"/>
        <v>-0.18806509945750449</v>
      </c>
    </row>
    <row r="496" spans="1:36" x14ac:dyDescent="0.3">
      <c r="A496" s="84" t="s">
        <v>974</v>
      </c>
      <c r="B496" s="58" t="s">
        <v>975</v>
      </c>
      <c r="C496" s="59">
        <v>2100</v>
      </c>
      <c r="D496" s="60" t="s">
        <v>954</v>
      </c>
      <c r="E496" s="60">
        <v>9.11</v>
      </c>
      <c r="F496" s="60">
        <v>7.82</v>
      </c>
      <c r="G496" s="60">
        <v>16.93</v>
      </c>
      <c r="H496" s="61">
        <v>19131</v>
      </c>
      <c r="I496" s="61">
        <v>16422</v>
      </c>
      <c r="J496" s="62">
        <v>35553</v>
      </c>
      <c r="M496" s="75"/>
      <c r="N496" s="76"/>
      <c r="V496" s="56">
        <v>213</v>
      </c>
      <c r="W496" s="56" t="s">
        <v>954</v>
      </c>
      <c r="X496" s="64">
        <v>10.4</v>
      </c>
      <c r="Y496" s="64">
        <v>7.36</v>
      </c>
      <c r="Z496" s="64">
        <f t="shared" si="48"/>
        <v>17.760000000000002</v>
      </c>
      <c r="AB496" s="56">
        <v>213</v>
      </c>
      <c r="AC496" s="56" t="s">
        <v>954</v>
      </c>
      <c r="AD496" s="64">
        <v>13.26</v>
      </c>
      <c r="AE496" s="64">
        <v>9.3800000000000008</v>
      </c>
      <c r="AF496" s="64">
        <f t="shared" si="49"/>
        <v>22.64</v>
      </c>
      <c r="AH496" s="65">
        <f t="shared" si="45"/>
        <v>-0.31297134238310709</v>
      </c>
      <c r="AI496" s="65">
        <f t="shared" si="45"/>
        <v>-0.16631130063965893</v>
      </c>
      <c r="AJ496" s="65">
        <f t="shared" si="45"/>
        <v>-0.25220848056537104</v>
      </c>
    </row>
    <row r="497" spans="1:36" ht="28.8" x14ac:dyDescent="0.3">
      <c r="A497" s="84" t="s">
        <v>976</v>
      </c>
      <c r="B497" s="58" t="s">
        <v>977</v>
      </c>
      <c r="C497" s="59">
        <v>59</v>
      </c>
      <c r="D497" s="60" t="s">
        <v>978</v>
      </c>
      <c r="E497" s="60">
        <v>24.97</v>
      </c>
      <c r="F497" s="60">
        <v>48.78</v>
      </c>
      <c r="G497" s="60">
        <v>73.75</v>
      </c>
      <c r="H497" s="61">
        <v>1473.23</v>
      </c>
      <c r="I497" s="61">
        <v>2878.02</v>
      </c>
      <c r="J497" s="62">
        <v>4351.25</v>
      </c>
      <c r="M497" s="75"/>
      <c r="N497" s="76"/>
      <c r="V497" s="56">
        <v>471</v>
      </c>
      <c r="W497" s="56" t="s">
        <v>978</v>
      </c>
      <c r="X497" s="64">
        <v>28.5</v>
      </c>
      <c r="Y497" s="64">
        <v>44.28</v>
      </c>
      <c r="Z497" s="64">
        <f t="shared" si="48"/>
        <v>72.78</v>
      </c>
      <c r="AB497" s="56">
        <v>471</v>
      </c>
      <c r="AC497" s="56" t="s">
        <v>978</v>
      </c>
      <c r="AD497" s="64">
        <v>36.340000000000003</v>
      </c>
      <c r="AE497" s="64">
        <v>56.46</v>
      </c>
      <c r="AF497" s="64">
        <f t="shared" si="49"/>
        <v>92.800000000000011</v>
      </c>
      <c r="AH497" s="65">
        <f t="shared" si="45"/>
        <v>-0.31287837094111182</v>
      </c>
      <c r="AI497" s="65">
        <f t="shared" si="45"/>
        <v>-0.1360255047821467</v>
      </c>
      <c r="AJ497" s="65">
        <f t="shared" si="45"/>
        <v>-0.20528017241379315</v>
      </c>
    </row>
    <row r="498" spans="1:36" ht="28.8" x14ac:dyDescent="0.3">
      <c r="A498" s="84" t="s">
        <v>979</v>
      </c>
      <c r="B498" s="58" t="s">
        <v>980</v>
      </c>
      <c r="C498" s="59">
        <v>295</v>
      </c>
      <c r="D498" s="60" t="s">
        <v>978</v>
      </c>
      <c r="E498" s="60">
        <v>166.33</v>
      </c>
      <c r="F498" s="60">
        <v>48.78</v>
      </c>
      <c r="G498" s="60">
        <v>215.11</v>
      </c>
      <c r="H498" s="61">
        <v>49067.350000000006</v>
      </c>
      <c r="I498" s="61">
        <v>14390.1</v>
      </c>
      <c r="J498" s="62">
        <v>63457.450000000004</v>
      </c>
      <c r="M498" s="75"/>
      <c r="N498" s="76"/>
      <c r="V498" s="56">
        <v>357</v>
      </c>
      <c r="W498" s="56" t="s">
        <v>978</v>
      </c>
      <c r="X498" s="64">
        <v>189.85</v>
      </c>
      <c r="Y498" s="64">
        <v>44.28</v>
      </c>
      <c r="Z498" s="64">
        <f t="shared" si="48"/>
        <v>234.13</v>
      </c>
      <c r="AB498" s="56">
        <v>357</v>
      </c>
      <c r="AC498" s="56" t="s">
        <v>978</v>
      </c>
      <c r="AD498" s="64">
        <v>242.06</v>
      </c>
      <c r="AE498" s="64">
        <v>56.46</v>
      </c>
      <c r="AF498" s="64">
        <f t="shared" si="49"/>
        <v>298.52</v>
      </c>
      <c r="AH498" s="65">
        <f t="shared" si="45"/>
        <v>-0.31285631661571511</v>
      </c>
      <c r="AI498" s="65">
        <f t="shared" si="45"/>
        <v>-0.1360255047821467</v>
      </c>
      <c r="AJ498" s="65">
        <f t="shared" si="45"/>
        <v>-0.27941176470588225</v>
      </c>
    </row>
    <row r="499" spans="1:36" ht="28.8" x14ac:dyDescent="0.3">
      <c r="A499" s="84" t="s">
        <v>981</v>
      </c>
      <c r="B499" s="58" t="s">
        <v>982</v>
      </c>
      <c r="C499" s="59">
        <v>55</v>
      </c>
      <c r="D499" s="60" t="s">
        <v>978</v>
      </c>
      <c r="E499" s="60">
        <v>163.25</v>
      </c>
      <c r="F499" s="60">
        <v>48.78</v>
      </c>
      <c r="G499" s="60">
        <v>212.03</v>
      </c>
      <c r="H499" s="61">
        <v>8978.75</v>
      </c>
      <c r="I499" s="61">
        <v>2682.9</v>
      </c>
      <c r="J499" s="62">
        <v>11661.65</v>
      </c>
      <c r="M499" s="75"/>
      <c r="N499" s="76"/>
      <c r="V499" s="56">
        <v>72</v>
      </c>
      <c r="W499" s="56" t="s">
        <v>978</v>
      </c>
      <c r="X499" s="64">
        <v>186.34</v>
      </c>
      <c r="Y499" s="64">
        <v>44.28</v>
      </c>
      <c r="Z499" s="64">
        <f t="shared" si="48"/>
        <v>230.62</v>
      </c>
      <c r="AB499" s="56">
        <v>72</v>
      </c>
      <c r="AC499" s="56" t="s">
        <v>978</v>
      </c>
      <c r="AD499" s="64">
        <v>237.58</v>
      </c>
      <c r="AE499" s="64">
        <v>56.46</v>
      </c>
      <c r="AF499" s="64">
        <f t="shared" si="49"/>
        <v>294.04000000000002</v>
      </c>
      <c r="AH499" s="65">
        <f t="shared" si="45"/>
        <v>-0.31286303560905804</v>
      </c>
      <c r="AI499" s="65">
        <f t="shared" si="45"/>
        <v>-0.1360255047821467</v>
      </c>
      <c r="AJ499" s="65">
        <f t="shared" si="45"/>
        <v>-0.2789076316147463</v>
      </c>
    </row>
    <row r="500" spans="1:36" x14ac:dyDescent="0.3">
      <c r="A500" s="84" t="s">
        <v>983</v>
      </c>
      <c r="B500" s="58" t="s">
        <v>984</v>
      </c>
      <c r="C500" s="59">
        <v>86</v>
      </c>
      <c r="D500" s="60" t="s">
        <v>57</v>
      </c>
      <c r="E500" s="60">
        <v>425.52</v>
      </c>
      <c r="F500" s="60">
        <v>146.35</v>
      </c>
      <c r="G500" s="60">
        <v>571.87</v>
      </c>
      <c r="H500" s="61">
        <v>36594.720000000001</v>
      </c>
      <c r="I500" s="61">
        <v>12586.1</v>
      </c>
      <c r="J500" s="62">
        <v>49180.82</v>
      </c>
      <c r="M500" s="75"/>
      <c r="N500" s="76"/>
      <c r="V500" s="56">
        <v>12</v>
      </c>
      <c r="W500" s="56" t="s">
        <v>57</v>
      </c>
      <c r="X500" s="64">
        <v>485.7</v>
      </c>
      <c r="Y500" s="64">
        <v>132.84</v>
      </c>
      <c r="Z500" s="64">
        <f t="shared" si="48"/>
        <v>618.54</v>
      </c>
      <c r="AB500" s="56">
        <v>12</v>
      </c>
      <c r="AC500" s="56" t="s">
        <v>57</v>
      </c>
      <c r="AD500" s="64">
        <v>619.27</v>
      </c>
      <c r="AE500" s="64">
        <v>169.37</v>
      </c>
      <c r="AF500" s="64">
        <f t="shared" si="49"/>
        <v>788.64</v>
      </c>
      <c r="AH500" s="65">
        <f t="shared" si="45"/>
        <v>-0.31286837728292993</v>
      </c>
      <c r="AI500" s="65">
        <f t="shared" si="45"/>
        <v>-0.13591545137863859</v>
      </c>
      <c r="AJ500" s="65">
        <f t="shared" si="45"/>
        <v>-0.2748655913978495</v>
      </c>
    </row>
    <row r="501" spans="1:36" x14ac:dyDescent="0.3">
      <c r="A501" s="84" t="s">
        <v>985</v>
      </c>
      <c r="B501" s="58" t="s">
        <v>986</v>
      </c>
      <c r="C501" s="59">
        <v>183</v>
      </c>
      <c r="D501" s="60" t="s">
        <v>57</v>
      </c>
      <c r="E501" s="60">
        <v>217.79</v>
      </c>
      <c r="F501" s="60">
        <v>157.87</v>
      </c>
      <c r="G501" s="60">
        <v>375.65999999999997</v>
      </c>
      <c r="H501" s="61">
        <v>39855.57</v>
      </c>
      <c r="I501" s="61">
        <v>28890.21</v>
      </c>
      <c r="J501" s="62">
        <v>68745.78</v>
      </c>
      <c r="M501" s="75"/>
      <c r="N501" s="76"/>
      <c r="V501" s="56">
        <v>40</v>
      </c>
      <c r="W501" s="56" t="s">
        <v>57</v>
      </c>
      <c r="X501" s="64">
        <v>248.59</v>
      </c>
      <c r="Y501" s="64">
        <v>141.58000000000001</v>
      </c>
      <c r="Z501" s="64">
        <f t="shared" si="48"/>
        <v>390.17</v>
      </c>
      <c r="AB501" s="56">
        <v>40</v>
      </c>
      <c r="AC501" s="56" t="s">
        <v>57</v>
      </c>
      <c r="AD501" s="64">
        <v>316.95</v>
      </c>
      <c r="AE501" s="64">
        <v>180.51</v>
      </c>
      <c r="AF501" s="64">
        <f t="shared" si="49"/>
        <v>497.46</v>
      </c>
      <c r="AH501" s="65">
        <f t="shared" si="45"/>
        <v>-0.31285691749487299</v>
      </c>
      <c r="AI501" s="65">
        <f t="shared" si="45"/>
        <v>-0.12542241427067746</v>
      </c>
      <c r="AJ501" s="65">
        <f t="shared" si="45"/>
        <v>-0.24484380653720905</v>
      </c>
    </row>
    <row r="502" spans="1:36" x14ac:dyDescent="0.3">
      <c r="A502" s="84" t="s">
        <v>987</v>
      </c>
      <c r="B502" s="58" t="s">
        <v>988</v>
      </c>
      <c r="C502" s="59">
        <v>162</v>
      </c>
      <c r="D502" s="60" t="s">
        <v>57</v>
      </c>
      <c r="E502" s="60">
        <v>285.85000000000002</v>
      </c>
      <c r="F502" s="60">
        <v>102.91</v>
      </c>
      <c r="G502" s="60">
        <v>388.76</v>
      </c>
      <c r="H502" s="61">
        <v>46307.700000000004</v>
      </c>
      <c r="I502" s="61">
        <v>16671.419999999998</v>
      </c>
      <c r="J502" s="62">
        <v>62979.119999999995</v>
      </c>
      <c r="M502" s="75"/>
      <c r="N502" s="76"/>
      <c r="V502" s="56">
        <v>36</v>
      </c>
      <c r="W502" s="56" t="s">
        <v>57</v>
      </c>
      <c r="X502" s="64">
        <v>342.99</v>
      </c>
      <c r="Y502" s="64">
        <v>92.58</v>
      </c>
      <c r="Z502" s="64">
        <f t="shared" si="48"/>
        <v>435.57</v>
      </c>
      <c r="AB502" s="56">
        <v>36</v>
      </c>
      <c r="AC502" s="56" t="s">
        <v>57</v>
      </c>
      <c r="AD502" s="64">
        <v>437.31</v>
      </c>
      <c r="AE502" s="64">
        <v>118.04</v>
      </c>
      <c r="AF502" s="64">
        <f t="shared" si="49"/>
        <v>555.35</v>
      </c>
      <c r="AH502" s="65">
        <f t="shared" si="45"/>
        <v>-0.34634469826896253</v>
      </c>
      <c r="AI502" s="65">
        <f t="shared" si="45"/>
        <v>-0.12817688919010517</v>
      </c>
      <c r="AJ502" s="65">
        <f t="shared" si="45"/>
        <v>-0.2999729900063024</v>
      </c>
    </row>
    <row r="503" spans="1:36" x14ac:dyDescent="0.3">
      <c r="A503" s="84" t="s">
        <v>989</v>
      </c>
      <c r="B503" s="58" t="s">
        <v>990</v>
      </c>
      <c r="C503" s="59">
        <v>56</v>
      </c>
      <c r="D503" s="60" t="s">
        <v>57</v>
      </c>
      <c r="E503" s="60">
        <v>1.56</v>
      </c>
      <c r="F503" s="60">
        <v>140.41</v>
      </c>
      <c r="G503" s="60">
        <v>141.97</v>
      </c>
      <c r="H503" s="61">
        <v>87.36</v>
      </c>
      <c r="I503" s="61">
        <v>7862.96</v>
      </c>
      <c r="J503" s="62">
        <v>7950.32</v>
      </c>
      <c r="M503" s="75"/>
      <c r="N503" s="76"/>
      <c r="V503" s="56">
        <v>1</v>
      </c>
      <c r="W503" s="56" t="s">
        <v>57</v>
      </c>
      <c r="X503" s="64">
        <v>1.71</v>
      </c>
      <c r="Y503" s="64">
        <v>125.54</v>
      </c>
      <c r="Z503" s="64">
        <f t="shared" si="48"/>
        <v>127.25</v>
      </c>
      <c r="AB503" s="56">
        <v>1</v>
      </c>
      <c r="AC503" s="56" t="s">
        <v>57</v>
      </c>
      <c r="AD503" s="64">
        <v>2.1800000000000002</v>
      </c>
      <c r="AE503" s="64">
        <v>160.06</v>
      </c>
      <c r="AF503" s="64">
        <f t="shared" si="49"/>
        <v>162.24</v>
      </c>
      <c r="AH503" s="65">
        <f t="shared" ref="AH503:AJ535" si="50">IF(E503=0,0,(E503/AD503)-1)</f>
        <v>-0.28440366972477071</v>
      </c>
      <c r="AI503" s="65">
        <f t="shared" si="50"/>
        <v>-0.12276646257653379</v>
      </c>
      <c r="AJ503" s="65">
        <f t="shared" si="50"/>
        <v>-0.12493836291913218</v>
      </c>
    </row>
    <row r="504" spans="1:36" x14ac:dyDescent="0.3">
      <c r="A504" s="84" t="s">
        <v>991</v>
      </c>
      <c r="B504" s="58" t="s">
        <v>992</v>
      </c>
      <c r="C504" s="59">
        <v>41</v>
      </c>
      <c r="D504" s="60" t="s">
        <v>57</v>
      </c>
      <c r="E504" s="60">
        <v>2.04</v>
      </c>
      <c r="F504" s="60">
        <v>146.46</v>
      </c>
      <c r="G504" s="60">
        <v>148.5</v>
      </c>
      <c r="H504" s="61">
        <v>83.64</v>
      </c>
      <c r="I504" s="61">
        <v>6004.8600000000006</v>
      </c>
      <c r="J504" s="62">
        <v>6088.5</v>
      </c>
      <c r="M504" s="75"/>
      <c r="N504" s="76"/>
      <c r="V504" s="56">
        <v>1</v>
      </c>
      <c r="W504" s="56" t="s">
        <v>57</v>
      </c>
      <c r="X504" s="64">
        <v>2.4900000000000002</v>
      </c>
      <c r="Y504" s="64">
        <v>127.26</v>
      </c>
      <c r="Z504" s="64">
        <f t="shared" si="48"/>
        <v>129.75</v>
      </c>
      <c r="AB504" s="56">
        <v>1</v>
      </c>
      <c r="AC504" s="56" t="s">
        <v>57</v>
      </c>
      <c r="AD504" s="64">
        <v>3.17</v>
      </c>
      <c r="AE504" s="64">
        <v>162.26</v>
      </c>
      <c r="AF504" s="64">
        <f t="shared" si="49"/>
        <v>165.42999999999998</v>
      </c>
      <c r="AH504" s="65">
        <f t="shared" si="50"/>
        <v>-0.35646687697160884</v>
      </c>
      <c r="AI504" s="65">
        <f t="shared" si="50"/>
        <v>-9.7374584000985975E-2</v>
      </c>
      <c r="AJ504" s="65">
        <f t="shared" si="50"/>
        <v>-0.10233935803663174</v>
      </c>
    </row>
    <row r="505" spans="1:36" x14ac:dyDescent="0.3">
      <c r="A505" s="84" t="s">
        <v>993</v>
      </c>
      <c r="B505" s="58" t="s">
        <v>994</v>
      </c>
      <c r="C505" s="59">
        <v>36</v>
      </c>
      <c r="D505" s="60" t="s">
        <v>41</v>
      </c>
      <c r="E505" s="60">
        <v>199.59</v>
      </c>
      <c r="F505" s="60">
        <v>107.08</v>
      </c>
      <c r="G505" s="60">
        <v>306.67</v>
      </c>
      <c r="H505" s="61">
        <v>7185.24</v>
      </c>
      <c r="I505" s="61">
        <v>3854.88</v>
      </c>
      <c r="J505" s="62">
        <v>11040.12</v>
      </c>
      <c r="M505" s="75"/>
      <c r="N505" s="76"/>
      <c r="V505" s="56">
        <v>1</v>
      </c>
      <c r="W505" s="56" t="s">
        <v>41</v>
      </c>
      <c r="X505" s="64">
        <v>262.88</v>
      </c>
      <c r="Y505" s="64">
        <v>96.12</v>
      </c>
      <c r="Z505" s="64">
        <f t="shared" si="48"/>
        <v>359</v>
      </c>
      <c r="AB505" s="56">
        <v>1</v>
      </c>
      <c r="AC505" s="56" t="s">
        <v>41</v>
      </c>
      <c r="AD505" s="64">
        <v>335.17</v>
      </c>
      <c r="AE505" s="64">
        <v>122.55</v>
      </c>
      <c r="AF505" s="64">
        <f t="shared" si="49"/>
        <v>457.72</v>
      </c>
      <c r="AH505" s="65">
        <f t="shared" si="50"/>
        <v>-0.40451114359877083</v>
      </c>
      <c r="AI505" s="65">
        <f t="shared" si="50"/>
        <v>-0.12623419012647896</v>
      </c>
      <c r="AJ505" s="65">
        <f t="shared" si="50"/>
        <v>-0.33000524338023252</v>
      </c>
    </row>
    <row r="506" spans="1:36" x14ac:dyDescent="0.3">
      <c r="A506" s="84" t="s">
        <v>995</v>
      </c>
      <c r="B506" s="58" t="s">
        <v>996</v>
      </c>
      <c r="C506" s="59">
        <v>813</v>
      </c>
      <c r="D506" s="60" t="s">
        <v>41</v>
      </c>
      <c r="E506" s="60">
        <v>6.14</v>
      </c>
      <c r="F506" s="60">
        <v>107.08</v>
      </c>
      <c r="G506" s="60">
        <v>113.22</v>
      </c>
      <c r="H506" s="61">
        <v>4991.82</v>
      </c>
      <c r="I506" s="61">
        <v>87056.04</v>
      </c>
      <c r="J506" s="62">
        <v>92047.86</v>
      </c>
      <c r="M506" s="75"/>
      <c r="N506" s="76"/>
      <c r="V506" s="56">
        <v>42</v>
      </c>
      <c r="W506" s="56" t="s">
        <v>41</v>
      </c>
      <c r="X506" s="64">
        <v>11.45</v>
      </c>
      <c r="Y506" s="64">
        <v>96.12</v>
      </c>
      <c r="Z506" s="64">
        <f t="shared" si="48"/>
        <v>107.57000000000001</v>
      </c>
      <c r="AB506" s="56">
        <v>42</v>
      </c>
      <c r="AC506" s="56" t="s">
        <v>41</v>
      </c>
      <c r="AD506" s="64">
        <v>14.6</v>
      </c>
      <c r="AE506" s="64">
        <v>122.55</v>
      </c>
      <c r="AF506" s="64">
        <f t="shared" si="49"/>
        <v>137.15</v>
      </c>
      <c r="AH506" s="65">
        <f t="shared" si="50"/>
        <v>-0.57945205479452055</v>
      </c>
      <c r="AI506" s="65">
        <f t="shared" si="50"/>
        <v>-0.12623419012647896</v>
      </c>
      <c r="AJ506" s="65">
        <f t="shared" si="50"/>
        <v>-0.17448049580751002</v>
      </c>
    </row>
    <row r="507" spans="1:36" x14ac:dyDescent="0.3">
      <c r="A507" s="84" t="s">
        <v>997</v>
      </c>
      <c r="B507" s="58" t="s">
        <v>998</v>
      </c>
      <c r="C507" s="59">
        <v>1</v>
      </c>
      <c r="D507" s="60" t="s">
        <v>71</v>
      </c>
      <c r="E507" s="60">
        <v>755.2</v>
      </c>
      <c r="F507" s="60">
        <v>107.08</v>
      </c>
      <c r="G507" s="60">
        <v>862.28000000000009</v>
      </c>
      <c r="H507" s="61">
        <v>755.2</v>
      </c>
      <c r="I507" s="61">
        <v>107.08</v>
      </c>
      <c r="J507" s="62">
        <v>862.28000000000009</v>
      </c>
      <c r="M507" s="75"/>
      <c r="N507" s="76"/>
      <c r="V507" s="56">
        <v>33</v>
      </c>
      <c r="W507" s="56" t="s">
        <v>71</v>
      </c>
      <c r="X507" s="64">
        <v>897.06</v>
      </c>
      <c r="Y507" s="64">
        <v>96.12</v>
      </c>
      <c r="Z507" s="64">
        <f t="shared" si="48"/>
        <v>993.18</v>
      </c>
      <c r="AB507" s="56">
        <v>33</v>
      </c>
      <c r="AC507" s="56" t="s">
        <v>71</v>
      </c>
      <c r="AD507" s="64">
        <v>1143.75</v>
      </c>
      <c r="AE507" s="64">
        <v>122.55</v>
      </c>
      <c r="AF507" s="64">
        <f t="shared" si="49"/>
        <v>1266.3</v>
      </c>
      <c r="AH507" s="65">
        <f t="shared" si="50"/>
        <v>-0.3397158469945355</v>
      </c>
      <c r="AI507" s="65">
        <f t="shared" si="50"/>
        <v>-0.12623419012647896</v>
      </c>
      <c r="AJ507" s="65">
        <f t="shared" si="50"/>
        <v>-0.31905551607044136</v>
      </c>
    </row>
    <row r="508" spans="1:36" x14ac:dyDescent="0.3">
      <c r="A508" s="84" t="s">
        <v>999</v>
      </c>
      <c r="B508" s="58" t="s">
        <v>1000</v>
      </c>
      <c r="C508" s="59">
        <v>500</v>
      </c>
      <c r="D508" s="60" t="s">
        <v>71</v>
      </c>
      <c r="E508" s="60">
        <v>19.34</v>
      </c>
      <c r="F508" s="60">
        <v>24.42</v>
      </c>
      <c r="G508" s="60">
        <v>43.760000000000005</v>
      </c>
      <c r="H508" s="61">
        <v>9670</v>
      </c>
      <c r="I508" s="61">
        <v>12210</v>
      </c>
      <c r="J508" s="62">
        <v>21880.000000000004</v>
      </c>
      <c r="M508" s="75"/>
      <c r="N508" s="76"/>
      <c r="V508" s="56">
        <v>36</v>
      </c>
      <c r="W508" s="56" t="s">
        <v>71</v>
      </c>
      <c r="X508" s="64">
        <v>28.13</v>
      </c>
      <c r="Y508" s="64">
        <v>21.21</v>
      </c>
      <c r="Z508" s="64">
        <f t="shared" si="48"/>
        <v>49.34</v>
      </c>
      <c r="AB508" s="56">
        <v>36</v>
      </c>
      <c r="AC508" s="56" t="s">
        <v>71</v>
      </c>
      <c r="AD508" s="64">
        <v>35.869999999999997</v>
      </c>
      <c r="AE508" s="64">
        <v>27.04</v>
      </c>
      <c r="AF508" s="64">
        <f t="shared" si="49"/>
        <v>62.91</v>
      </c>
      <c r="AH508" s="65">
        <f t="shared" si="50"/>
        <v>-0.46083077780875381</v>
      </c>
      <c r="AI508" s="65">
        <f t="shared" si="50"/>
        <v>-9.6893491124260267E-2</v>
      </c>
      <c r="AJ508" s="65">
        <f t="shared" si="50"/>
        <v>-0.30440311556191368</v>
      </c>
    </row>
    <row r="509" spans="1:36" x14ac:dyDescent="0.3">
      <c r="A509" s="84" t="s">
        <v>1001</v>
      </c>
      <c r="B509" s="58" t="s">
        <v>1002</v>
      </c>
      <c r="C509" s="59">
        <v>250</v>
      </c>
      <c r="D509" s="60" t="s">
        <v>41</v>
      </c>
      <c r="E509" s="60">
        <v>109.71</v>
      </c>
      <c r="F509" s="60">
        <v>51.01</v>
      </c>
      <c r="G509" s="60">
        <v>160.72</v>
      </c>
      <c r="H509" s="61">
        <v>27427.5</v>
      </c>
      <c r="I509" s="61">
        <v>12752.5</v>
      </c>
      <c r="J509" s="62">
        <v>40180</v>
      </c>
      <c r="M509" s="75"/>
      <c r="N509" s="76"/>
      <c r="V509" s="56">
        <v>1</v>
      </c>
      <c r="W509" s="56" t="s">
        <v>41</v>
      </c>
      <c r="X509" s="64">
        <v>155.93</v>
      </c>
      <c r="Y509" s="64">
        <v>49.42</v>
      </c>
      <c r="Z509" s="64">
        <f t="shared" si="48"/>
        <v>205.35000000000002</v>
      </c>
      <c r="AB509" s="56">
        <v>1</v>
      </c>
      <c r="AC509" s="56" t="s">
        <v>41</v>
      </c>
      <c r="AD509" s="64">
        <v>198.81</v>
      </c>
      <c r="AE509" s="64">
        <v>63.01</v>
      </c>
      <c r="AF509" s="64">
        <f t="shared" si="49"/>
        <v>261.82</v>
      </c>
      <c r="AH509" s="65">
        <f t="shared" si="50"/>
        <v>-0.4481665912177456</v>
      </c>
      <c r="AI509" s="65">
        <f t="shared" si="50"/>
        <v>-0.19044596095857802</v>
      </c>
      <c r="AJ509" s="65">
        <f t="shared" si="50"/>
        <v>-0.3861431517836682</v>
      </c>
    </row>
    <row r="510" spans="1:36" x14ac:dyDescent="0.3">
      <c r="A510" s="84" t="s">
        <v>1003</v>
      </c>
      <c r="B510" s="58" t="s">
        <v>1004</v>
      </c>
      <c r="C510" s="59">
        <v>1000</v>
      </c>
      <c r="D510" s="60" t="s">
        <v>57</v>
      </c>
      <c r="E510" s="60">
        <v>6.44</v>
      </c>
      <c r="F510" s="60">
        <v>1.78</v>
      </c>
      <c r="G510" s="60">
        <v>8.2200000000000006</v>
      </c>
      <c r="H510" s="61">
        <v>6440</v>
      </c>
      <c r="I510" s="61">
        <v>1780</v>
      </c>
      <c r="J510" s="62">
        <v>8220</v>
      </c>
      <c r="M510" s="75"/>
      <c r="N510" s="76"/>
      <c r="V510" s="56">
        <v>94</v>
      </c>
      <c r="W510" s="56" t="s">
        <v>57</v>
      </c>
      <c r="X510" s="64">
        <v>9.41</v>
      </c>
      <c r="Y510" s="64">
        <v>1.61</v>
      </c>
      <c r="Z510" s="64">
        <f t="shared" si="48"/>
        <v>11.02</v>
      </c>
      <c r="AB510" s="56">
        <v>94</v>
      </c>
      <c r="AC510" s="56" t="s">
        <v>57</v>
      </c>
      <c r="AD510" s="64">
        <v>12</v>
      </c>
      <c r="AE510" s="64">
        <v>2.0499999999999998</v>
      </c>
      <c r="AF510" s="64">
        <f t="shared" si="49"/>
        <v>14.05</v>
      </c>
      <c r="AH510" s="65">
        <f t="shared" si="50"/>
        <v>-0.46333333333333326</v>
      </c>
      <c r="AI510" s="65">
        <f t="shared" si="50"/>
        <v>-0.13170731707317063</v>
      </c>
      <c r="AJ510" s="65">
        <f t="shared" si="50"/>
        <v>-0.41494661921708187</v>
      </c>
    </row>
    <row r="511" spans="1:36" x14ac:dyDescent="0.3">
      <c r="A511" s="84" t="s">
        <v>1005</v>
      </c>
      <c r="B511" s="58" t="s">
        <v>1006</v>
      </c>
      <c r="C511" s="59">
        <v>15</v>
      </c>
      <c r="D511" s="60" t="s">
        <v>41</v>
      </c>
      <c r="E511" s="60">
        <v>10.27</v>
      </c>
      <c r="F511" s="60">
        <v>5.24</v>
      </c>
      <c r="G511" s="60">
        <v>15.51</v>
      </c>
      <c r="H511" s="61">
        <v>154.04999999999998</v>
      </c>
      <c r="I511" s="61">
        <v>78.600000000000009</v>
      </c>
      <c r="J511" s="62">
        <v>232.65</v>
      </c>
      <c r="M511" s="75"/>
      <c r="N511" s="76"/>
      <c r="V511" s="56">
        <v>1</v>
      </c>
      <c r="W511" s="56" t="s">
        <v>41</v>
      </c>
      <c r="X511" s="64">
        <v>11.72</v>
      </c>
      <c r="Y511" s="64">
        <v>4.9400000000000004</v>
      </c>
      <c r="Z511" s="64">
        <f t="shared" si="48"/>
        <v>16.66</v>
      </c>
      <c r="AB511" s="56">
        <v>1</v>
      </c>
      <c r="AC511" s="56" t="s">
        <v>41</v>
      </c>
      <c r="AD511" s="64">
        <v>14.94</v>
      </c>
      <c r="AE511" s="64">
        <v>6.3</v>
      </c>
      <c r="AF511" s="64">
        <f t="shared" si="49"/>
        <v>21.24</v>
      </c>
      <c r="AH511" s="65">
        <f t="shared" si="50"/>
        <v>-0.31258366800535475</v>
      </c>
      <c r="AI511" s="65">
        <f t="shared" si="50"/>
        <v>-0.16825396825396821</v>
      </c>
      <c r="AJ511" s="65">
        <f t="shared" si="50"/>
        <v>-0.26977401129943501</v>
      </c>
    </row>
    <row r="512" spans="1:36" x14ac:dyDescent="0.3">
      <c r="A512" s="84" t="s">
        <v>1007</v>
      </c>
      <c r="B512" s="58" t="s">
        <v>1008</v>
      </c>
      <c r="C512" s="59">
        <v>1</v>
      </c>
      <c r="D512" s="60" t="s">
        <v>41</v>
      </c>
      <c r="E512" s="60">
        <v>11.03</v>
      </c>
      <c r="F512" s="60">
        <v>5.24</v>
      </c>
      <c r="G512" s="60">
        <v>16.27</v>
      </c>
      <c r="H512" s="61">
        <v>11.03</v>
      </c>
      <c r="I512" s="61">
        <v>5.24</v>
      </c>
      <c r="J512" s="62">
        <v>16.27</v>
      </c>
      <c r="M512" s="75"/>
      <c r="N512" s="76"/>
      <c r="V512" s="56">
        <v>1</v>
      </c>
      <c r="W512" s="56" t="s">
        <v>41</v>
      </c>
      <c r="X512" s="64">
        <v>12.59</v>
      </c>
      <c r="Y512" s="64">
        <v>4.9400000000000004</v>
      </c>
      <c r="Z512" s="64">
        <f t="shared" si="48"/>
        <v>17.53</v>
      </c>
      <c r="AB512" s="56">
        <v>1</v>
      </c>
      <c r="AC512" s="56" t="s">
        <v>41</v>
      </c>
      <c r="AD512" s="64">
        <v>16.05</v>
      </c>
      <c r="AE512" s="64">
        <v>6.3</v>
      </c>
      <c r="AF512" s="64">
        <f t="shared" si="49"/>
        <v>22.35</v>
      </c>
      <c r="AH512" s="65">
        <f t="shared" si="50"/>
        <v>-0.31277258566978206</v>
      </c>
      <c r="AI512" s="65">
        <f t="shared" si="50"/>
        <v>-0.16825396825396821</v>
      </c>
      <c r="AJ512" s="65">
        <f t="shared" si="50"/>
        <v>-0.27203579418344526</v>
      </c>
    </row>
    <row r="513" spans="1:36" x14ac:dyDescent="0.3">
      <c r="A513" s="84" t="s">
        <v>1009</v>
      </c>
      <c r="B513" s="58" t="s">
        <v>1010</v>
      </c>
      <c r="C513" s="59">
        <v>10</v>
      </c>
      <c r="D513" s="60" t="s">
        <v>87</v>
      </c>
      <c r="E513" s="60">
        <v>110.74</v>
      </c>
      <c r="F513" s="60">
        <v>79.59</v>
      </c>
      <c r="G513" s="60">
        <v>190.32999999999998</v>
      </c>
      <c r="H513" s="61">
        <v>1107.3999999999999</v>
      </c>
      <c r="I513" s="61">
        <v>795.90000000000009</v>
      </c>
      <c r="J513" s="62">
        <v>1903.2999999999997</v>
      </c>
      <c r="M513" s="75"/>
      <c r="N513" s="76"/>
      <c r="V513" s="56">
        <v>1</v>
      </c>
      <c r="W513" s="56" t="s">
        <v>87</v>
      </c>
      <c r="X513" s="64">
        <v>127.93</v>
      </c>
      <c r="Y513" s="64">
        <v>68.849999999999994</v>
      </c>
      <c r="Z513" s="64">
        <f t="shared" si="48"/>
        <v>196.78</v>
      </c>
      <c r="AB513" s="56">
        <v>1</v>
      </c>
      <c r="AC513" s="56" t="s">
        <v>87</v>
      </c>
      <c r="AD513" s="64">
        <v>163.11000000000001</v>
      </c>
      <c r="AE513" s="64">
        <v>87.78</v>
      </c>
      <c r="AF513" s="64">
        <f t="shared" si="49"/>
        <v>250.89000000000001</v>
      </c>
      <c r="AH513" s="65">
        <f t="shared" si="50"/>
        <v>-0.32107166942554111</v>
      </c>
      <c r="AI513" s="65">
        <f t="shared" si="50"/>
        <v>-9.3301435406698552E-2</v>
      </c>
      <c r="AJ513" s="65">
        <f t="shared" si="50"/>
        <v>-0.2413806847622465</v>
      </c>
    </row>
    <row r="514" spans="1:36" x14ac:dyDescent="0.3">
      <c r="A514" s="84" t="s">
        <v>1011</v>
      </c>
      <c r="B514" s="58" t="s">
        <v>1012</v>
      </c>
      <c r="C514" s="59">
        <v>1</v>
      </c>
      <c r="D514" s="60" t="s">
        <v>121</v>
      </c>
      <c r="E514" s="60">
        <v>15.39</v>
      </c>
      <c r="F514" s="60">
        <v>4.5</v>
      </c>
      <c r="G514" s="60">
        <v>19.89</v>
      </c>
      <c r="H514" s="61">
        <v>15.39</v>
      </c>
      <c r="I514" s="61">
        <v>4.5</v>
      </c>
      <c r="J514" s="62">
        <v>19.89</v>
      </c>
      <c r="M514" s="75"/>
      <c r="N514" s="76"/>
      <c r="V514" s="56">
        <v>1</v>
      </c>
      <c r="W514" s="56" t="s">
        <v>121</v>
      </c>
      <c r="X514" s="64">
        <v>14.99</v>
      </c>
      <c r="Y514" s="64">
        <v>4.0199999999999996</v>
      </c>
      <c r="Z514" s="64">
        <f t="shared" si="48"/>
        <v>19.009999999999998</v>
      </c>
      <c r="AB514" s="56">
        <v>1</v>
      </c>
      <c r="AC514" s="56" t="s">
        <v>121</v>
      </c>
      <c r="AD514" s="64">
        <v>19.11</v>
      </c>
      <c r="AE514" s="64">
        <v>5.13</v>
      </c>
      <c r="AF514" s="64">
        <f t="shared" si="49"/>
        <v>24.24</v>
      </c>
      <c r="AH514" s="65">
        <f t="shared" si="50"/>
        <v>-0.19466248037676603</v>
      </c>
      <c r="AI514" s="65">
        <f t="shared" si="50"/>
        <v>-0.12280701754385959</v>
      </c>
      <c r="AJ514" s="65">
        <f t="shared" si="50"/>
        <v>-0.17945544554455439</v>
      </c>
    </row>
    <row r="515" spans="1:36" x14ac:dyDescent="0.3">
      <c r="A515" s="84" t="s">
        <v>1013</v>
      </c>
      <c r="B515" s="58" t="s">
        <v>1014</v>
      </c>
      <c r="C515" s="59">
        <v>1</v>
      </c>
      <c r="D515" s="60" t="s">
        <v>782</v>
      </c>
      <c r="E515" s="60">
        <v>243.91</v>
      </c>
      <c r="F515" s="60">
        <v>24.99</v>
      </c>
      <c r="G515" s="60">
        <v>268.89999999999998</v>
      </c>
      <c r="H515" s="61">
        <v>243.91</v>
      </c>
      <c r="I515" s="61">
        <v>24.99</v>
      </c>
      <c r="J515" s="62">
        <v>268.89999999999998</v>
      </c>
      <c r="M515" s="75"/>
      <c r="N515" s="76"/>
      <c r="V515" s="56">
        <v>1</v>
      </c>
      <c r="W515" s="56" t="s">
        <v>782</v>
      </c>
      <c r="X515" s="64">
        <v>268.39999999999998</v>
      </c>
      <c r="Y515" s="64">
        <v>22.7</v>
      </c>
      <c r="Z515" s="64">
        <f t="shared" si="48"/>
        <v>291.09999999999997</v>
      </c>
      <c r="AB515" s="56">
        <v>1</v>
      </c>
      <c r="AC515" s="56" t="s">
        <v>782</v>
      </c>
      <c r="AD515" s="64">
        <v>342.21</v>
      </c>
      <c r="AE515" s="64">
        <v>28.94</v>
      </c>
      <c r="AF515" s="64">
        <f t="shared" si="49"/>
        <v>371.15</v>
      </c>
      <c r="AH515" s="65">
        <f t="shared" si="50"/>
        <v>-0.28725051868735574</v>
      </c>
      <c r="AI515" s="65">
        <f t="shared" si="50"/>
        <v>-0.13648928818244654</v>
      </c>
      <c r="AJ515" s="65">
        <f t="shared" si="50"/>
        <v>-0.27549508285059954</v>
      </c>
    </row>
    <row r="516" spans="1:36" x14ac:dyDescent="0.3">
      <c r="A516" s="84" t="s">
        <v>1015</v>
      </c>
      <c r="B516" s="58" t="s">
        <v>1016</v>
      </c>
      <c r="C516" s="59">
        <v>1</v>
      </c>
      <c r="D516" s="60" t="s">
        <v>121</v>
      </c>
      <c r="E516" s="60">
        <v>1673.83</v>
      </c>
      <c r="F516" s="60">
        <v>275.42</v>
      </c>
      <c r="G516" s="60">
        <v>1949.25</v>
      </c>
      <c r="H516" s="61">
        <v>1673.83</v>
      </c>
      <c r="I516" s="61">
        <v>275.42</v>
      </c>
      <c r="J516" s="62">
        <v>1949.25</v>
      </c>
      <c r="M516" s="75"/>
      <c r="N516" s="76"/>
      <c r="V516" s="56">
        <v>1</v>
      </c>
      <c r="W516" s="56" t="s">
        <v>121</v>
      </c>
      <c r="X516" s="64">
        <v>1910.53</v>
      </c>
      <c r="Y516" s="64">
        <v>241.32</v>
      </c>
      <c r="Z516" s="64">
        <f t="shared" si="48"/>
        <v>2151.85</v>
      </c>
      <c r="AB516" s="56">
        <v>1</v>
      </c>
      <c r="AC516" s="56" t="s">
        <v>121</v>
      </c>
      <c r="AD516" s="64">
        <v>2435.9299999999998</v>
      </c>
      <c r="AE516" s="64">
        <v>307.68</v>
      </c>
      <c r="AF516" s="64">
        <f t="shared" si="49"/>
        <v>2743.6099999999997</v>
      </c>
      <c r="AH516" s="65">
        <f t="shared" si="50"/>
        <v>-0.31285792284671565</v>
      </c>
      <c r="AI516" s="65">
        <f t="shared" si="50"/>
        <v>-0.10484919396775871</v>
      </c>
      <c r="AJ516" s="65">
        <f t="shared" si="50"/>
        <v>-0.28953094645375976</v>
      </c>
    </row>
    <row r="517" spans="1:36" x14ac:dyDescent="0.3">
      <c r="A517" s="84" t="s">
        <v>1017</v>
      </c>
      <c r="B517" s="58" t="s">
        <v>1018</v>
      </c>
      <c r="C517" s="59">
        <v>1</v>
      </c>
      <c r="D517" s="60" t="s">
        <v>121</v>
      </c>
      <c r="E517" s="60">
        <v>1342.47</v>
      </c>
      <c r="F517" s="60">
        <v>275.42</v>
      </c>
      <c r="G517" s="60">
        <v>1617.89</v>
      </c>
      <c r="H517" s="61">
        <v>1342.47</v>
      </c>
      <c r="I517" s="61">
        <v>275.42</v>
      </c>
      <c r="J517" s="62">
        <v>1617.89</v>
      </c>
      <c r="M517" s="75"/>
      <c r="N517" s="76"/>
      <c r="V517" s="56">
        <v>1</v>
      </c>
      <c r="W517" s="56" t="s">
        <v>121</v>
      </c>
      <c r="X517" s="64">
        <v>1532.31</v>
      </c>
      <c r="Y517" s="64">
        <v>241.32</v>
      </c>
      <c r="Z517" s="64">
        <f t="shared" si="48"/>
        <v>1773.6299999999999</v>
      </c>
      <c r="AB517" s="56">
        <v>1</v>
      </c>
      <c r="AC517" s="56" t="s">
        <v>121</v>
      </c>
      <c r="AD517" s="64">
        <v>1953.7</v>
      </c>
      <c r="AE517" s="64">
        <v>307.68</v>
      </c>
      <c r="AF517" s="64">
        <f t="shared" si="49"/>
        <v>2261.38</v>
      </c>
      <c r="AH517" s="65">
        <f t="shared" si="50"/>
        <v>-0.31285765470645444</v>
      </c>
      <c r="AI517" s="65">
        <f t="shared" si="50"/>
        <v>-0.10484919396775871</v>
      </c>
      <c r="AJ517" s="65">
        <f t="shared" si="50"/>
        <v>-0.28455633285869686</v>
      </c>
    </row>
    <row r="518" spans="1:36" x14ac:dyDescent="0.3">
      <c r="A518" s="84" t="s">
        <v>1019</v>
      </c>
      <c r="B518" s="58" t="s">
        <v>1020</v>
      </c>
      <c r="C518" s="59">
        <v>1</v>
      </c>
      <c r="D518" s="60" t="s">
        <v>121</v>
      </c>
      <c r="E518" s="60">
        <v>2807.92</v>
      </c>
      <c r="F518" s="60">
        <v>1096.46</v>
      </c>
      <c r="G518" s="60">
        <v>3904.38</v>
      </c>
      <c r="H518" s="61">
        <v>2807.92</v>
      </c>
      <c r="I518" s="61">
        <v>1096.46</v>
      </c>
      <c r="J518" s="62">
        <v>3904.38</v>
      </c>
      <c r="M518" s="75"/>
      <c r="N518" s="76"/>
      <c r="V518" s="56">
        <v>1</v>
      </c>
      <c r="W518" s="56" t="s">
        <v>121</v>
      </c>
      <c r="X518" s="64">
        <v>3363.13</v>
      </c>
      <c r="Y518" s="64">
        <v>980.6</v>
      </c>
      <c r="Z518" s="64">
        <f t="shared" si="48"/>
        <v>4343.7300000000005</v>
      </c>
      <c r="AB518" s="56">
        <v>1</v>
      </c>
      <c r="AC518" s="56" t="s">
        <v>121</v>
      </c>
      <c r="AD518" s="64">
        <v>4287.99</v>
      </c>
      <c r="AE518" s="64">
        <v>1250.27</v>
      </c>
      <c r="AF518" s="64">
        <f t="shared" si="49"/>
        <v>5538.26</v>
      </c>
      <c r="AH518" s="65">
        <f t="shared" si="50"/>
        <v>-0.34516638331712524</v>
      </c>
      <c r="AI518" s="65">
        <f t="shared" si="50"/>
        <v>-0.12302142737168764</v>
      </c>
      <c r="AJ518" s="65">
        <f t="shared" si="50"/>
        <v>-0.29501684644635684</v>
      </c>
    </row>
    <row r="519" spans="1:36" x14ac:dyDescent="0.3">
      <c r="A519" s="84" t="s">
        <v>1021</v>
      </c>
      <c r="B519" s="58" t="s">
        <v>1022</v>
      </c>
      <c r="C519" s="59">
        <v>1</v>
      </c>
      <c r="D519" s="60" t="s">
        <v>121</v>
      </c>
      <c r="E519" s="60">
        <v>1885.58</v>
      </c>
      <c r="F519" s="60">
        <v>730.97</v>
      </c>
      <c r="G519" s="60">
        <v>2616.5500000000002</v>
      </c>
      <c r="H519" s="61">
        <v>1885.58</v>
      </c>
      <c r="I519" s="61">
        <v>730.97</v>
      </c>
      <c r="J519" s="62">
        <v>2616.5500000000002</v>
      </c>
      <c r="M519" s="75"/>
      <c r="N519" s="76"/>
      <c r="V519" s="56">
        <v>1</v>
      </c>
      <c r="W519" s="56" t="s">
        <v>121</v>
      </c>
      <c r="X519" s="64">
        <v>2260.4299999999998</v>
      </c>
      <c r="Y519" s="64">
        <v>653.73</v>
      </c>
      <c r="Z519" s="64">
        <f t="shared" si="48"/>
        <v>2914.16</v>
      </c>
      <c r="AB519" s="56">
        <v>1</v>
      </c>
      <c r="AC519" s="56" t="s">
        <v>121</v>
      </c>
      <c r="AD519" s="64">
        <v>2882.05</v>
      </c>
      <c r="AE519" s="64">
        <v>833.51</v>
      </c>
      <c r="AF519" s="64">
        <f t="shared" si="49"/>
        <v>3715.5600000000004</v>
      </c>
      <c r="AH519" s="65">
        <f t="shared" si="50"/>
        <v>-0.34575042070748263</v>
      </c>
      <c r="AI519" s="65">
        <f t="shared" si="50"/>
        <v>-0.12302191935309714</v>
      </c>
      <c r="AJ519" s="65">
        <f t="shared" si="50"/>
        <v>-0.29578583039972439</v>
      </c>
    </row>
    <row r="520" spans="1:36" x14ac:dyDescent="0.3">
      <c r="A520" s="84" t="s">
        <v>1023</v>
      </c>
      <c r="B520" s="58" t="s">
        <v>1024</v>
      </c>
      <c r="C520" s="59">
        <v>1</v>
      </c>
      <c r="D520" s="60" t="s">
        <v>121</v>
      </c>
      <c r="E520" s="60">
        <v>3963.37</v>
      </c>
      <c r="F520" s="60">
        <v>609.71</v>
      </c>
      <c r="G520" s="60">
        <v>4573.08</v>
      </c>
      <c r="H520" s="61">
        <v>3963.37</v>
      </c>
      <c r="I520" s="61">
        <v>609.71</v>
      </c>
      <c r="J520" s="62">
        <v>4573.08</v>
      </c>
      <c r="M520" s="75"/>
      <c r="N520" s="76"/>
      <c r="V520" s="56">
        <v>1</v>
      </c>
      <c r="W520" s="56" t="s">
        <v>121</v>
      </c>
      <c r="X520" s="64">
        <v>4746.41</v>
      </c>
      <c r="Y520" s="64">
        <v>547.04999999999995</v>
      </c>
      <c r="Z520" s="64">
        <f t="shared" si="48"/>
        <v>5293.46</v>
      </c>
      <c r="AB520" s="56">
        <v>1</v>
      </c>
      <c r="AC520" s="56" t="s">
        <v>121</v>
      </c>
      <c r="AD520" s="64">
        <v>6051.67</v>
      </c>
      <c r="AE520" s="64">
        <v>697.49</v>
      </c>
      <c r="AF520" s="64">
        <f t="shared" si="49"/>
        <v>6749.16</v>
      </c>
      <c r="AH520" s="65">
        <f t="shared" si="50"/>
        <v>-0.34507830070046785</v>
      </c>
      <c r="AI520" s="65">
        <f t="shared" si="50"/>
        <v>-0.12585126668482693</v>
      </c>
      <c r="AJ520" s="65">
        <f t="shared" si="50"/>
        <v>-0.32242234589193319</v>
      </c>
    </row>
    <row r="521" spans="1:36" x14ac:dyDescent="0.3">
      <c r="A521" s="84" t="s">
        <v>1025</v>
      </c>
      <c r="B521" s="58" t="s">
        <v>1026</v>
      </c>
      <c r="C521" s="59">
        <v>1</v>
      </c>
      <c r="D521" s="60" t="s">
        <v>121</v>
      </c>
      <c r="E521" s="60">
        <v>5101.82</v>
      </c>
      <c r="F521" s="60">
        <v>1407.89</v>
      </c>
      <c r="G521" s="60">
        <v>6509.71</v>
      </c>
      <c r="H521" s="61">
        <v>5101.82</v>
      </c>
      <c r="I521" s="61">
        <v>1407.89</v>
      </c>
      <c r="J521" s="62">
        <v>6509.71</v>
      </c>
      <c r="M521" s="75"/>
      <c r="N521" s="76"/>
      <c r="V521" s="56">
        <v>1</v>
      </c>
      <c r="W521" s="56" t="s">
        <v>121</v>
      </c>
      <c r="X521" s="64">
        <v>6106.09</v>
      </c>
      <c r="Y521" s="64">
        <v>1266.95</v>
      </c>
      <c r="Z521" s="64">
        <f t="shared" si="48"/>
        <v>7373.04</v>
      </c>
      <c r="AB521" s="56">
        <v>1</v>
      </c>
      <c r="AC521" s="56" t="s">
        <v>121</v>
      </c>
      <c r="AD521" s="64">
        <v>7785.26</v>
      </c>
      <c r="AE521" s="64">
        <v>1615.36</v>
      </c>
      <c r="AF521" s="64">
        <f t="shared" si="49"/>
        <v>9400.6200000000008</v>
      </c>
      <c r="AH521" s="65">
        <f t="shared" si="50"/>
        <v>-0.34468213007658066</v>
      </c>
      <c r="AI521" s="65">
        <f t="shared" si="50"/>
        <v>-0.12843576664025347</v>
      </c>
      <c r="AJ521" s="65">
        <f t="shared" si="50"/>
        <v>-0.3075233335673605</v>
      </c>
    </row>
    <row r="522" spans="1:36" x14ac:dyDescent="0.3">
      <c r="A522" s="84" t="s">
        <v>1027</v>
      </c>
      <c r="B522" s="58" t="s">
        <v>1028</v>
      </c>
      <c r="C522" s="59">
        <v>1</v>
      </c>
      <c r="D522" s="60" t="s">
        <v>121</v>
      </c>
      <c r="E522" s="60">
        <v>5966.67</v>
      </c>
      <c r="F522" s="60">
        <v>2346.92</v>
      </c>
      <c r="G522" s="60">
        <v>8313.59</v>
      </c>
      <c r="H522" s="61">
        <v>5966.67</v>
      </c>
      <c r="I522" s="61">
        <v>2346.92</v>
      </c>
      <c r="J522" s="62">
        <v>8313.59</v>
      </c>
      <c r="M522" s="75"/>
      <c r="N522" s="76"/>
      <c r="V522" s="56">
        <v>1</v>
      </c>
      <c r="W522" s="56" t="s">
        <v>121</v>
      </c>
      <c r="X522" s="64">
        <v>7130.25</v>
      </c>
      <c r="Y522" s="64">
        <v>2099.5500000000002</v>
      </c>
      <c r="Z522" s="64">
        <f t="shared" si="48"/>
        <v>9229.7999999999993</v>
      </c>
      <c r="AB522" s="56">
        <v>1</v>
      </c>
      <c r="AC522" s="56" t="s">
        <v>121</v>
      </c>
      <c r="AD522" s="64">
        <v>9091.07</v>
      </c>
      <c r="AE522" s="64">
        <v>2676.93</v>
      </c>
      <c r="AF522" s="64">
        <f t="shared" si="49"/>
        <v>11768</v>
      </c>
      <c r="AH522" s="65">
        <f t="shared" si="50"/>
        <v>-0.34367791690087079</v>
      </c>
      <c r="AI522" s="65">
        <f t="shared" si="50"/>
        <v>-0.12327927887542811</v>
      </c>
      <c r="AJ522" s="65">
        <f t="shared" si="50"/>
        <v>-0.29354265805574442</v>
      </c>
    </row>
    <row r="523" spans="1:36" x14ac:dyDescent="0.3">
      <c r="A523" s="84" t="s">
        <v>1029</v>
      </c>
      <c r="B523" s="58" t="s">
        <v>1030</v>
      </c>
      <c r="C523" s="59">
        <v>1</v>
      </c>
      <c r="D523" s="60" t="s">
        <v>121</v>
      </c>
      <c r="E523" s="60">
        <v>7740.51</v>
      </c>
      <c r="F523" s="60">
        <v>2380.11</v>
      </c>
      <c r="G523" s="60">
        <v>10120.620000000001</v>
      </c>
      <c r="H523" s="61">
        <v>7740.51</v>
      </c>
      <c r="I523" s="61">
        <v>2380.11</v>
      </c>
      <c r="J523" s="62">
        <v>10120.620000000001</v>
      </c>
      <c r="M523" s="75"/>
      <c r="N523" s="76"/>
      <c r="V523" s="56">
        <v>1</v>
      </c>
      <c r="W523" s="56" t="s">
        <v>121</v>
      </c>
      <c r="X523" s="64">
        <v>9258.44</v>
      </c>
      <c r="Y523" s="64">
        <v>2134.8200000000002</v>
      </c>
      <c r="Z523" s="64">
        <f t="shared" si="48"/>
        <v>11393.26</v>
      </c>
      <c r="AB523" s="56">
        <v>1</v>
      </c>
      <c r="AC523" s="56" t="s">
        <v>121</v>
      </c>
      <c r="AD523" s="64">
        <v>11804.51</v>
      </c>
      <c r="AE523" s="64">
        <v>2721.9</v>
      </c>
      <c r="AF523" s="64">
        <f t="shared" si="49"/>
        <v>14526.41</v>
      </c>
      <c r="AH523" s="65">
        <f t="shared" si="50"/>
        <v>-0.34427519651387473</v>
      </c>
      <c r="AI523" s="65">
        <f t="shared" si="50"/>
        <v>-0.12557037363606305</v>
      </c>
      <c r="AJ523" s="65">
        <f t="shared" si="50"/>
        <v>-0.30329517065813227</v>
      </c>
    </row>
    <row r="524" spans="1:36" x14ac:dyDescent="0.3">
      <c r="A524" s="84" t="s">
        <v>1031</v>
      </c>
      <c r="B524" s="58" t="s">
        <v>1032</v>
      </c>
      <c r="C524" s="59">
        <v>1</v>
      </c>
      <c r="D524" s="60" t="s">
        <v>121</v>
      </c>
      <c r="E524" s="60">
        <v>4973.9399999999996</v>
      </c>
      <c r="F524" s="60">
        <v>1798.2</v>
      </c>
      <c r="G524" s="60">
        <v>6772.1399999999994</v>
      </c>
      <c r="H524" s="61">
        <v>4973.9399999999996</v>
      </c>
      <c r="I524" s="61">
        <v>1798.2</v>
      </c>
      <c r="J524" s="62">
        <v>6772.1399999999994</v>
      </c>
      <c r="M524" s="75"/>
      <c r="N524" s="76"/>
      <c r="V524" s="56">
        <v>1</v>
      </c>
      <c r="W524" s="56" t="s">
        <v>121</v>
      </c>
      <c r="X524" s="64">
        <v>5923.3</v>
      </c>
      <c r="Y524" s="64">
        <v>1606.26</v>
      </c>
      <c r="Z524" s="64">
        <f t="shared" si="48"/>
        <v>7529.56</v>
      </c>
      <c r="AB524" s="56">
        <v>1</v>
      </c>
      <c r="AC524" s="56" t="s">
        <v>121</v>
      </c>
      <c r="AD524" s="64">
        <v>7552.21</v>
      </c>
      <c r="AE524" s="64">
        <v>2047.98</v>
      </c>
      <c r="AF524" s="64">
        <f t="shared" si="49"/>
        <v>9600.19</v>
      </c>
      <c r="AH524" s="65">
        <f t="shared" si="50"/>
        <v>-0.34139278436378229</v>
      </c>
      <c r="AI524" s="65">
        <f t="shared" si="50"/>
        <v>-0.12196408168048511</v>
      </c>
      <c r="AJ524" s="65">
        <f t="shared" si="50"/>
        <v>-0.29458271138383729</v>
      </c>
    </row>
    <row r="525" spans="1:36" x14ac:dyDescent="0.3">
      <c r="A525" s="84" t="s">
        <v>1033</v>
      </c>
      <c r="B525" s="58" t="s">
        <v>1034</v>
      </c>
      <c r="C525" s="59">
        <v>1</v>
      </c>
      <c r="D525" s="60" t="s">
        <v>121</v>
      </c>
      <c r="E525" s="60">
        <v>8714.94</v>
      </c>
      <c r="F525" s="60">
        <v>3289.88</v>
      </c>
      <c r="G525" s="60">
        <v>12004.82</v>
      </c>
      <c r="H525" s="61">
        <v>8714.94</v>
      </c>
      <c r="I525" s="61">
        <v>3289.88</v>
      </c>
      <c r="J525" s="62">
        <v>12004.82</v>
      </c>
      <c r="M525" s="75"/>
      <c r="N525" s="76"/>
      <c r="V525" s="56">
        <v>1</v>
      </c>
      <c r="W525" s="56" t="s">
        <v>121</v>
      </c>
      <c r="X525" s="64">
        <v>10387.32</v>
      </c>
      <c r="Y525" s="64">
        <v>2938.65</v>
      </c>
      <c r="Z525" s="64">
        <f t="shared" si="48"/>
        <v>13325.97</v>
      </c>
      <c r="AB525" s="56">
        <v>1</v>
      </c>
      <c r="AC525" s="56" t="s">
        <v>121</v>
      </c>
      <c r="AD525" s="64">
        <v>13243.83</v>
      </c>
      <c r="AE525" s="64">
        <v>3746.78</v>
      </c>
      <c r="AF525" s="64">
        <f t="shared" si="49"/>
        <v>16990.61</v>
      </c>
      <c r="AH525" s="65">
        <f t="shared" si="50"/>
        <v>-0.34196225714162742</v>
      </c>
      <c r="AI525" s="65">
        <f t="shared" si="50"/>
        <v>-0.12194470985753103</v>
      </c>
      <c r="AJ525" s="65">
        <f t="shared" si="50"/>
        <v>-0.29344384927910183</v>
      </c>
    </row>
    <row r="526" spans="1:36" x14ac:dyDescent="0.3">
      <c r="A526" s="84" t="s">
        <v>1035</v>
      </c>
      <c r="B526" s="58" t="s">
        <v>1036</v>
      </c>
      <c r="C526" s="59">
        <v>1</v>
      </c>
      <c r="D526" s="60" t="s">
        <v>121</v>
      </c>
      <c r="E526" s="60">
        <v>23861.19</v>
      </c>
      <c r="F526" s="60">
        <v>3872.44</v>
      </c>
      <c r="G526" s="60">
        <v>27733.629999999997</v>
      </c>
      <c r="H526" s="61">
        <v>23861.19</v>
      </c>
      <c r="I526" s="61">
        <v>3872.44</v>
      </c>
      <c r="J526" s="62">
        <v>27733.629999999997</v>
      </c>
      <c r="M526" s="75"/>
      <c r="N526" s="76"/>
      <c r="V526" s="56">
        <v>1</v>
      </c>
      <c r="W526" s="56" t="s">
        <v>121</v>
      </c>
      <c r="X526" s="64">
        <v>28624.85</v>
      </c>
      <c r="Y526" s="64">
        <v>3481.95</v>
      </c>
      <c r="Z526" s="64">
        <f t="shared" si="48"/>
        <v>32106.799999999999</v>
      </c>
      <c r="AB526" s="56">
        <v>1</v>
      </c>
      <c r="AC526" s="56" t="s">
        <v>121</v>
      </c>
      <c r="AD526" s="64">
        <v>36496.68</v>
      </c>
      <c r="AE526" s="64">
        <v>4439.49</v>
      </c>
      <c r="AF526" s="64">
        <f t="shared" si="49"/>
        <v>40936.17</v>
      </c>
      <c r="AH526" s="65">
        <f t="shared" si="50"/>
        <v>-0.34620929903761111</v>
      </c>
      <c r="AI526" s="65">
        <f t="shared" si="50"/>
        <v>-0.12772863549641955</v>
      </c>
      <c r="AJ526" s="65">
        <f t="shared" si="50"/>
        <v>-0.32251527194654506</v>
      </c>
    </row>
    <row r="527" spans="1:36" x14ac:dyDescent="0.3">
      <c r="A527" s="84" t="s">
        <v>1037</v>
      </c>
      <c r="B527" s="58" t="s">
        <v>1038</v>
      </c>
      <c r="C527" s="59">
        <v>1</v>
      </c>
      <c r="D527" s="60" t="s">
        <v>121</v>
      </c>
      <c r="E527" s="60">
        <v>6.97</v>
      </c>
      <c r="F527" s="60">
        <v>14.75</v>
      </c>
      <c r="G527" s="60">
        <v>21.72</v>
      </c>
      <c r="H527" s="61">
        <v>6.97</v>
      </c>
      <c r="I527" s="61">
        <v>14.75</v>
      </c>
      <c r="J527" s="62">
        <v>21.72</v>
      </c>
      <c r="M527" s="75"/>
      <c r="N527" s="76"/>
      <c r="V527" s="56">
        <v>1</v>
      </c>
      <c r="W527" s="56" t="s">
        <v>121</v>
      </c>
      <c r="X527" s="64">
        <v>7.12</v>
      </c>
      <c r="Y527" s="64">
        <v>12.45</v>
      </c>
      <c r="Z527" s="64">
        <f t="shared" si="48"/>
        <v>19.57</v>
      </c>
      <c r="AB527" s="56">
        <v>1</v>
      </c>
      <c r="AC527" s="56" t="s">
        <v>121</v>
      </c>
      <c r="AD527" s="64">
        <v>9.08</v>
      </c>
      <c r="AE527" s="64">
        <v>15.87</v>
      </c>
      <c r="AF527" s="64">
        <f t="shared" si="49"/>
        <v>24.95</v>
      </c>
      <c r="AH527" s="65">
        <f t="shared" si="50"/>
        <v>-0.23237885462555075</v>
      </c>
      <c r="AI527" s="65">
        <f t="shared" si="50"/>
        <v>-7.0573408947700034E-2</v>
      </c>
      <c r="AJ527" s="65">
        <f t="shared" si="50"/>
        <v>-0.12945891783567132</v>
      </c>
    </row>
    <row r="528" spans="1:36" x14ac:dyDescent="0.3">
      <c r="A528" s="84" t="s">
        <v>1039</v>
      </c>
      <c r="B528" s="58" t="s">
        <v>1040</v>
      </c>
      <c r="C528" s="59">
        <v>1</v>
      </c>
      <c r="D528" s="60" t="s">
        <v>87</v>
      </c>
      <c r="E528" s="60">
        <v>129.47999999999999</v>
      </c>
      <c r="F528" s="60">
        <v>34.479999999999997</v>
      </c>
      <c r="G528" s="60">
        <v>163.95999999999998</v>
      </c>
      <c r="H528" s="61">
        <v>129.47999999999999</v>
      </c>
      <c r="I528" s="61">
        <v>34.479999999999997</v>
      </c>
      <c r="J528" s="62">
        <v>163.95999999999998</v>
      </c>
      <c r="M528" s="75"/>
      <c r="N528" s="76"/>
      <c r="V528" s="56">
        <v>1</v>
      </c>
      <c r="W528" s="56" t="s">
        <v>87</v>
      </c>
      <c r="X528" s="64">
        <v>149.55000000000001</v>
      </c>
      <c r="Y528" s="64">
        <v>31.01</v>
      </c>
      <c r="Z528" s="64">
        <f t="shared" si="48"/>
        <v>180.56</v>
      </c>
      <c r="AB528" s="56">
        <v>1</v>
      </c>
      <c r="AC528" s="56" t="s">
        <v>87</v>
      </c>
      <c r="AD528" s="64">
        <v>190.68</v>
      </c>
      <c r="AE528" s="64">
        <v>39.54</v>
      </c>
      <c r="AF528" s="64">
        <f t="shared" si="49"/>
        <v>230.22</v>
      </c>
      <c r="AH528" s="65">
        <f t="shared" si="50"/>
        <v>-0.32095657646318443</v>
      </c>
      <c r="AI528" s="65">
        <f t="shared" si="50"/>
        <v>-0.12797167425392009</v>
      </c>
      <c r="AJ528" s="65">
        <f t="shared" si="50"/>
        <v>-0.28781165841369138</v>
      </c>
    </row>
    <row r="529" spans="1:36" x14ac:dyDescent="0.3">
      <c r="A529" s="84" t="s">
        <v>1041</v>
      </c>
      <c r="B529" s="58" t="s">
        <v>1042</v>
      </c>
      <c r="C529" s="59">
        <v>1</v>
      </c>
      <c r="D529" s="60" t="s">
        <v>87</v>
      </c>
      <c r="E529" s="60">
        <v>29.62</v>
      </c>
      <c r="F529" s="60">
        <v>34.479999999999997</v>
      </c>
      <c r="G529" s="60">
        <v>64.099999999999994</v>
      </c>
      <c r="H529" s="61">
        <v>29.62</v>
      </c>
      <c r="I529" s="61">
        <v>34.479999999999997</v>
      </c>
      <c r="J529" s="62">
        <v>64.099999999999994</v>
      </c>
      <c r="M529" s="75"/>
      <c r="N529" s="76"/>
      <c r="V529" s="56">
        <v>1</v>
      </c>
      <c r="W529" s="56" t="s">
        <v>87</v>
      </c>
      <c r="X529" s="64">
        <v>35.57</v>
      </c>
      <c r="Y529" s="64">
        <v>31.01</v>
      </c>
      <c r="Z529" s="64">
        <f t="shared" si="48"/>
        <v>66.58</v>
      </c>
      <c r="AB529" s="56">
        <v>1</v>
      </c>
      <c r="AC529" s="56" t="s">
        <v>87</v>
      </c>
      <c r="AD529" s="64">
        <v>45.35</v>
      </c>
      <c r="AE529" s="64">
        <v>39.54</v>
      </c>
      <c r="AF529" s="64">
        <f t="shared" si="49"/>
        <v>84.89</v>
      </c>
      <c r="AH529" s="65">
        <f t="shared" si="50"/>
        <v>-0.34685777287761854</v>
      </c>
      <c r="AI529" s="65">
        <f t="shared" si="50"/>
        <v>-0.12797167425392009</v>
      </c>
      <c r="AJ529" s="65">
        <f t="shared" si="50"/>
        <v>-0.24490517139828016</v>
      </c>
    </row>
    <row r="530" spans="1:36" x14ac:dyDescent="0.3">
      <c r="A530" s="84" t="s">
        <v>1043</v>
      </c>
      <c r="B530" s="58" t="s">
        <v>1044</v>
      </c>
      <c r="C530" s="59">
        <v>1</v>
      </c>
      <c r="D530" s="60" t="s">
        <v>57</v>
      </c>
      <c r="E530" s="60">
        <v>97.56</v>
      </c>
      <c r="F530" s="60">
        <v>14.63</v>
      </c>
      <c r="G530" s="60">
        <v>112.19</v>
      </c>
      <c r="H530" s="61">
        <v>97.56</v>
      </c>
      <c r="I530" s="61">
        <v>14.63</v>
      </c>
      <c r="J530" s="62">
        <v>112.19</v>
      </c>
      <c r="M530" s="75"/>
      <c r="N530" s="76"/>
      <c r="V530" s="56">
        <v>1</v>
      </c>
      <c r="W530" s="56" t="s">
        <v>57</v>
      </c>
      <c r="X530" s="64">
        <v>111.36</v>
      </c>
      <c r="Y530" s="64">
        <v>13.28</v>
      </c>
      <c r="Z530" s="64">
        <f t="shared" si="48"/>
        <v>124.64</v>
      </c>
      <c r="AB530" s="56">
        <v>1</v>
      </c>
      <c r="AC530" s="56" t="s">
        <v>57</v>
      </c>
      <c r="AD530" s="64">
        <v>141.97999999999999</v>
      </c>
      <c r="AE530" s="64">
        <v>16.93</v>
      </c>
      <c r="AF530" s="64">
        <f t="shared" si="49"/>
        <v>158.91</v>
      </c>
      <c r="AH530" s="65">
        <f t="shared" si="50"/>
        <v>-0.31286096633328631</v>
      </c>
      <c r="AI530" s="65">
        <f t="shared" si="50"/>
        <v>-0.13585351447135252</v>
      </c>
      <c r="AJ530" s="65">
        <f t="shared" si="50"/>
        <v>-0.29400289472028196</v>
      </c>
    </row>
    <row r="531" spans="1:36" x14ac:dyDescent="0.3">
      <c r="A531" s="84" t="s">
        <v>1045</v>
      </c>
      <c r="B531" s="58" t="s">
        <v>1046</v>
      </c>
      <c r="C531" s="59">
        <v>1</v>
      </c>
      <c r="D531" s="60" t="s">
        <v>57</v>
      </c>
      <c r="E531" s="60">
        <v>261.26</v>
      </c>
      <c r="F531" s="60">
        <v>14.63</v>
      </c>
      <c r="G531" s="60">
        <v>275.89</v>
      </c>
      <c r="H531" s="61">
        <v>261.26</v>
      </c>
      <c r="I531" s="61">
        <v>14.63</v>
      </c>
      <c r="J531" s="62">
        <v>275.89</v>
      </c>
      <c r="M531" s="75"/>
      <c r="N531" s="76"/>
      <c r="V531" s="56">
        <v>1</v>
      </c>
      <c r="W531" s="56" t="s">
        <v>57</v>
      </c>
      <c r="X531" s="64">
        <v>298.20999999999998</v>
      </c>
      <c r="Y531" s="64">
        <v>13.28</v>
      </c>
      <c r="Z531" s="64">
        <f t="shared" si="48"/>
        <v>311.48999999999995</v>
      </c>
      <c r="AB531" s="56">
        <v>1</v>
      </c>
      <c r="AC531" s="56" t="s">
        <v>57</v>
      </c>
      <c r="AD531" s="64">
        <v>380.22</v>
      </c>
      <c r="AE531" s="64">
        <v>16.93</v>
      </c>
      <c r="AF531" s="64">
        <f t="shared" si="49"/>
        <v>397.15000000000003</v>
      </c>
      <c r="AH531" s="65">
        <f t="shared" si="50"/>
        <v>-0.3128714954500027</v>
      </c>
      <c r="AI531" s="65">
        <f t="shared" si="50"/>
        <v>-0.13585351447135252</v>
      </c>
      <c r="AJ531" s="65">
        <f t="shared" si="50"/>
        <v>-0.30532544378698234</v>
      </c>
    </row>
    <row r="532" spans="1:36" x14ac:dyDescent="0.3">
      <c r="A532" s="84" t="s">
        <v>1047</v>
      </c>
      <c r="B532" s="58" t="s">
        <v>1048</v>
      </c>
      <c r="C532" s="59">
        <v>1</v>
      </c>
      <c r="D532" s="60" t="s">
        <v>57</v>
      </c>
      <c r="E532" s="60">
        <v>270.89</v>
      </c>
      <c r="F532" s="60">
        <v>14.63</v>
      </c>
      <c r="G532" s="60">
        <v>285.52</v>
      </c>
      <c r="H532" s="61">
        <v>270.89</v>
      </c>
      <c r="I532" s="61">
        <v>14.63</v>
      </c>
      <c r="J532" s="62">
        <v>285.52</v>
      </c>
      <c r="M532" s="75"/>
      <c r="N532" s="76"/>
      <c r="V532" s="56">
        <v>1</v>
      </c>
      <c r="W532" s="56" t="s">
        <v>57</v>
      </c>
      <c r="X532" s="64">
        <v>309.2</v>
      </c>
      <c r="Y532" s="64">
        <v>13.28</v>
      </c>
      <c r="Z532" s="64">
        <f t="shared" si="48"/>
        <v>322.47999999999996</v>
      </c>
      <c r="AB532" s="56">
        <v>1</v>
      </c>
      <c r="AC532" s="56" t="s">
        <v>57</v>
      </c>
      <c r="AD532" s="64">
        <v>394.23</v>
      </c>
      <c r="AE532" s="64">
        <v>16.93</v>
      </c>
      <c r="AF532" s="64">
        <f t="shared" si="49"/>
        <v>411.16</v>
      </c>
      <c r="AH532" s="65">
        <f t="shared" si="50"/>
        <v>-0.31286304948887711</v>
      </c>
      <c r="AI532" s="65">
        <f t="shared" si="50"/>
        <v>-0.13585351447135252</v>
      </c>
      <c r="AJ532" s="65">
        <f t="shared" si="50"/>
        <v>-0.30557447222492473</v>
      </c>
    </row>
    <row r="533" spans="1:36" x14ac:dyDescent="0.3">
      <c r="A533" s="84" t="s">
        <v>1049</v>
      </c>
      <c r="B533" s="58" t="s">
        <v>1050</v>
      </c>
      <c r="C533" s="59">
        <v>1</v>
      </c>
      <c r="D533" s="60" t="s">
        <v>57</v>
      </c>
      <c r="E533" s="60">
        <v>20.32</v>
      </c>
      <c r="F533" s="60">
        <v>25.73</v>
      </c>
      <c r="G533" s="60">
        <v>46.05</v>
      </c>
      <c r="H533" s="61">
        <v>20.32</v>
      </c>
      <c r="I533" s="61">
        <v>25.73</v>
      </c>
      <c r="J533" s="62">
        <v>46.05</v>
      </c>
      <c r="M533" s="75"/>
      <c r="N533" s="76"/>
      <c r="V533" s="56">
        <v>1</v>
      </c>
      <c r="W533" s="56" t="s">
        <v>57</v>
      </c>
      <c r="X533" s="64">
        <v>33.31</v>
      </c>
      <c r="Y533" s="64">
        <v>23.15</v>
      </c>
      <c r="Z533" s="64">
        <f t="shared" si="48"/>
        <v>56.46</v>
      </c>
      <c r="AB533" s="56">
        <v>1</v>
      </c>
      <c r="AC533" s="56" t="s">
        <v>57</v>
      </c>
      <c r="AD533" s="64">
        <v>42.47</v>
      </c>
      <c r="AE533" s="64">
        <v>29.52</v>
      </c>
      <c r="AF533" s="64">
        <f t="shared" si="49"/>
        <v>71.989999999999995</v>
      </c>
      <c r="AH533" s="65">
        <f t="shared" si="50"/>
        <v>-0.52154461973157518</v>
      </c>
      <c r="AI533" s="65">
        <f t="shared" si="50"/>
        <v>-0.12838753387533874</v>
      </c>
      <c r="AJ533" s="65">
        <f t="shared" si="50"/>
        <v>-0.36032782330879287</v>
      </c>
    </row>
    <row r="534" spans="1:36" x14ac:dyDescent="0.3">
      <c r="A534" s="84" t="s">
        <v>1051</v>
      </c>
      <c r="B534" s="58" t="s">
        <v>1052</v>
      </c>
      <c r="C534" s="59">
        <v>1</v>
      </c>
      <c r="D534" s="60" t="s">
        <v>1053</v>
      </c>
      <c r="E534" s="60">
        <v>238.61</v>
      </c>
      <c r="F534" s="60">
        <v>24.99</v>
      </c>
      <c r="G534" s="60">
        <v>263.60000000000002</v>
      </c>
      <c r="H534" s="61">
        <v>238.61</v>
      </c>
      <c r="I534" s="61">
        <v>24.99</v>
      </c>
      <c r="J534" s="62">
        <v>263.60000000000002</v>
      </c>
      <c r="M534" s="75"/>
      <c r="N534" s="76"/>
      <c r="V534" s="56">
        <v>1</v>
      </c>
      <c r="W534" s="56" t="s">
        <v>1053</v>
      </c>
      <c r="X534" s="64">
        <v>262.35000000000002</v>
      </c>
      <c r="Y534" s="64">
        <v>22.7</v>
      </c>
      <c r="Z534" s="64">
        <f t="shared" si="48"/>
        <v>285.05</v>
      </c>
      <c r="AB534" s="56">
        <v>1</v>
      </c>
      <c r="AC534" s="56" t="s">
        <v>1053</v>
      </c>
      <c r="AD534" s="64">
        <v>334.5</v>
      </c>
      <c r="AE534" s="64">
        <v>28.94</v>
      </c>
      <c r="AF534" s="64">
        <f t="shared" si="49"/>
        <v>363.44</v>
      </c>
      <c r="AH534" s="65">
        <f t="shared" si="50"/>
        <v>-0.28666666666666663</v>
      </c>
      <c r="AI534" s="65">
        <f t="shared" si="50"/>
        <v>-0.13648928818244654</v>
      </c>
      <c r="AJ534" s="65">
        <f t="shared" si="50"/>
        <v>-0.27470834250495257</v>
      </c>
    </row>
    <row r="535" spans="1:36" x14ac:dyDescent="0.3">
      <c r="A535" s="84" t="s">
        <v>1054</v>
      </c>
      <c r="B535" s="58" t="s">
        <v>1055</v>
      </c>
      <c r="C535" s="59">
        <v>1</v>
      </c>
      <c r="D535" s="60" t="s">
        <v>57</v>
      </c>
      <c r="E535" s="60">
        <v>24.61</v>
      </c>
      <c r="F535" s="60">
        <v>923.81</v>
      </c>
      <c r="G535" s="60">
        <v>948.42</v>
      </c>
      <c r="H535" s="61">
        <v>24.61</v>
      </c>
      <c r="I535" s="61">
        <v>923.81</v>
      </c>
      <c r="J535" s="62">
        <v>948.42</v>
      </c>
      <c r="M535" s="75"/>
      <c r="N535" s="76"/>
      <c r="V535" s="56">
        <v>1</v>
      </c>
      <c r="W535" s="56" t="s">
        <v>57</v>
      </c>
      <c r="X535" s="64">
        <v>35.92</v>
      </c>
      <c r="Y535" s="64">
        <v>855.76</v>
      </c>
      <c r="Z535" s="64">
        <f t="shared" si="48"/>
        <v>891.68</v>
      </c>
      <c r="AB535" s="56">
        <v>1</v>
      </c>
      <c r="AC535" s="56" t="s">
        <v>57</v>
      </c>
      <c r="AD535" s="64">
        <v>45.8</v>
      </c>
      <c r="AE535" s="64">
        <v>1091.0899999999999</v>
      </c>
      <c r="AF535" s="64">
        <f t="shared" si="49"/>
        <v>1136.8899999999999</v>
      </c>
      <c r="AH535" s="65">
        <f t="shared" si="50"/>
        <v>-0.46266375545851524</v>
      </c>
      <c r="AI535" s="65">
        <f t="shared" si="50"/>
        <v>-0.15331457533292392</v>
      </c>
      <c r="AJ535" s="65">
        <f t="shared" si="50"/>
        <v>-0.16577681218059792</v>
      </c>
    </row>
    <row r="536" spans="1:36" x14ac:dyDescent="0.3">
      <c r="A536" s="82">
        <v>30</v>
      </c>
      <c r="B536" s="83" t="s">
        <v>1056</v>
      </c>
      <c r="C536" s="50"/>
      <c r="D536" s="51"/>
      <c r="E536" s="51"/>
      <c r="F536" s="51"/>
      <c r="G536" s="51"/>
      <c r="H536" s="77">
        <v>0</v>
      </c>
      <c r="I536" s="77">
        <v>0</v>
      </c>
      <c r="J536" s="52">
        <v>0</v>
      </c>
      <c r="M536" s="75"/>
      <c r="N536" s="76"/>
      <c r="V536" s="54"/>
      <c r="W536" s="54"/>
      <c r="X536" s="55"/>
      <c r="Y536" s="55"/>
      <c r="Z536" s="55"/>
      <c r="AB536" s="54"/>
      <c r="AC536" s="54"/>
      <c r="AD536" s="55"/>
      <c r="AE536" s="55"/>
      <c r="AF536" s="55"/>
    </row>
    <row r="537" spans="1:36" ht="15.6" x14ac:dyDescent="0.3">
      <c r="A537" s="86"/>
      <c r="B537" s="87" t="s">
        <v>1057</v>
      </c>
      <c r="C537" s="88"/>
      <c r="D537" s="89"/>
      <c r="E537" s="89"/>
      <c r="F537" s="89"/>
      <c r="G537" s="89"/>
      <c r="H537" s="90">
        <v>6301814.6300000036</v>
      </c>
      <c r="I537" s="90">
        <v>3071548.3399999989</v>
      </c>
      <c r="J537" s="90">
        <v>9373362.9700000137</v>
      </c>
      <c r="M537" s="75"/>
      <c r="N537" s="76"/>
      <c r="AB537" s="56"/>
      <c r="AC537" s="56"/>
      <c r="AD537" s="91">
        <v>5799281.0399999972</v>
      </c>
      <c r="AE537" s="91">
        <v>2353629.6</v>
      </c>
      <c r="AF537" s="91">
        <v>8152910.6400000006</v>
      </c>
    </row>
    <row r="538" spans="1:36" x14ac:dyDescent="0.3">
      <c r="M538" s="75"/>
      <c r="N538" s="76"/>
      <c r="AH538" s="92">
        <f>COUNTIF(AH9:AH535,"&lt;&gt;0")</f>
        <v>469</v>
      </c>
      <c r="AI538" s="92">
        <f>COUNTIF(AI9:AI535,"&lt;&gt;0")</f>
        <v>496</v>
      </c>
      <c r="AJ538" s="92">
        <f>COUNTIF(AJ9:AJ535,"&lt;&gt;0")</f>
        <v>499</v>
      </c>
    </row>
    <row r="539" spans="1:36" x14ac:dyDescent="0.3">
      <c r="M539" s="75"/>
      <c r="N539" s="76"/>
      <c r="AH539" s="93">
        <f>SUMIF(AH9:AH535,"&lt;&gt;0",AH9:AH535)</f>
        <v>-147.3317391262444</v>
      </c>
      <c r="AI539" s="93">
        <f>SUMIF(AI9:AI535,"&lt;&gt;0",AI9:AI535)</f>
        <v>-44.698344526939721</v>
      </c>
      <c r="AJ539" s="93">
        <f>SUMIF(AJ9:AJ535,"&lt;&gt;0",AJ9:AJ535)</f>
        <v>-119.25230515571977</v>
      </c>
    </row>
    <row r="540" spans="1:36" x14ac:dyDescent="0.3">
      <c r="M540" s="75"/>
      <c r="N540" s="76"/>
      <c r="AH540" s="65">
        <f>AH539/AH538</f>
        <v>-0.31414016871267464</v>
      </c>
      <c r="AI540" s="65">
        <f>AI539/AI538</f>
        <v>-9.0117630094636539E-2</v>
      </c>
      <c r="AJ540" s="65">
        <f>AJ539/AJ538</f>
        <v>-0.23898257546236426</v>
      </c>
    </row>
    <row r="541" spans="1:36" x14ac:dyDescent="0.3">
      <c r="M541" s="75"/>
      <c r="N541" s="76"/>
    </row>
    <row r="542" spans="1:36" x14ac:dyDescent="0.3">
      <c r="M542" s="76"/>
      <c r="N542" s="76"/>
    </row>
    <row r="543" spans="1:36" x14ac:dyDescent="0.3">
      <c r="M543" s="76"/>
      <c r="N543" s="76"/>
      <c r="AH543" s="94"/>
      <c r="AI543" s="94"/>
      <c r="AJ543" s="94"/>
    </row>
    <row r="544" spans="1:36" x14ac:dyDescent="0.3">
      <c r="M544" s="76"/>
      <c r="N544" s="76"/>
    </row>
    <row r="545" spans="2:14" x14ac:dyDescent="0.3">
      <c r="M545" s="79"/>
      <c r="N545" s="79"/>
    </row>
    <row r="546" spans="2:14" ht="15.6" x14ac:dyDescent="0.3">
      <c r="B546" s="95"/>
      <c r="M546" s="96"/>
      <c r="N546" s="96"/>
    </row>
    <row r="547" spans="2:14" x14ac:dyDescent="0.3">
      <c r="B547" s="95"/>
    </row>
    <row r="548" spans="2:14" x14ac:dyDescent="0.3">
      <c r="B548" s="95"/>
      <c r="E548" s="95"/>
    </row>
    <row r="549" spans="2:14" x14ac:dyDescent="0.3">
      <c r="E549" s="95"/>
    </row>
    <row r="550" spans="2:14" x14ac:dyDescent="0.3">
      <c r="E550" s="95"/>
    </row>
  </sheetData>
  <mergeCells count="7">
    <mergeCell ref="M24:N37"/>
    <mergeCell ref="C3:J3"/>
    <mergeCell ref="M3:N3"/>
    <mergeCell ref="D5:G5"/>
    <mergeCell ref="M8:N9"/>
    <mergeCell ref="M16:N16"/>
    <mergeCell ref="M18:N20"/>
  </mergeCells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Memorial de cálculo</vt:lpstr>
      <vt:lpstr>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André Obando Acosta</dc:creator>
  <cp:lastModifiedBy>Thiago Nascimento</cp:lastModifiedBy>
  <dcterms:created xsi:type="dcterms:W3CDTF">2021-12-17T12:15:58Z</dcterms:created>
  <dcterms:modified xsi:type="dcterms:W3CDTF">2026-05-22T20:06:52Z</dcterms:modified>
</cp:coreProperties>
</file>